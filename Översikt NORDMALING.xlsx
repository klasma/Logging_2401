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46296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46296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46296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46296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46296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46296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46296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46296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46296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46296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46296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46296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46296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46296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46296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24944-2022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46296</v>
      </c>
      <c r="F17" t="inlineStr">
        <is>
          <t>VÄSTERBOTTENS LÄN</t>
        </is>
      </c>
      <c r="G17" t="inlineStr">
        <is>
          <t>NORDMALING</t>
        </is>
      </c>
      <c r="I17" t="n">
        <v>1.2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Knärot
Jättesvampmal
Vanlig groda
Fläcknycklar</t>
        </is>
      </c>
      <c r="W17">
        <f>HYPERLINK("https://klasma.github.io/Logging_2401/artfynd/A 24944-2022 artfynd.xlsx", "A 24944-2022")</f>
        <v/>
      </c>
      <c r="X17">
        <f>HYPERLINK("https://klasma.github.io/Logging_2401/kartor/A 24944-2022 karta.png", "A 24944-2022")</f>
        <v/>
      </c>
      <c r="Y17">
        <f>HYPERLINK("https://klasma.github.io/Logging_2401/kartor_geotiff/A 24944-2022 georefererad karta.tif", "A 24944-2022")</f>
        <v/>
      </c>
      <c r="Z17">
        <f>HYPERLINK("https://klasma.github.io/Logging_2401/knärot/A 24944-2022 karta knärot.png", "A 24944-2022")</f>
        <v/>
      </c>
      <c r="AA17">
        <f>HYPERLINK("https://klasma.github.io/Logging_2401/klagomål/A 24944-2022 FSC-klagomål.docx", "A 24944-2022")</f>
        <v/>
      </c>
      <c r="AB17">
        <f>HYPERLINK("https://klasma.github.io/Logging_2401/klagomålsmail/A 24944-2022 FSC-klagomål mail.docx", "A 24944-2022")</f>
        <v/>
      </c>
      <c r="AC17">
        <f>HYPERLINK("https://klasma.github.io/Logging_2401/tillsyn/A 24944-2022 tillsynsbegäran.docx", "A 24944-2022")</f>
        <v/>
      </c>
      <c r="AD17">
        <f>HYPERLINK("https://klasma.github.io/Logging_2401/tillsynsmail/A 24944-2022 tillsynsbegäran mail.docx", "A 24944-2022")</f>
        <v/>
      </c>
    </row>
    <row r="18" ht="15" customHeight="1">
      <c r="A18" t="inlineStr">
        <is>
          <t>A 36810-2025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45873</v>
      </c>
      <c r="E18" s="1" t="n">
        <v>46296</v>
      </c>
      <c r="F18" t="inlineStr">
        <is>
          <t>VÄSTERBOTTENS LÄN</t>
        </is>
      </c>
      <c r="G18" t="inlineStr">
        <is>
          <t>NORDMALING</t>
        </is>
      </c>
      <c r="I18" t="n">
        <v>1.3</v>
      </c>
      <c r="J18" t="n">
        <v>0</v>
      </c>
      <c r="K18" t="n">
        <v>1</v>
      </c>
      <c r="L18" t="n">
        <v>0</v>
      </c>
      <c r="M18" t="n">
        <v>3</v>
      </c>
      <c r="N18" t="n">
        <v>0</v>
      </c>
      <c r="O18" t="n">
        <v>0</v>
      </c>
      <c r="P18" t="n">
        <v>0</v>
      </c>
      <c r="Q18" t="n">
        <v>3</v>
      </c>
      <c r="R18" t="n">
        <v>3</v>
      </c>
      <c r="S18" t="n">
        <v>4</v>
      </c>
      <c r="T18" t="n">
        <v>5</v>
      </c>
      <c r="U18" t="n">
        <v>0</v>
      </c>
      <c r="V18" s="2" t="inlineStr">
        <is>
          <t>Garnlav
Goliatmusseron
Rotfingersvamp
Granbarkgnagare</t>
        </is>
      </c>
      <c r="W18">
        <f>HYPERLINK("https://klasma.github.io/Logging_2401/artfynd/A 36810-2025 artfynd.xlsx", "A 36810-2025")</f>
        <v/>
      </c>
      <c r="X18">
        <f>HYPERLINK("https://klasma.github.io/Logging_2401/kartor/A 36810-2025 karta.png", "A 36810-2025")</f>
        <v/>
      </c>
      <c r="Y18">
        <f>HYPERLINK("https://klasma.github.io/Logging_2401/kartor_geotiff/A 36810-2025 georefererad karta.tif", "A 36810-2025")</f>
        <v/>
      </c>
      <c r="AA18">
        <f>HYPERLINK("https://klasma.github.io/Logging_2401/klagomål/A 36810-2025 FSC-klagomål.docx", "A 36810-2025")</f>
        <v/>
      </c>
      <c r="AB18">
        <f>HYPERLINK("https://klasma.github.io/Logging_2401/klagomålsmail/A 36810-2025 FSC-klagomål mail.docx", "A 36810-2025")</f>
        <v/>
      </c>
      <c r="AC18">
        <f>HYPERLINK("https://klasma.github.io/Logging_2401/tillsyn/A 36810-2025 tillsynsbegäran.docx", "A 36810-2025")</f>
        <v/>
      </c>
      <c r="AD18">
        <f>HYPERLINK("https://klasma.github.io/Logging_2401/tillsynsmail/A 36810-2025 tillsynsbegäran mail.docx", "A 36810-2025")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46296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23496-2022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44721</v>
      </c>
      <c r="E20" s="1" t="n">
        <v>46296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2</v>
      </c>
      <c r="V20" s="2" t="inlineStr">
        <is>
          <t>Garnlav
Tretåig hackspett
Järpe</t>
        </is>
      </c>
      <c r="W20">
        <f>HYPERLINK("https://klasma.github.io/Logging_2401/artfynd/A 23496-2022 artfynd.xlsx", "A 23496-2022")</f>
        <v/>
      </c>
      <c r="X20">
        <f>HYPERLINK("https://klasma.github.io/Logging_2401/kartor/A 23496-2022 karta.png", "A 23496-2022")</f>
        <v/>
      </c>
      <c r="Y20">
        <f>HYPERLINK("https://klasma.github.io/Logging_2401/kartor_geotiff/A 23496-2022 georefererad karta.tif", "A 23496-2022")</f>
        <v/>
      </c>
      <c r="AA20">
        <f>HYPERLINK("https://klasma.github.io/Logging_2401/klagomål/A 23496-2022 FSC-klagomål.docx", "A 23496-2022")</f>
        <v/>
      </c>
      <c r="AB20">
        <f>HYPERLINK("https://klasma.github.io/Logging_2401/klagomålsmail/A 23496-2022 FSC-klagomål mail.docx", "A 23496-2022")</f>
        <v/>
      </c>
      <c r="AC20">
        <f>HYPERLINK("https://klasma.github.io/Logging_2401/tillsyn/A 23496-2022 tillsynsbegäran.docx", "A 23496-2022")</f>
        <v/>
      </c>
      <c r="AD20">
        <f>HYPERLINK("https://klasma.github.io/Logging_2401/tillsynsmail/A 23496-2022 tillsynsbegäran mail.docx", "A 23496-2022")</f>
        <v/>
      </c>
      <c r="AE20">
        <f>HYPERLINK("https://klasma.github.io/Logging_2401/fåglar/A 23496-2022 prioriterade fågelarter.docx", "A 23496-2022")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46296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46296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46296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46296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44904</v>
      </c>
      <c r="E25" s="1" t="n">
        <v>46296</v>
      </c>
      <c r="F25" t="inlineStr">
        <is>
          <t>VÄSTERBOTTENS LÄN</t>
        </is>
      </c>
      <c r="G25" t="inlineStr">
        <is>
          <t>NORDMALING</t>
        </is>
      </c>
      <c r="I25" t="n">
        <v>3.3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Lunglav
Rynkskinn
Ullticka</t>
        </is>
      </c>
      <c r="W25">
        <f>HYPERLINK("https://klasma.github.io/Logging_2401/artfynd/A 60450-2022 artfynd.xlsx", "A 60450-2022")</f>
        <v/>
      </c>
      <c r="X25">
        <f>HYPERLINK("https://klasma.github.io/Logging_2401/kartor/A 60450-2022 karta.png", "A 60450-2022")</f>
        <v/>
      </c>
      <c r="Y25">
        <f>HYPERLINK("https://klasma.github.io/Logging_2401/kartor_geotiff/A 60450-2022 georefererad karta.tif", "A 60450-2022")</f>
        <v/>
      </c>
      <c r="AA25">
        <f>HYPERLINK("https://klasma.github.io/Logging_2401/klagomål/A 60450-2022 FSC-klagomål.docx", "A 60450-2022")</f>
        <v/>
      </c>
      <c r="AB25">
        <f>HYPERLINK("https://klasma.github.io/Logging_2401/klagomålsmail/A 60450-2022 FSC-klagomål mail.docx", "A 60450-2022")</f>
        <v/>
      </c>
      <c r="AC25">
        <f>HYPERLINK("https://klasma.github.io/Logging_2401/tillsyn/A 60450-2022 tillsynsbegäran.docx", "A 60450-2022")</f>
        <v/>
      </c>
      <c r="AD25">
        <f>HYPERLINK("https://klasma.github.io/Logging_2401/tillsynsmail/A 60450-2022 tillsynsbegäran mail.docx", "A 60450-2022")</f>
        <v/>
      </c>
    </row>
    <row r="26" ht="15" customHeight="1">
      <c r="A26" t="inlineStr">
        <is>
          <t>A 44987-2024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46296</v>
      </c>
      <c r="F26" t="inlineStr">
        <is>
          <t>VÄSTERBOTTENS LÄN</t>
        </is>
      </c>
      <c r="G26" t="inlineStr">
        <is>
          <t>NORDMALING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Nordtagging
Vaddporing
Violettgrå tagellav</t>
        </is>
      </c>
      <c r="W26">
        <f>HYPERLINK("https://klasma.github.io/Logging_2401/artfynd/A 44987-2024 artfynd.xlsx", "A 44987-2024")</f>
        <v/>
      </c>
      <c r="X26">
        <f>HYPERLINK("https://klasma.github.io/Logging_2401/kartor/A 44987-2024 karta.png", "A 44987-2024")</f>
        <v/>
      </c>
      <c r="Y26">
        <f>HYPERLINK("https://klasma.github.io/Logging_2401/kartor_geotiff/A 44987-2024 georefererad karta.tif", "A 44987-2024")</f>
        <v/>
      </c>
      <c r="AA26">
        <f>HYPERLINK("https://klasma.github.io/Logging_2401/klagomål/A 44987-2024 FSC-klagomål.docx", "A 44987-2024")</f>
        <v/>
      </c>
      <c r="AB26">
        <f>HYPERLINK("https://klasma.github.io/Logging_2401/klagomålsmail/A 44987-2024 FSC-klagomål mail.docx", "A 44987-2024")</f>
        <v/>
      </c>
      <c r="AC26">
        <f>HYPERLINK("https://klasma.github.io/Logging_2401/tillsyn/A 44987-2024 tillsynsbegäran.docx", "A 44987-2024")</f>
        <v/>
      </c>
      <c r="AD26">
        <f>HYPERLINK("https://klasma.github.io/Logging_2401/tillsynsmail/A 44987-2024 tillsynsbegäran mail.docx", "A 44987-2024")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46296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46296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46296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46296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46296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46296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46296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46296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46296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A 65043-2023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46296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9.1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Grönsångare
Mindre hackspett</t>
        </is>
      </c>
      <c r="W36">
        <f>HYPERLINK("https://klasma.github.io/Logging_2401/artfynd/A 65043-2023 artfynd.xlsx", "A 65043-2023")</f>
        <v/>
      </c>
      <c r="X36">
        <f>HYPERLINK("https://klasma.github.io/Logging_2401/kartor/A 65043-2023 karta.png", "A 65043-2023")</f>
        <v/>
      </c>
      <c r="Y36">
        <f>HYPERLINK("https://klasma.github.io/Logging_2401/kartor_geotiff/A 65043-2023 georefererad karta.tif", "A 65043-2023")</f>
        <v/>
      </c>
      <c r="AA36">
        <f>HYPERLINK("https://klasma.github.io/Logging_2401/klagomål/A 65043-2023 FSC-klagomål.docx", "A 65043-2023")</f>
        <v/>
      </c>
      <c r="AB36">
        <f>HYPERLINK("https://klasma.github.io/Logging_2401/klagomålsmail/A 65043-2023 FSC-klagomål mail.docx", "A 65043-2023")</f>
        <v/>
      </c>
      <c r="AC36">
        <f>HYPERLINK("https://klasma.github.io/Logging_2401/tillsyn/A 65043-2023 tillsynsbegäran.docx", "A 65043-2023")</f>
        <v/>
      </c>
      <c r="AD36">
        <f>HYPERLINK("https://klasma.github.io/Logging_2401/tillsynsmail/A 65043-2023 tillsynsbegäran mail.docx", "A 65043-2023")</f>
        <v/>
      </c>
      <c r="AE36">
        <f>HYPERLINK("https://klasma.github.io/Logging_2401/fåglar/A 65043-2023 prioriterade fågelarter.docx", "A 65043-2023")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46296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46296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46296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46296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46296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46296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46296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39851-2023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46296</v>
      </c>
      <c r="F44" t="inlineStr">
        <is>
          <t>VÄSTERBOTTENS LÄN</t>
        </is>
      </c>
      <c r="G44" t="inlineStr">
        <is>
          <t>NORDMALING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HYPERLINK("https://klasma.github.io/Logging_2401/artfynd/A 39851-2023 artfynd.xlsx", "A 39851-2023")</f>
        <v/>
      </c>
      <c r="X44">
        <f>HYPERLINK("https://klasma.github.io/Logging_2401/kartor/A 39851-2023 karta.png", "A 39851-2023")</f>
        <v/>
      </c>
      <c r="Y44">
        <f>HYPERLINK("https://klasma.github.io/Logging_2401/kartor_geotiff/A 39851-2023 georefererad karta.tif", "A 39851-2023")</f>
        <v/>
      </c>
      <c r="AA44">
        <f>HYPERLINK("https://klasma.github.io/Logging_2401/klagomål/A 39851-2023 FSC-klagomål.docx", "A 39851-2023")</f>
        <v/>
      </c>
      <c r="AB44">
        <f>HYPERLINK("https://klasma.github.io/Logging_2401/klagomålsmail/A 39851-2023 FSC-klagomål mail.docx", "A 39851-2023")</f>
        <v/>
      </c>
      <c r="AC44">
        <f>HYPERLINK("https://klasma.github.io/Logging_2401/tillsyn/A 39851-2023 tillsynsbegäran.docx", "A 39851-2023")</f>
        <v/>
      </c>
      <c r="AD44">
        <f>HYPERLINK("https://klasma.github.io/Logging_2401/tillsynsmail/A 39851-2023 tillsynsbegäran mail.docx", "A 39851-2023")</f>
        <v/>
      </c>
      <c r="AE44">
        <f>HYPERLINK("https://klasma.github.io/Logging_2401/fåglar/A 39851-2023 prioriterade fågelarter.docx", "A 39851-2023")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46296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37546-2023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45158</v>
      </c>
      <c r="E46" s="1" t="n">
        <v>46296</v>
      </c>
      <c r="F46" t="inlineStr">
        <is>
          <t>VÄSTERBOTTENS LÄN</t>
        </is>
      </c>
      <c r="G46" t="inlineStr">
        <is>
          <t>NORDMALING</t>
        </is>
      </c>
      <c r="I46" t="n">
        <v>4.7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HYPERLINK("https://klasma.github.io/Logging_2401/artfynd/A 37546-2023 artfynd.xlsx", "A 37546-2023")</f>
        <v/>
      </c>
      <c r="X46">
        <f>HYPERLINK("https://klasma.github.io/Logging_2401/kartor/A 37546-2023 karta.png", "A 37546-2023")</f>
        <v/>
      </c>
      <c r="Y46">
        <f>HYPERLINK("https://klasma.github.io/Logging_2401/kartor_geotiff/A 37546-2023 georefererad karta.tif", "A 37546-2023")</f>
        <v/>
      </c>
      <c r="AA46">
        <f>HYPERLINK("https://klasma.github.io/Logging_2401/klagomål/A 37546-2023 FSC-klagomål.docx", "A 37546-2023")</f>
        <v/>
      </c>
      <c r="AB46">
        <f>HYPERLINK("https://klasma.github.io/Logging_2401/klagomålsmail/A 37546-2023 FSC-klagomål mail.docx", "A 37546-2023")</f>
        <v/>
      </c>
      <c r="AC46">
        <f>HYPERLINK("https://klasma.github.io/Logging_2401/tillsyn/A 37546-2023 tillsynsbegäran.docx", "A 37546-2023")</f>
        <v/>
      </c>
      <c r="AD46">
        <f>HYPERLINK("https://klasma.github.io/Logging_2401/tillsynsmail/A 37546-2023 tillsynsbegäran mail.docx", "A 37546-2023")</f>
        <v/>
      </c>
    </row>
    <row r="47" ht="15" customHeight="1">
      <c r="A47" t="inlineStr">
        <is>
          <t>A 61149-2022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46296</v>
      </c>
      <c r="F47" t="inlineStr">
        <is>
          <t>VÄSTERBOTTENS LÄN</t>
        </is>
      </c>
      <c r="G47" t="inlineStr">
        <is>
          <t>NORDMALING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HYPERLINK("https://klasma.github.io/Logging_2401/artfynd/A 61149-2022 artfynd.xlsx", "A 61149-2022")</f>
        <v/>
      </c>
      <c r="X47">
        <f>HYPERLINK("https://klasma.github.io/Logging_2401/kartor/A 61149-2022 karta.png", "A 61149-2022")</f>
        <v/>
      </c>
      <c r="Y47">
        <f>HYPERLINK("https://klasma.github.io/Logging_2401/kartor_geotiff/A 61149-2022 georefererad karta.tif", "A 61149-2022")</f>
        <v/>
      </c>
      <c r="AA47">
        <f>HYPERLINK("https://klasma.github.io/Logging_2401/klagomål/A 61149-2022 FSC-klagomål.docx", "A 61149-2022")</f>
        <v/>
      </c>
      <c r="AB47">
        <f>HYPERLINK("https://klasma.github.io/Logging_2401/klagomålsmail/A 61149-2022 FSC-klagomål mail.docx", "A 61149-2022")</f>
        <v/>
      </c>
      <c r="AC47">
        <f>HYPERLINK("https://klasma.github.io/Logging_2401/tillsyn/A 61149-2022 tillsynsbegäran.docx", "A 61149-2022")</f>
        <v/>
      </c>
      <c r="AD47">
        <f>HYPERLINK("https://klasma.github.io/Logging_2401/tillsynsmail/A 61149-2022 tillsynsbegäran mail.docx", "A 61149-2022")</f>
        <v/>
      </c>
      <c r="AE47">
        <f>HYPERLINK("https://klasma.github.io/Logging_2401/fåglar/A 61149-2022 prioriterade fågelarter.docx", "A 61149-2022")</f>
        <v/>
      </c>
    </row>
    <row r="48" ht="15" customHeight="1">
      <c r="A48" t="inlineStr">
        <is>
          <t>A 35292-2023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46296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Vedskivlav</t>
        </is>
      </c>
      <c r="W48">
        <f>HYPERLINK("https://klasma.github.io/Logging_2401/artfynd/A 35292-2023 artfynd.xlsx", "A 35292-2023")</f>
        <v/>
      </c>
      <c r="X48">
        <f>HYPERLINK("https://klasma.github.io/Logging_2401/kartor/A 35292-2023 karta.png", "A 35292-2023")</f>
        <v/>
      </c>
      <c r="Y48">
        <f>HYPERLINK("https://klasma.github.io/Logging_2401/kartor_geotiff/A 35292-2023 georefererad karta.tif", "A 35292-2023")</f>
        <v/>
      </c>
      <c r="AA48">
        <f>HYPERLINK("https://klasma.github.io/Logging_2401/klagomål/A 35292-2023 FSC-klagomål.docx", "A 35292-2023")</f>
        <v/>
      </c>
      <c r="AB48">
        <f>HYPERLINK("https://klasma.github.io/Logging_2401/klagomålsmail/A 35292-2023 FSC-klagomål mail.docx", "A 35292-2023")</f>
        <v/>
      </c>
      <c r="AC48">
        <f>HYPERLINK("https://klasma.github.io/Logging_2401/tillsyn/A 35292-2023 tillsynsbegäran.docx", "A 35292-2023")</f>
        <v/>
      </c>
      <c r="AD48">
        <f>HYPERLINK("https://klasma.github.io/Logging_2401/tillsynsmail/A 35292-2023 tillsynsbegäran mail.docx", "A 35292-2023")</f>
        <v/>
      </c>
    </row>
    <row r="49" ht="15" customHeight="1">
      <c r="A49" t="inlineStr">
        <is>
          <t>A 72873-2021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44547</v>
      </c>
      <c r="E49" s="1" t="n">
        <v>46296</v>
      </c>
      <c r="F49" t="inlineStr">
        <is>
          <t>VÄSTERBOTTENS LÄN</t>
        </is>
      </c>
      <c r="G49" t="inlineStr">
        <is>
          <t>NORDMALING</t>
        </is>
      </c>
      <c r="I49" t="n">
        <v>0.4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72873-2021 artfynd.xlsx", "A 72873-2021")</f>
        <v/>
      </c>
      <c r="X49">
        <f>HYPERLINK("https://klasma.github.io/Logging_2401/kartor/A 72873-2021 karta.png", "A 72873-2021")</f>
        <v/>
      </c>
      <c r="Y49">
        <f>HYPERLINK("https://klasma.github.io/Logging_2401/kartor_geotiff/A 72873-2021 georefererad karta.tif", "A 72873-2021")</f>
        <v/>
      </c>
      <c r="AA49">
        <f>HYPERLINK("https://klasma.github.io/Logging_2401/klagomål/A 72873-2021 FSC-klagomål.docx", "A 72873-2021")</f>
        <v/>
      </c>
      <c r="AB49">
        <f>HYPERLINK("https://klasma.github.io/Logging_2401/klagomålsmail/A 72873-2021 FSC-klagomål mail.docx", "A 72873-2021")</f>
        <v/>
      </c>
      <c r="AC49">
        <f>HYPERLINK("https://klasma.github.io/Logging_2401/tillsyn/A 72873-2021 tillsynsbegäran.docx", "A 72873-2021")</f>
        <v/>
      </c>
      <c r="AD49">
        <f>HYPERLINK("https://klasma.github.io/Logging_2401/tillsynsmail/A 72873-2021 tillsynsbegäran mail.docx", "A 72873-2021")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46296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46296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61867-2024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45651</v>
      </c>
      <c r="E52" s="1" t="n">
        <v>46296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4.5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Tallticka</t>
        </is>
      </c>
      <c r="W52">
        <f>HYPERLINK("https://klasma.github.io/Logging_2401/artfynd/A 61867-2024 artfynd.xlsx", "A 61867-2024")</f>
        <v/>
      </c>
      <c r="X52">
        <f>HYPERLINK("https://klasma.github.io/Logging_2401/kartor/A 61867-2024 karta.png", "A 61867-2024")</f>
        <v/>
      </c>
      <c r="Y52">
        <f>HYPERLINK("https://klasma.github.io/Logging_2401/kartor_geotiff/A 61867-2024 georefererad karta.tif", "A 61867-2024")</f>
        <v/>
      </c>
      <c r="AA52">
        <f>HYPERLINK("https://klasma.github.io/Logging_2401/klagomål/A 61867-2024 FSC-klagomål.docx", "A 61867-2024")</f>
        <v/>
      </c>
      <c r="AB52">
        <f>HYPERLINK("https://klasma.github.io/Logging_2401/klagomålsmail/A 61867-2024 FSC-klagomål mail.docx", "A 61867-2024")</f>
        <v/>
      </c>
      <c r="AC52">
        <f>HYPERLINK("https://klasma.github.io/Logging_2401/tillsyn/A 61867-2024 tillsynsbegäran.docx", "A 61867-2024")</f>
        <v/>
      </c>
      <c r="AD52">
        <f>HYPERLINK("https://klasma.github.io/Logging_2401/tillsynsmail/A 61867-2024 tillsynsbegäran mail.docx", "A 61867-2024")</f>
        <v/>
      </c>
    </row>
    <row r="53" ht="15" customHeight="1">
      <c r="A53" t="inlineStr">
        <is>
          <t>A 5595-2025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46296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HYPERLINK("https://klasma.github.io/Logging_2401/artfynd/A 5595-2025 artfynd.xlsx", "A 5595-2025")</f>
        <v/>
      </c>
      <c r="X53">
        <f>HYPERLINK("https://klasma.github.io/Logging_2401/kartor/A 5595-2025 karta.png", "A 5595-2025")</f>
        <v/>
      </c>
      <c r="Y53">
        <f>HYPERLINK("https://klasma.github.io/Logging_2401/kartor_geotiff/A 5595-2025 georefererad karta.tif", "A 5595-2025")</f>
        <v/>
      </c>
      <c r="AA53">
        <f>HYPERLINK("https://klasma.github.io/Logging_2401/klagomål/A 5595-2025 FSC-klagomål.docx", "A 5595-2025")</f>
        <v/>
      </c>
      <c r="AB53">
        <f>HYPERLINK("https://klasma.github.io/Logging_2401/klagomålsmail/A 5595-2025 FSC-klagomål mail.docx", "A 5595-2025")</f>
        <v/>
      </c>
      <c r="AC53">
        <f>HYPERLINK("https://klasma.github.io/Logging_2401/tillsyn/A 5595-2025 tillsynsbegäran.docx", "A 5595-2025")</f>
        <v/>
      </c>
      <c r="AD53">
        <f>HYPERLINK("https://klasma.github.io/Logging_2401/tillsynsmail/A 5595-2025 tillsynsbegäran mail.docx", "A 5595-2025")</f>
        <v/>
      </c>
      <c r="AE53">
        <f>HYPERLINK("https://klasma.github.io/Logging_2401/fåglar/A 5595-2025 prioriterade fågelarter.docx", "A 5595-2025")</f>
        <v/>
      </c>
    </row>
    <row r="54" ht="15" customHeight="1">
      <c r="A54" t="inlineStr">
        <is>
          <t>A 29323-2025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46296</v>
      </c>
      <c r="F54" t="inlineStr">
        <is>
          <t>VÄSTERBOTTENS LÄN</t>
        </is>
      </c>
      <c r="G54" t="inlineStr">
        <is>
          <t>NORDMALING</t>
        </is>
      </c>
      <c r="I54" t="n">
        <v>2.9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HYPERLINK("https://klasma.github.io/Logging_2401/artfynd/A 29323-2025 artfynd.xlsx", "A 29323-2025")</f>
        <v/>
      </c>
      <c r="X54">
        <f>HYPERLINK("https://klasma.github.io/Logging_2401/kartor/A 29323-2025 karta.png", "A 29323-2025")</f>
        <v/>
      </c>
      <c r="Y54">
        <f>HYPERLINK("https://klasma.github.io/Logging_2401/kartor_geotiff/A 29323-2025 georefererad karta.tif", "A 29323-2025")</f>
        <v/>
      </c>
      <c r="AA54">
        <f>HYPERLINK("https://klasma.github.io/Logging_2401/klagomål/A 29323-2025 FSC-klagomål.docx", "A 29323-2025")</f>
        <v/>
      </c>
      <c r="AB54">
        <f>HYPERLINK("https://klasma.github.io/Logging_2401/klagomålsmail/A 29323-2025 FSC-klagomål mail.docx", "A 29323-2025")</f>
        <v/>
      </c>
      <c r="AC54">
        <f>HYPERLINK("https://klasma.github.io/Logging_2401/tillsyn/A 29323-2025 tillsynsbegäran.docx", "A 29323-2025")</f>
        <v/>
      </c>
      <c r="AD54">
        <f>HYPERLINK("https://klasma.github.io/Logging_2401/tillsynsmail/A 29323-2025 tillsynsbegäran mail.docx", "A 29323-2025")</f>
        <v/>
      </c>
    </row>
    <row r="55" ht="15" customHeight="1">
      <c r="A55" t="inlineStr">
        <is>
          <t>A 54893-2024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46296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Gammelgransskål</t>
        </is>
      </c>
      <c r="W55">
        <f>HYPERLINK("https://klasma.github.io/Logging_2401/artfynd/A 54893-2024 artfynd.xlsx", "A 54893-2024")</f>
        <v/>
      </c>
      <c r="X55">
        <f>HYPERLINK("https://klasma.github.io/Logging_2401/kartor/A 54893-2024 karta.png", "A 54893-2024")</f>
        <v/>
      </c>
      <c r="Y55">
        <f>HYPERLINK("https://klasma.github.io/Logging_2401/kartor_geotiff/A 54893-2024 georefererad karta.tif", "A 54893-2024")</f>
        <v/>
      </c>
      <c r="AA55">
        <f>HYPERLINK("https://klasma.github.io/Logging_2401/klagomål/A 54893-2024 FSC-klagomål.docx", "A 54893-2024")</f>
        <v/>
      </c>
      <c r="AB55">
        <f>HYPERLINK("https://klasma.github.io/Logging_2401/klagomålsmail/A 54893-2024 FSC-klagomål mail.docx", "A 54893-2024")</f>
        <v/>
      </c>
      <c r="AC55">
        <f>HYPERLINK("https://klasma.github.io/Logging_2401/tillsyn/A 54893-2024 tillsynsbegäran.docx", "A 54893-2024")</f>
        <v/>
      </c>
      <c r="AD55">
        <f>HYPERLINK("https://klasma.github.io/Logging_2401/tillsynsmail/A 54893-2024 tillsynsbegäran mail.docx", "A 54893-2024")</f>
        <v/>
      </c>
    </row>
    <row r="56" ht="15" customHeight="1">
      <c r="A56" t="inlineStr">
        <is>
          <t>A 33496-2022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44788</v>
      </c>
      <c r="E56" s="1" t="n">
        <v>46296</v>
      </c>
      <c r="F56" t="inlineStr">
        <is>
          <t>VÄSTERBOTTENS LÄN</t>
        </is>
      </c>
      <c r="G56" t="inlineStr">
        <is>
          <t>NORDMALING</t>
        </is>
      </c>
      <c r="I56" t="n">
        <v>6.5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Buskskvätta</t>
        </is>
      </c>
      <c r="W56">
        <f>HYPERLINK("https://klasma.github.io/Logging_2401/artfynd/A 33496-2022 artfynd.xlsx", "A 33496-2022")</f>
        <v/>
      </c>
      <c r="X56">
        <f>HYPERLINK("https://klasma.github.io/Logging_2401/kartor/A 33496-2022 karta.png", "A 33496-2022")</f>
        <v/>
      </c>
      <c r="Y56">
        <f>HYPERLINK("https://klasma.github.io/Logging_2401/kartor_geotiff/A 33496-2022 georefererad karta.tif", "A 33496-2022")</f>
        <v/>
      </c>
      <c r="AA56">
        <f>HYPERLINK("https://klasma.github.io/Logging_2401/klagomål/A 33496-2022 FSC-klagomål.docx", "A 33496-2022")</f>
        <v/>
      </c>
      <c r="AB56">
        <f>HYPERLINK("https://klasma.github.io/Logging_2401/klagomålsmail/A 33496-2022 FSC-klagomål mail.docx", "A 33496-2022")</f>
        <v/>
      </c>
      <c r="AC56">
        <f>HYPERLINK("https://klasma.github.io/Logging_2401/tillsyn/A 33496-2022 tillsynsbegäran.docx", "A 33496-2022")</f>
        <v/>
      </c>
      <c r="AD56">
        <f>HYPERLINK("https://klasma.github.io/Logging_2401/tillsynsmail/A 33496-2022 tillsynsbegäran mail.docx", "A 33496-2022")</f>
        <v/>
      </c>
    </row>
    <row r="57" ht="15" customHeight="1">
      <c r="A57" t="inlineStr">
        <is>
          <t>A 60773-2025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46296</v>
      </c>
      <c r="F57" t="inlineStr">
        <is>
          <t>VÄSTERBOTTENS LÄN</t>
        </is>
      </c>
      <c r="G57" t="inlineStr">
        <is>
          <t>NORDMALING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Gammelgransskål</t>
        </is>
      </c>
      <c r="W57">
        <f>HYPERLINK("https://klasma.github.io/Logging_2401/artfynd/A 60773-2025 artfynd.xlsx", "A 60773-2025")</f>
        <v/>
      </c>
      <c r="X57">
        <f>HYPERLINK("https://klasma.github.io/Logging_2401/kartor/A 60773-2025 karta.png", "A 60773-2025")</f>
        <v/>
      </c>
      <c r="Y57">
        <f>HYPERLINK("https://klasma.github.io/Logging_2401/kartor_geotiff/A 60773-2025 georefererad karta.tif", "A 60773-2025")</f>
        <v/>
      </c>
      <c r="AA57">
        <f>HYPERLINK("https://klasma.github.io/Logging_2401/klagomål/A 60773-2025 FSC-klagomål.docx", "A 60773-2025")</f>
        <v/>
      </c>
      <c r="AB57">
        <f>HYPERLINK("https://klasma.github.io/Logging_2401/klagomålsmail/A 60773-2025 FSC-klagomål mail.docx", "A 60773-2025")</f>
        <v/>
      </c>
      <c r="AC57">
        <f>HYPERLINK("https://klasma.github.io/Logging_2401/tillsyn/A 60773-2025 tillsynsbegäran.docx", "A 60773-2025")</f>
        <v/>
      </c>
      <c r="AD57">
        <f>HYPERLINK("https://klasma.github.io/Logging_2401/tillsynsmail/A 60773-2025 tillsynsbegäran mail.docx", "A 60773-2025")</f>
        <v/>
      </c>
    </row>
    <row r="58" ht="15" customHeight="1">
      <c r="A58" t="inlineStr">
        <is>
          <t>A 60756-2025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46296</v>
      </c>
      <c r="F58" t="inlineStr">
        <is>
          <t>VÄSTERBOTTENS LÄN</t>
        </is>
      </c>
      <c r="G58" t="inlineStr">
        <is>
          <t>NORDMALING</t>
        </is>
      </c>
      <c r="H58" t="inlineStr">
        <is>
          <t>Holmen skog AB</t>
        </is>
      </c>
      <c r="I58" t="n">
        <v>8.800000000000001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HYPERLINK("https://klasma.github.io/Logging_2401/artfynd/A 60756-2025 artfynd.xlsx", "A 60756-2025")</f>
        <v/>
      </c>
      <c r="X58">
        <f>HYPERLINK("https://klasma.github.io/Logging_2401/kartor/A 60756-2025 karta.png", "A 60756-2025")</f>
        <v/>
      </c>
      <c r="Y58">
        <f>HYPERLINK("https://klasma.github.io/Logging_2401/kartor_geotiff/A 60756-2025 georefererad karta.tif", "A 60756-2025")</f>
        <v/>
      </c>
      <c r="AA58">
        <f>HYPERLINK("https://klasma.github.io/Logging_2401/klagomål/A 60756-2025 FSC-klagomål.docx", "A 60756-2025")</f>
        <v/>
      </c>
      <c r="AB58">
        <f>HYPERLINK("https://klasma.github.io/Logging_2401/klagomålsmail/A 60756-2025 FSC-klagomål mail.docx", "A 60756-2025")</f>
        <v/>
      </c>
      <c r="AC58">
        <f>HYPERLINK("https://klasma.github.io/Logging_2401/tillsyn/A 60756-2025 tillsynsbegäran.docx", "A 60756-2025")</f>
        <v/>
      </c>
      <c r="AD58">
        <f>HYPERLINK("https://klasma.github.io/Logging_2401/tillsynsmail/A 60756-2025 tillsynsbegäran mail.docx", "A 60756-2025")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46296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9717-2026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46072</v>
      </c>
      <c r="E60" s="1" t="n">
        <v>46296</v>
      </c>
      <c r="F60" t="inlineStr">
        <is>
          <t>VÄSTERBOTTENS LÄN</t>
        </is>
      </c>
      <c r="G60" t="inlineStr">
        <is>
          <t>NORDMALING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HYPERLINK("https://klasma.github.io/Logging_2401/artfynd/A 9717-2026 artfynd.xlsx", "A 9717-2026")</f>
        <v/>
      </c>
      <c r="X60">
        <f>HYPERLINK("https://klasma.github.io/Logging_2401/kartor/A 9717-2026 karta.png", "A 9717-2026")</f>
        <v/>
      </c>
      <c r="Y60">
        <f>HYPERLINK("https://klasma.github.io/Logging_2401/kartor_geotiff/A 9717-2026 georefererad karta.tif", "A 9717-2026")</f>
        <v/>
      </c>
      <c r="AA60">
        <f>HYPERLINK("https://klasma.github.io/Logging_2401/klagomål/A 9717-2026 FSC-klagomål.docx", "A 9717-2026")</f>
        <v/>
      </c>
      <c r="AB60">
        <f>HYPERLINK("https://klasma.github.io/Logging_2401/klagomålsmail/A 9717-2026 FSC-klagomål mail.docx", "A 9717-2026")</f>
        <v/>
      </c>
      <c r="AC60">
        <f>HYPERLINK("https://klasma.github.io/Logging_2401/tillsyn/A 9717-2026 tillsynsbegäran.docx", "A 9717-2026")</f>
        <v/>
      </c>
      <c r="AD60">
        <f>HYPERLINK("https://klasma.github.io/Logging_2401/tillsynsmail/A 9717-2026 tillsynsbegäran mail.docx", "A 9717-2026")</f>
        <v/>
      </c>
    </row>
    <row r="61" ht="15" customHeight="1">
      <c r="A61" t="inlineStr">
        <is>
          <t>A 18897-2026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46129</v>
      </c>
      <c r="E61" s="1" t="n">
        <v>46296</v>
      </c>
      <c r="F61" t="inlineStr">
        <is>
          <t>VÄSTERBOTTENS LÄN</t>
        </is>
      </c>
      <c r="G61" t="inlineStr">
        <is>
          <t>NORDMALING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Trana</t>
        </is>
      </c>
      <c r="W61">
        <f>HYPERLINK("https://klasma.github.io/Logging_2401/artfynd/A 18897-2026 artfynd.xlsx", "A 18897-2026")</f>
        <v/>
      </c>
      <c r="X61">
        <f>HYPERLINK("https://klasma.github.io/Logging_2401/kartor/A 18897-2026 karta.png", "A 18897-2026")</f>
        <v/>
      </c>
      <c r="Y61">
        <f>HYPERLINK("https://klasma.github.io/Logging_2401/kartor_geotiff/A 18897-2026 georefererad karta.tif", "A 18897-2026")</f>
        <v/>
      </c>
      <c r="AA61">
        <f>HYPERLINK("https://klasma.github.io/Logging_2401/klagomål/A 18897-2026 FSC-klagomål.docx", "A 18897-2026")</f>
        <v/>
      </c>
      <c r="AB61">
        <f>HYPERLINK("https://klasma.github.io/Logging_2401/klagomålsmail/A 18897-2026 FSC-klagomål mail.docx", "A 18897-2026")</f>
        <v/>
      </c>
      <c r="AC61">
        <f>HYPERLINK("https://klasma.github.io/Logging_2401/tillsyn/A 18897-2026 tillsynsbegäran.docx", "A 18897-2026")</f>
        <v/>
      </c>
      <c r="AD61">
        <f>HYPERLINK("https://klasma.github.io/Logging_2401/tillsynsmail/A 18897-2026 tillsynsbegäran mail.docx", "A 18897-2026")</f>
        <v/>
      </c>
      <c r="AE61">
        <f>HYPERLINK("https://klasma.github.io/Logging_2401/fåglar/A 18897-2026 prioriterade fågelarter.docx", "A 18897-2026")</f>
        <v/>
      </c>
    </row>
    <row r="62" ht="15" customHeight="1">
      <c r="A62" t="inlineStr">
        <is>
          <t>A 25996-2026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46296</v>
      </c>
      <c r="F62" t="inlineStr">
        <is>
          <t>VÄSTERBOTTENS LÄN</t>
        </is>
      </c>
      <c r="G62" t="inlineStr">
        <is>
          <t>NORDMALING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Brudborste</t>
        </is>
      </c>
      <c r="W62">
        <f>HYPERLINK("https://klasma.github.io/Logging_2401/artfynd/A 25996-2026 artfynd.xlsx", "A 25996-2026")</f>
        <v/>
      </c>
      <c r="X62">
        <f>HYPERLINK("https://klasma.github.io/Logging_2401/kartor/A 25996-2026 karta.png", "A 25996-2026")</f>
        <v/>
      </c>
      <c r="Y62">
        <f>HYPERLINK("https://klasma.github.io/Logging_2401/kartor_geotiff/A 25996-2026 georefererad karta.tif", "A 25996-2026")</f>
        <v/>
      </c>
      <c r="AA62">
        <f>HYPERLINK("https://klasma.github.io/Logging_2401/klagomål/A 25996-2026 FSC-klagomål.docx", "A 25996-2026")</f>
        <v/>
      </c>
      <c r="AB62">
        <f>HYPERLINK("https://klasma.github.io/Logging_2401/klagomålsmail/A 25996-2026 FSC-klagomål mail.docx", "A 25996-2026")</f>
        <v/>
      </c>
      <c r="AC62">
        <f>HYPERLINK("https://klasma.github.io/Logging_2401/tillsyn/A 25996-2026 tillsynsbegäran.docx", "A 25996-2026")</f>
        <v/>
      </c>
      <c r="AD62">
        <f>HYPERLINK("https://klasma.github.io/Logging_2401/tillsynsmail/A 25996-2026 tillsynsbegäran mail.docx", "A 25996-2026")</f>
        <v/>
      </c>
    </row>
    <row r="63" ht="15" customHeight="1">
      <c r="A63" t="inlineStr">
        <is>
          <t>A 30921-2026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46296</v>
      </c>
      <c r="F63" t="inlineStr">
        <is>
          <t>VÄSTERBOTTENS LÄN</t>
        </is>
      </c>
      <c r="G63" t="inlineStr">
        <is>
          <t>NORDMALING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HYPERLINK("https://klasma.github.io/Logging_2401/artfynd/A 30921-2026 artfynd.xlsx", "A 30921-2026")</f>
        <v/>
      </c>
      <c r="X63">
        <f>HYPERLINK("https://klasma.github.io/Logging_2401/kartor/A 30921-2026 karta.png", "A 30921-2026")</f>
        <v/>
      </c>
      <c r="Y63">
        <f>HYPERLINK("https://klasma.github.io/Logging_2401/kartor_geotiff/A 30921-2026 georefererad karta.tif", "A 30921-2026")</f>
        <v/>
      </c>
      <c r="AA63">
        <f>HYPERLINK("https://klasma.github.io/Logging_2401/klagomål/A 30921-2026 FSC-klagomål.docx", "A 30921-2026")</f>
        <v/>
      </c>
      <c r="AB63">
        <f>HYPERLINK("https://klasma.github.io/Logging_2401/klagomålsmail/A 30921-2026 FSC-klagomål mail.docx", "A 30921-2026")</f>
        <v/>
      </c>
      <c r="AC63">
        <f>HYPERLINK("https://klasma.github.io/Logging_2401/tillsyn/A 30921-2026 tillsynsbegäran.docx", "A 30921-2026")</f>
        <v/>
      </c>
      <c r="AD63">
        <f>HYPERLINK("https://klasma.github.io/Logging_2401/tillsynsmail/A 30921-2026 tillsynsbegäran mail.docx", "A 30921-2026")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46296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46296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46296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46296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46296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46296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46296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46296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46296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46296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46296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46296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46296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46296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46296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46296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46296</v>
      </c>
      <c r="F80" t="inlineStr">
        <is>
          <t>VÄSTERBOTTENS LÄN</t>
        </is>
      </c>
      <c r="G80" t="inlineStr">
        <is>
          <t>NORDMALING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46296</v>
      </c>
      <c r="F81" t="inlineStr">
        <is>
          <t>VÄSTERBOTTENS LÄN</t>
        </is>
      </c>
      <c r="G81" t="inlineStr">
        <is>
          <t>NORDMALING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44565</v>
      </c>
      <c r="E82" s="1" t="n">
        <v>46296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44833</v>
      </c>
      <c r="E83" s="1" t="n">
        <v>46296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44759</v>
      </c>
      <c r="E84" s="1" t="n">
        <v>46296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46296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46296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46296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14207-2022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44651</v>
      </c>
      <c r="E88" s="1" t="n">
        <v>46296</v>
      </c>
      <c r="F88" t="inlineStr">
        <is>
          <t>VÄSTERBOTTENS LÄN</t>
        </is>
      </c>
      <c r="G88" t="inlineStr">
        <is>
          <t>NORDMALING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58034-2021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46296</v>
      </c>
      <c r="F89" t="inlineStr">
        <is>
          <t>VÄSTERBOTTENS LÄN</t>
        </is>
      </c>
      <c r="G89" t="inlineStr">
        <is>
          <t>NORDMALING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46296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46296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46296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46296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46296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46296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46296</v>
      </c>
      <c r="F96" t="inlineStr">
        <is>
          <t>VÄSTERBOTTENS LÄN</t>
        </is>
      </c>
      <c r="G96" t="inlineStr">
        <is>
          <t>NORDMALING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46296</v>
      </c>
      <c r="F97" t="inlineStr">
        <is>
          <t>VÄSTERBOTTENS LÄN</t>
        </is>
      </c>
      <c r="G97" t="inlineStr">
        <is>
          <t>NORDMALING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45062</v>
      </c>
      <c r="E98" s="1" t="n">
        <v>46296</v>
      </c>
      <c r="F98" t="inlineStr">
        <is>
          <t>VÄSTERBOTTENS LÄN</t>
        </is>
      </c>
      <c r="G98" t="inlineStr">
        <is>
          <t>NORDMALING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46296</v>
      </c>
      <c r="F99" t="inlineStr">
        <is>
          <t>VÄSTERBOTTENS LÄN</t>
        </is>
      </c>
      <c r="G99" t="inlineStr">
        <is>
          <t>NORDMALING</t>
        </is>
      </c>
      <c r="H99" t="inlineStr">
        <is>
          <t>SCA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44968</v>
      </c>
      <c r="E100" s="1" t="n">
        <v>46296</v>
      </c>
      <c r="F100" t="inlineStr">
        <is>
          <t>VÄSTERBOTTENS LÄN</t>
        </is>
      </c>
      <c r="G100" t="inlineStr">
        <is>
          <t>NORDMALING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46296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46296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45447</v>
      </c>
      <c r="E103" s="1" t="n">
        <v>46296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Holmen skog AB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14540-2022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44655</v>
      </c>
      <c r="E104" s="1" t="n">
        <v>46296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46296</v>
      </c>
      <c r="F105" t="inlineStr">
        <is>
          <t>VÄSTERBOTTENS LÄN</t>
        </is>
      </c>
      <c r="G105" t="inlineStr">
        <is>
          <t>NORDMALING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46296</v>
      </c>
      <c r="F106" t="inlineStr">
        <is>
          <t>VÄSTERBOTTENS LÄN</t>
        </is>
      </c>
      <c r="G106" t="inlineStr">
        <is>
          <t>NORDMALING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45247</v>
      </c>
      <c r="E107" s="1" t="n">
        <v>46296</v>
      </c>
      <c r="F107" t="inlineStr">
        <is>
          <t>VÄSTERBOTTENS LÄN</t>
        </is>
      </c>
      <c r="G107" t="inlineStr">
        <is>
          <t>NORDMALING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46296</v>
      </c>
      <c r="F108" t="inlineStr">
        <is>
          <t>VÄSTERBOTTENS LÄN</t>
        </is>
      </c>
      <c r="G108" t="inlineStr">
        <is>
          <t>NORDMALING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46296</v>
      </c>
      <c r="F109" t="inlineStr">
        <is>
          <t>VÄSTERBOTTENS LÄN</t>
        </is>
      </c>
      <c r="G109" t="inlineStr">
        <is>
          <t>NORDMALING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44922</v>
      </c>
      <c r="E110" s="1" t="n">
        <v>46296</v>
      </c>
      <c r="F110" t="inlineStr">
        <is>
          <t>VÄSTERBOTTENS LÄN</t>
        </is>
      </c>
      <c r="G110" t="inlineStr">
        <is>
          <t>NORDMALING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46296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45096</v>
      </c>
      <c r="E112" s="1" t="n">
        <v>46296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46296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44905</v>
      </c>
      <c r="E114" s="1" t="n">
        <v>46296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44854</v>
      </c>
      <c r="E115" s="1" t="n">
        <v>46296</v>
      </c>
      <c r="F115" t="inlineStr">
        <is>
          <t>VÄSTERBOTTENS LÄN</t>
        </is>
      </c>
      <c r="G115" t="inlineStr">
        <is>
          <t>NORDMALING</t>
        </is>
      </c>
      <c r="I115" t="n">
        <v>10.5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46296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45034</v>
      </c>
      <c r="E117" s="1" t="n">
        <v>46296</v>
      </c>
      <c r="F117" t="inlineStr">
        <is>
          <t>VÄSTERBOTTENS LÄN</t>
        </is>
      </c>
      <c r="G117" t="inlineStr">
        <is>
          <t>NORDMALING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64498-2023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45280</v>
      </c>
      <c r="E118" s="1" t="n">
        <v>46296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46296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46296</v>
      </c>
      <c r="F120" t="inlineStr">
        <is>
          <t>VÄSTERBOTTENS LÄN</t>
        </is>
      </c>
      <c r="G120" t="inlineStr">
        <is>
          <t>NORDMALING</t>
        </is>
      </c>
      <c r="I120" t="n">
        <v>20.1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45139</v>
      </c>
      <c r="E121" s="1" t="n">
        <v>46296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45569</v>
      </c>
      <c r="E122" s="1" t="n">
        <v>46296</v>
      </c>
      <c r="F122" t="inlineStr">
        <is>
          <t>VÄSTERBOTTENS LÄN</t>
        </is>
      </c>
      <c r="G122" t="inlineStr">
        <is>
          <t>NORDMALING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46296</v>
      </c>
      <c r="F123" t="inlineStr">
        <is>
          <t>VÄSTERBOTTENS LÄN</t>
        </is>
      </c>
      <c r="G123" t="inlineStr">
        <is>
          <t>NORDMALING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24415-2024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45457</v>
      </c>
      <c r="E124" s="1" t="n">
        <v>46296</v>
      </c>
      <c r="F124" t="inlineStr">
        <is>
          <t>VÄSTERBOTTENS LÄN</t>
        </is>
      </c>
      <c r="G124" t="inlineStr">
        <is>
          <t>NORDMALING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45241</v>
      </c>
      <c r="E125" s="1" t="n">
        <v>46296</v>
      </c>
      <c r="F125" t="inlineStr">
        <is>
          <t>VÄSTERBOTTENS LÄN</t>
        </is>
      </c>
      <c r="G125" t="inlineStr">
        <is>
          <t>NORDMALING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46296</v>
      </c>
      <c r="F126" t="inlineStr">
        <is>
          <t>VÄSTERBOTTENS LÄN</t>
        </is>
      </c>
      <c r="G126" t="inlineStr">
        <is>
          <t>NORDMALING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14689-2025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45742</v>
      </c>
      <c r="E127" s="1" t="n">
        <v>46296</v>
      </c>
      <c r="F127" t="inlineStr">
        <is>
          <t>VÄSTERBOTTENS LÄN</t>
        </is>
      </c>
      <c r="G127" t="inlineStr">
        <is>
          <t>NORDMALING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46296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45575</v>
      </c>
      <c r="E129" s="1" t="n">
        <v>46296</v>
      </c>
      <c r="F129" t="inlineStr">
        <is>
          <t>VÄSTERBOTTENS LÄN</t>
        </is>
      </c>
      <c r="G129" t="inlineStr">
        <is>
          <t>NORDMALING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46296</v>
      </c>
      <c r="F130" t="inlineStr">
        <is>
          <t>VÄSTERBOTTENS LÄN</t>
        </is>
      </c>
      <c r="G130" t="inlineStr">
        <is>
          <t>NORDMALING</t>
        </is>
      </c>
      <c r="H130" t="inlineStr">
        <is>
          <t>SCA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45141</v>
      </c>
      <c r="E131" s="1" t="n">
        <v>46296</v>
      </c>
      <c r="F131" t="inlineStr">
        <is>
          <t>VÄSTERBOTTENS LÄN</t>
        </is>
      </c>
      <c r="G131" t="inlineStr">
        <is>
          <t>NORDMALING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46296</v>
      </c>
      <c r="F132" t="inlineStr">
        <is>
          <t>VÄSTERBOTTENS LÄN</t>
        </is>
      </c>
      <c r="G132" t="inlineStr">
        <is>
          <t>NORDMALING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65688-2021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46296</v>
      </c>
      <c r="F133" t="inlineStr">
        <is>
          <t>VÄSTERBOTTENS LÄN</t>
        </is>
      </c>
      <c r="G133" t="inlineStr">
        <is>
          <t>NORDMALING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46296</v>
      </c>
      <c r="F134" t="inlineStr">
        <is>
          <t>VÄSTERBOTTENS LÄN</t>
        </is>
      </c>
      <c r="G134" t="inlineStr">
        <is>
          <t>NORDMALING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32183-2023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45119</v>
      </c>
      <c r="E135" s="1" t="n">
        <v>46296</v>
      </c>
      <c r="F135" t="inlineStr">
        <is>
          <t>VÄSTERBOTTENS LÄN</t>
        </is>
      </c>
      <c r="G135" t="inlineStr">
        <is>
          <t>NORDMALING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46296</v>
      </c>
      <c r="F136" t="inlineStr">
        <is>
          <t>VÄSTERBOTTENS LÄN</t>
        </is>
      </c>
      <c r="G136" t="inlineStr">
        <is>
          <t>NORDMALING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46296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46296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46296</v>
      </c>
      <c r="F139" t="inlineStr">
        <is>
          <t>VÄSTERBOTTENS LÄN</t>
        </is>
      </c>
      <c r="G139" t="inlineStr">
        <is>
          <t>NORDMALING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46296</v>
      </c>
      <c r="F140" t="inlineStr">
        <is>
          <t>VÄSTERBOTTENS LÄN</t>
        </is>
      </c>
      <c r="G140" t="inlineStr">
        <is>
          <t>NORDMALING</t>
        </is>
      </c>
      <c r="I140" t="n">
        <v>13.1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46296</v>
      </c>
      <c r="F141" t="inlineStr">
        <is>
          <t>VÄSTERBOTTENS LÄN</t>
        </is>
      </c>
      <c r="G141" t="inlineStr">
        <is>
          <t>NORDMALING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46296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46296</v>
      </c>
      <c r="F143" t="inlineStr">
        <is>
          <t>VÄSTERBOTTENS LÄN</t>
        </is>
      </c>
      <c r="G143" t="inlineStr">
        <is>
          <t>NORDMALING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46296</v>
      </c>
      <c r="F144" t="inlineStr">
        <is>
          <t>VÄSTERBOTTENS LÄN</t>
        </is>
      </c>
      <c r="G144" t="inlineStr">
        <is>
          <t>NORDMALING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19300-2023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45049</v>
      </c>
      <c r="E145" s="1" t="n">
        <v>46296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Kyrkan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46296</v>
      </c>
      <c r="F146" t="inlineStr">
        <is>
          <t>VÄSTERBOTTENS LÄN</t>
        </is>
      </c>
      <c r="G146" t="inlineStr">
        <is>
          <t>NORDMALING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45141</v>
      </c>
      <c r="E147" s="1" t="n">
        <v>46296</v>
      </c>
      <c r="F147" t="inlineStr">
        <is>
          <t>VÄSTERBOTTENS LÄN</t>
        </is>
      </c>
      <c r="G147" t="inlineStr">
        <is>
          <t>NORDMALING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46296</v>
      </c>
      <c r="F148" t="inlineStr">
        <is>
          <t>VÄSTERBOTTENS LÄN</t>
        </is>
      </c>
      <c r="G148" t="inlineStr">
        <is>
          <t>NORDMALING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45330</v>
      </c>
      <c r="E149" s="1" t="n">
        <v>46296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48945-2022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44859</v>
      </c>
      <c r="E150" s="1" t="n">
        <v>46296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45665</v>
      </c>
      <c r="E151" s="1" t="n">
        <v>46296</v>
      </c>
      <c r="F151" t="inlineStr">
        <is>
          <t>VÄSTERBOTTENS LÄN</t>
        </is>
      </c>
      <c r="G151" t="inlineStr">
        <is>
          <t>NORDMALING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46296</v>
      </c>
      <c r="F152" t="inlineStr">
        <is>
          <t>VÄSTERBOTTENS LÄN</t>
        </is>
      </c>
      <c r="G152" t="inlineStr">
        <is>
          <t>NORDMALING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21079-2024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46296</v>
      </c>
      <c r="F153" t="inlineStr">
        <is>
          <t>VÄSTERBOTTENS LÄN</t>
        </is>
      </c>
      <c r="G153" t="inlineStr">
        <is>
          <t>NORDMALING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46296</v>
      </c>
      <c r="F154" t="inlineStr">
        <is>
          <t>VÄSTERBOTTENS LÄN</t>
        </is>
      </c>
      <c r="G154" t="inlineStr">
        <is>
          <t>NORDMALING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19581-2024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45429</v>
      </c>
      <c r="E155" s="1" t="n">
        <v>46296</v>
      </c>
      <c r="F155" t="inlineStr">
        <is>
          <t>VÄSTERBOTTENS LÄN</t>
        </is>
      </c>
      <c r="G155" t="inlineStr">
        <is>
          <t>NORDMALING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46296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46296</v>
      </c>
      <c r="F157" t="inlineStr">
        <is>
          <t>VÄSTERBOTTENS LÄN</t>
        </is>
      </c>
      <c r="G157" t="inlineStr">
        <is>
          <t>NORDMALING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46296</v>
      </c>
      <c r="F158" t="inlineStr">
        <is>
          <t>VÄSTERBOTTENS LÄN</t>
        </is>
      </c>
      <c r="G158" t="inlineStr">
        <is>
          <t>NORDMALING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46296</v>
      </c>
      <c r="F159" t="inlineStr">
        <is>
          <t>VÄSTERBOTTENS LÄN</t>
        </is>
      </c>
      <c r="G159" t="inlineStr">
        <is>
          <t>NORDMALING</t>
        </is>
      </c>
      <c r="I159" t="n">
        <v>82.40000000000001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46296</v>
      </c>
      <c r="F160" t="inlineStr">
        <is>
          <t>VÄSTERBOTTENS LÄN</t>
        </is>
      </c>
      <c r="G160" t="inlineStr">
        <is>
          <t>NORDMALING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46296</v>
      </c>
      <c r="F161" t="inlineStr">
        <is>
          <t>VÄSTERBOTTENS LÄN</t>
        </is>
      </c>
      <c r="G161" t="inlineStr">
        <is>
          <t>NORDMALING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7700-2024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46296</v>
      </c>
      <c r="F162" t="inlineStr">
        <is>
          <t>VÄSTERBOTTENS LÄN</t>
        </is>
      </c>
      <c r="G162" t="inlineStr">
        <is>
          <t>NORDMALING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46296</v>
      </c>
      <c r="F163" t="inlineStr">
        <is>
          <t>VÄSTERBOTTENS LÄN</t>
        </is>
      </c>
      <c r="G163" t="inlineStr">
        <is>
          <t>NORDMALING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45764</v>
      </c>
      <c r="E164" s="1" t="n">
        <v>46296</v>
      </c>
      <c r="F164" t="inlineStr">
        <is>
          <t>VÄSTERBOTTENS LÄN</t>
        </is>
      </c>
      <c r="G164" t="inlineStr">
        <is>
          <t>NORDMALING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45173</v>
      </c>
      <c r="E165" s="1" t="n">
        <v>46296</v>
      </c>
      <c r="F165" t="inlineStr">
        <is>
          <t>VÄSTERBOTTENS LÄN</t>
        </is>
      </c>
      <c r="G165" t="inlineStr">
        <is>
          <t>NORDMALING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18232-2024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45420</v>
      </c>
      <c r="E166" s="1" t="n">
        <v>46296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38285-2022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46296</v>
      </c>
      <c r="F167" t="inlineStr">
        <is>
          <t>VÄSTERBOTTENS LÄN</t>
        </is>
      </c>
      <c r="G167" t="inlineStr">
        <is>
          <t>NORDMALING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46296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46296</v>
      </c>
      <c r="F169" t="inlineStr">
        <is>
          <t>VÄSTERBOTTENS LÄN</t>
        </is>
      </c>
      <c r="G169" t="inlineStr">
        <is>
          <t>NORDMALING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46296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45158</v>
      </c>
      <c r="E171" s="1" t="n">
        <v>46296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46296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46296</v>
      </c>
      <c r="F173" t="inlineStr">
        <is>
          <t>VÄSTERBOTTENS LÄN</t>
        </is>
      </c>
      <c r="G173" t="inlineStr">
        <is>
          <t>NORDMALING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46296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46296</v>
      </c>
      <c r="F175" t="inlineStr">
        <is>
          <t>VÄSTERBOTTENS LÄN</t>
        </is>
      </c>
      <c r="G175" t="inlineStr">
        <is>
          <t>NORDMALING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46296</v>
      </c>
      <c r="F176" t="inlineStr">
        <is>
          <t>VÄSTERBOTTENS LÄN</t>
        </is>
      </c>
      <c r="G176" t="inlineStr">
        <is>
          <t>NORDMALING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46296</v>
      </c>
      <c r="F177" t="inlineStr">
        <is>
          <t>VÄSTERBOTTENS LÄN</t>
        </is>
      </c>
      <c r="G177" t="inlineStr">
        <is>
          <t>NORDMALING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45568</v>
      </c>
      <c r="E178" s="1" t="n">
        <v>46296</v>
      </c>
      <c r="F178" t="inlineStr">
        <is>
          <t>VÄSTERBOTTENS LÄN</t>
        </is>
      </c>
      <c r="G178" t="inlineStr">
        <is>
          <t>NORDMALING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46296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34184-2023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45126</v>
      </c>
      <c r="E180" s="1" t="n">
        <v>46296</v>
      </c>
      <c r="F180" t="inlineStr">
        <is>
          <t>VÄSTERBOTTENS LÄN</t>
        </is>
      </c>
      <c r="G180" t="inlineStr">
        <is>
          <t>NORDMALING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72841-2021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44547</v>
      </c>
      <c r="E181" s="1" t="n">
        <v>46296</v>
      </c>
      <c r="F181" t="inlineStr">
        <is>
          <t>VÄSTERBOTTENS LÄN</t>
        </is>
      </c>
      <c r="G181" t="inlineStr">
        <is>
          <t>NORDMALING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46296</v>
      </c>
      <c r="F182" t="inlineStr">
        <is>
          <t>VÄSTERBOTTENS LÄN</t>
        </is>
      </c>
      <c r="G182" t="inlineStr">
        <is>
          <t>NORDMALING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59913-2022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46296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35291-2023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45145</v>
      </c>
      <c r="E184" s="1" t="n">
        <v>46296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45770</v>
      </c>
      <c r="E185" s="1" t="n">
        <v>46296</v>
      </c>
      <c r="F185" t="inlineStr">
        <is>
          <t>VÄSTERBOTTENS LÄN</t>
        </is>
      </c>
      <c r="G185" t="inlineStr">
        <is>
          <t>NORDMALING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72018-2021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44540</v>
      </c>
      <c r="E186" s="1" t="n">
        <v>46296</v>
      </c>
      <c r="F186" t="inlineStr">
        <is>
          <t>VÄSTERBOTTENS LÄN</t>
        </is>
      </c>
      <c r="G186" t="inlineStr">
        <is>
          <t>NORDMALING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44789</v>
      </c>
      <c r="E187" s="1" t="n">
        <v>46296</v>
      </c>
      <c r="F187" t="inlineStr">
        <is>
          <t>VÄSTERBOTTENS LÄN</t>
        </is>
      </c>
      <c r="G187" t="inlineStr">
        <is>
          <t>NORDMALING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46296</v>
      </c>
      <c r="F188" t="inlineStr">
        <is>
          <t>VÄSTERBOTTENS LÄN</t>
        </is>
      </c>
      <c r="G188" t="inlineStr">
        <is>
          <t>NORDMALING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46296</v>
      </c>
      <c r="F189" t="inlineStr">
        <is>
          <t>VÄSTERBOTTENS LÄN</t>
        </is>
      </c>
      <c r="G189" t="inlineStr">
        <is>
          <t>NORDMALING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45139</v>
      </c>
      <c r="E190" s="1" t="n">
        <v>46296</v>
      </c>
      <c r="F190" t="inlineStr">
        <is>
          <t>VÄSTERBOTTENS LÄN</t>
        </is>
      </c>
      <c r="G190" t="inlineStr">
        <is>
          <t>NORDMALING</t>
        </is>
      </c>
      <c r="H190" t="inlineStr">
        <is>
          <t>SCA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45407</v>
      </c>
      <c r="E191" s="1" t="n">
        <v>46296</v>
      </c>
      <c r="F191" t="inlineStr">
        <is>
          <t>VÄSTERBOTTENS LÄN</t>
        </is>
      </c>
      <c r="G191" t="inlineStr">
        <is>
          <t>NORDMALING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46296</v>
      </c>
      <c r="F192" t="inlineStr">
        <is>
          <t>VÄSTERBOTTENS LÄN</t>
        </is>
      </c>
      <c r="G192" t="inlineStr">
        <is>
          <t>NORDMALING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46296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46296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44921</v>
      </c>
      <c r="E195" s="1" t="n">
        <v>46296</v>
      </c>
      <c r="F195" t="inlineStr">
        <is>
          <t>VÄSTERBOTTENS LÄN</t>
        </is>
      </c>
      <c r="G195" t="inlineStr">
        <is>
          <t>NORDMALING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45676</v>
      </c>
      <c r="E196" s="1" t="n">
        <v>46296</v>
      </c>
      <c r="F196" t="inlineStr">
        <is>
          <t>VÄSTERBOTTENS LÄN</t>
        </is>
      </c>
      <c r="G196" t="inlineStr">
        <is>
          <t>NORDMALING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45344</v>
      </c>
      <c r="E197" s="1" t="n">
        <v>46296</v>
      </c>
      <c r="F197" t="inlineStr">
        <is>
          <t>VÄSTERBOTTENS LÄN</t>
        </is>
      </c>
      <c r="G197" t="inlineStr">
        <is>
          <t>NORDMALING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46296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46296</v>
      </c>
      <c r="F199" t="inlineStr">
        <is>
          <t>VÄSTERBOTTENS LÄN</t>
        </is>
      </c>
      <c r="G199" t="inlineStr">
        <is>
          <t>NORDMALING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46296</v>
      </c>
      <c r="F200" t="inlineStr">
        <is>
          <t>VÄSTERBOTTENS LÄN</t>
        </is>
      </c>
      <c r="G200" t="inlineStr">
        <is>
          <t>NORDMALING</t>
        </is>
      </c>
      <c r="I200" t="n">
        <v>11.1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46296</v>
      </c>
      <c r="F201" t="inlineStr">
        <is>
          <t>VÄSTERBOTTENS LÄN</t>
        </is>
      </c>
      <c r="G201" t="inlineStr">
        <is>
          <t>NORDMALING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46296</v>
      </c>
      <c r="F202" t="inlineStr">
        <is>
          <t>VÄSTERBOTTENS LÄN</t>
        </is>
      </c>
      <c r="G202" t="inlineStr">
        <is>
          <t>NORDMALING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46296</v>
      </c>
      <c r="F203" t="inlineStr">
        <is>
          <t>VÄSTERBOTTENS LÄN</t>
        </is>
      </c>
      <c r="G203" t="inlineStr">
        <is>
          <t>NORDMALING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70028-2021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44533</v>
      </c>
      <c r="E204" s="1" t="n">
        <v>46296</v>
      </c>
      <c r="F204" t="inlineStr">
        <is>
          <t>VÄSTERBOTTENS LÄN</t>
        </is>
      </c>
      <c r="G204" t="inlineStr">
        <is>
          <t>NORDMALING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46296</v>
      </c>
      <c r="F205" t="inlineStr">
        <is>
          <t>VÄSTERBOTTENS LÄN</t>
        </is>
      </c>
      <c r="G205" t="inlineStr">
        <is>
          <t>NORDMALING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46296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46296</v>
      </c>
      <c r="F207" t="inlineStr">
        <is>
          <t>VÄSTERBOTTENS LÄN</t>
        </is>
      </c>
      <c r="G207" t="inlineStr">
        <is>
          <t>NORDMALING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46296</v>
      </c>
      <c r="F208" t="inlineStr">
        <is>
          <t>VÄSTERBOTTENS LÄN</t>
        </is>
      </c>
      <c r="G208" t="inlineStr">
        <is>
          <t>NORDMALING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46296</v>
      </c>
      <c r="F209" t="inlineStr">
        <is>
          <t>VÄSTERBOTTENS LÄN</t>
        </is>
      </c>
      <c r="G209" t="inlineStr">
        <is>
          <t>NORDMALING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24712-2023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45075</v>
      </c>
      <c r="E210" s="1" t="n">
        <v>46296</v>
      </c>
      <c r="F210" t="inlineStr">
        <is>
          <t>VÄSTERBOTTENS LÄN</t>
        </is>
      </c>
      <c r="G210" t="inlineStr">
        <is>
          <t>NORDMALING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46296</v>
      </c>
      <c r="F211" t="inlineStr">
        <is>
          <t>VÄSTERBOTTENS LÄN</t>
        </is>
      </c>
      <c r="G211" t="inlineStr">
        <is>
          <t>NORDMALING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46296</v>
      </c>
      <c r="F212" t="inlineStr">
        <is>
          <t>VÄSTERBOTTENS LÄN</t>
        </is>
      </c>
      <c r="G212" t="inlineStr">
        <is>
          <t>NORDMALING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45616</v>
      </c>
      <c r="E213" s="1" t="n">
        <v>46296</v>
      </c>
      <c r="F213" t="inlineStr">
        <is>
          <t>VÄSTERBOTTENS LÄN</t>
        </is>
      </c>
      <c r="G213" t="inlineStr">
        <is>
          <t>NORDMALING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46296</v>
      </c>
      <c r="F214" t="inlineStr">
        <is>
          <t>VÄSTERBOTTENS LÄN</t>
        </is>
      </c>
      <c r="G214" t="inlineStr">
        <is>
          <t>NORDMALING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46296</v>
      </c>
      <c r="F215" t="inlineStr">
        <is>
          <t>VÄSTERBOTTENS LÄN</t>
        </is>
      </c>
      <c r="G215" t="inlineStr">
        <is>
          <t>NORDMALING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44977</v>
      </c>
      <c r="E216" s="1" t="n">
        <v>46296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Holmen skog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45482</v>
      </c>
      <c r="E217" s="1" t="n">
        <v>46296</v>
      </c>
      <c r="F217" t="inlineStr">
        <is>
          <t>VÄSTERBOTTENS LÄN</t>
        </is>
      </c>
      <c r="G217" t="inlineStr">
        <is>
          <t>NORDMALING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46296</v>
      </c>
      <c r="F218" t="inlineStr">
        <is>
          <t>VÄSTERBOTTENS LÄN</t>
        </is>
      </c>
      <c r="G218" t="inlineStr">
        <is>
          <t>NORDMALING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44834</v>
      </c>
      <c r="E219" s="1" t="n">
        <v>46296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Holmen skog AB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46296</v>
      </c>
      <c r="F220" t="inlineStr">
        <is>
          <t>VÄSTERBOTTENS LÄN</t>
        </is>
      </c>
      <c r="G220" t="inlineStr">
        <is>
          <t>NORDMALING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46296</v>
      </c>
      <c r="F221" t="inlineStr">
        <is>
          <t>VÄSTERBOTTENS LÄN</t>
        </is>
      </c>
      <c r="G221" t="inlineStr">
        <is>
          <t>NORDMALING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46296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46296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45536</v>
      </c>
      <c r="E224" s="1" t="n">
        <v>46296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45783</v>
      </c>
      <c r="E225" s="1" t="n">
        <v>46296</v>
      </c>
      <c r="F225" t="inlineStr">
        <is>
          <t>VÄSTERBOTTENS LÄN</t>
        </is>
      </c>
      <c r="G225" t="inlineStr">
        <is>
          <t>NORDMALING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46296</v>
      </c>
      <c r="F226" t="inlineStr">
        <is>
          <t>VÄSTERBOTTENS LÄN</t>
        </is>
      </c>
      <c r="G226" t="inlineStr">
        <is>
          <t>NORDMALING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45783</v>
      </c>
      <c r="E227" s="1" t="n">
        <v>46296</v>
      </c>
      <c r="F227" t="inlineStr">
        <is>
          <t>VÄSTERBOTTENS LÄN</t>
        </is>
      </c>
      <c r="G227" t="inlineStr">
        <is>
          <t>NORDMALING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59605-2022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44907</v>
      </c>
      <c r="E228" s="1" t="n">
        <v>46296</v>
      </c>
      <c r="F228" t="inlineStr">
        <is>
          <t>VÄSTERBOTTENS LÄN</t>
        </is>
      </c>
      <c r="G228" t="inlineStr">
        <is>
          <t>NORDMALING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46296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69519-2021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46296</v>
      </c>
      <c r="F230" t="inlineStr">
        <is>
          <t>VÄSTERBOTTENS LÄN</t>
        </is>
      </c>
      <c r="G230" t="inlineStr">
        <is>
          <t>NORDMALING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34176-2023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45126</v>
      </c>
      <c r="E231" s="1" t="n">
        <v>46296</v>
      </c>
      <c r="F231" t="inlineStr">
        <is>
          <t>VÄSTERBOTTENS LÄN</t>
        </is>
      </c>
      <c r="G231" t="inlineStr">
        <is>
          <t>NORDMALING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61795-2023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45265</v>
      </c>
      <c r="E232" s="1" t="n">
        <v>46296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46296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56674-2021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44480</v>
      </c>
      <c r="E234" s="1" t="n">
        <v>46296</v>
      </c>
      <c r="F234" t="inlineStr">
        <is>
          <t>VÄSTERBOTTENS LÄN</t>
        </is>
      </c>
      <c r="G234" t="inlineStr">
        <is>
          <t>NORDMALING</t>
        </is>
      </c>
      <c r="I234" t="n">
        <v>12.5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61616-2023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45261</v>
      </c>
      <c r="E235" s="1" t="n">
        <v>46296</v>
      </c>
      <c r="F235" t="inlineStr">
        <is>
          <t>VÄSTERBOTTENS LÄN</t>
        </is>
      </c>
      <c r="G235" t="inlineStr">
        <is>
          <t>NORDMALING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61793-2023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45265</v>
      </c>
      <c r="E236" s="1" t="n">
        <v>46296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46296</v>
      </c>
      <c r="F237" t="inlineStr">
        <is>
          <t>VÄSTERBOTTENS LÄN</t>
        </is>
      </c>
      <c r="G237" t="inlineStr">
        <is>
          <t>NORDMALING</t>
        </is>
      </c>
      <c r="I237" t="n">
        <v>11.9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45102</v>
      </c>
      <c r="E238" s="1" t="n">
        <v>46296</v>
      </c>
      <c r="F238" t="inlineStr">
        <is>
          <t>VÄSTERBOTTENS LÄN</t>
        </is>
      </c>
      <c r="G238" t="inlineStr">
        <is>
          <t>NORDMALING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46296</v>
      </c>
      <c r="F239" t="inlineStr">
        <is>
          <t>VÄSTERBOTTENS LÄN</t>
        </is>
      </c>
      <c r="G239" t="inlineStr">
        <is>
          <t>NORDMALING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44902</v>
      </c>
      <c r="E240" s="1" t="n">
        <v>46296</v>
      </c>
      <c r="F240" t="inlineStr">
        <is>
          <t>VÄSTERBOTTENS LÄN</t>
        </is>
      </c>
      <c r="G240" t="inlineStr">
        <is>
          <t>NORDMALING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46296</v>
      </c>
      <c r="F241" t="inlineStr">
        <is>
          <t>VÄSTERBOTTENS LÄN</t>
        </is>
      </c>
      <c r="G241" t="inlineStr">
        <is>
          <t>NORDMALING</t>
        </is>
      </c>
      <c r="I241" t="n">
        <v>20.3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45790</v>
      </c>
      <c r="E242" s="1" t="n">
        <v>46296</v>
      </c>
      <c r="F242" t="inlineStr">
        <is>
          <t>VÄSTERBOTTENS LÄN</t>
        </is>
      </c>
      <c r="G242" t="inlineStr">
        <is>
          <t>NORDMALING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46296</v>
      </c>
      <c r="F243" t="inlineStr">
        <is>
          <t>VÄSTERBOTTENS LÄN</t>
        </is>
      </c>
      <c r="G243" t="inlineStr">
        <is>
          <t>NORDMALING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46296</v>
      </c>
      <c r="F244" t="inlineStr">
        <is>
          <t>VÄSTERBOTTENS LÄN</t>
        </is>
      </c>
      <c r="G244" t="inlineStr">
        <is>
          <t>NORDMALING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45790</v>
      </c>
      <c r="E245" s="1" t="n">
        <v>46296</v>
      </c>
      <c r="F245" t="inlineStr">
        <is>
          <t>VÄSTERBOTTENS LÄN</t>
        </is>
      </c>
      <c r="G245" t="inlineStr">
        <is>
          <t>NORDMALING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45231</v>
      </c>
      <c r="E246" s="1" t="n">
        <v>46296</v>
      </c>
      <c r="F246" t="inlineStr">
        <is>
          <t>VÄSTERBOTTENS LÄN</t>
        </is>
      </c>
      <c r="G246" t="inlineStr">
        <is>
          <t>NORDMALING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46296</v>
      </c>
      <c r="F247" t="inlineStr">
        <is>
          <t>VÄSTERBOTTENS LÄN</t>
        </is>
      </c>
      <c r="G247" t="inlineStr">
        <is>
          <t>NORDMALING</t>
        </is>
      </c>
      <c r="H247" t="inlineStr">
        <is>
          <t>SCA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45105</v>
      </c>
      <c r="E248" s="1" t="n">
        <v>46296</v>
      </c>
      <c r="F248" t="inlineStr">
        <is>
          <t>VÄSTERBOTTENS LÄN</t>
        </is>
      </c>
      <c r="G248" t="inlineStr">
        <is>
          <t>NORDMALING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45036</v>
      </c>
      <c r="E249" s="1" t="n">
        <v>46296</v>
      </c>
      <c r="F249" t="inlineStr">
        <is>
          <t>VÄSTERBOTTENS LÄN</t>
        </is>
      </c>
      <c r="G249" t="inlineStr">
        <is>
          <t>NORDMALING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44742</v>
      </c>
      <c r="E250" s="1" t="n">
        <v>46296</v>
      </c>
      <c r="F250" t="inlineStr">
        <is>
          <t>VÄSTERBOTTENS LÄN</t>
        </is>
      </c>
      <c r="G250" t="inlineStr">
        <is>
          <t>NORDMALING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46296</v>
      </c>
      <c r="F251" t="inlineStr">
        <is>
          <t>VÄSTERBOTTENS LÄN</t>
        </is>
      </c>
      <c r="G251" t="inlineStr">
        <is>
          <t>NORDMALING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45239</v>
      </c>
      <c r="E252" s="1" t="n">
        <v>46296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46296</v>
      </c>
      <c r="F253" t="inlineStr">
        <is>
          <t>VÄSTERBOTTENS LÄN</t>
        </is>
      </c>
      <c r="G253" t="inlineStr">
        <is>
          <t>NORDMALING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45517</v>
      </c>
      <c r="E254" s="1" t="n">
        <v>46296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Holmen skog AB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24045-2025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45796</v>
      </c>
      <c r="E255" s="1" t="n">
        <v>46296</v>
      </c>
      <c r="F255" t="inlineStr">
        <is>
          <t>VÄSTERBOTTENS LÄN</t>
        </is>
      </c>
      <c r="G255" t="inlineStr">
        <is>
          <t>NORDMALING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7007-2024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45343</v>
      </c>
      <c r="E256" s="1" t="n">
        <v>46296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Kommuner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30715-2022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44763</v>
      </c>
      <c r="E257" s="1" t="n">
        <v>46296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57590-2022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46296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46296</v>
      </c>
      <c r="F259" t="inlineStr">
        <is>
          <t>VÄSTERBOTTENS LÄN</t>
        </is>
      </c>
      <c r="G259" t="inlineStr">
        <is>
          <t>NORDMALING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46296</v>
      </c>
      <c r="F260" t="inlineStr">
        <is>
          <t>VÄSTERBOTTENS LÄN</t>
        </is>
      </c>
      <c r="G260" t="inlineStr">
        <is>
          <t>NORDMALING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44972</v>
      </c>
      <c r="E261" s="1" t="n">
        <v>46296</v>
      </c>
      <c r="F261" t="inlineStr">
        <is>
          <t>VÄSTERBOTTENS LÄN</t>
        </is>
      </c>
      <c r="G261" t="inlineStr">
        <is>
          <t>NORDMALING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46296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45574</v>
      </c>
      <c r="E263" s="1" t="n">
        <v>46296</v>
      </c>
      <c r="F263" t="inlineStr">
        <is>
          <t>VÄSTERBOTTENS LÄN</t>
        </is>
      </c>
      <c r="G263" t="inlineStr">
        <is>
          <t>NORDMALING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44888</v>
      </c>
      <c r="E264" s="1" t="n">
        <v>46296</v>
      </c>
      <c r="F264" t="inlineStr">
        <is>
          <t>VÄSTERBOTTENS LÄN</t>
        </is>
      </c>
      <c r="G264" t="inlineStr">
        <is>
          <t>NORDMALING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46296</v>
      </c>
      <c r="F265" t="inlineStr">
        <is>
          <t>VÄSTERBOTTENS LÄN</t>
        </is>
      </c>
      <c r="G265" t="inlineStr">
        <is>
          <t>NORDMALING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44816</v>
      </c>
      <c r="E266" s="1" t="n">
        <v>46296</v>
      </c>
      <c r="F266" t="inlineStr">
        <is>
          <t>VÄSTERBOTTENS LÄN</t>
        </is>
      </c>
      <c r="G266" t="inlineStr">
        <is>
          <t>NORDMALING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44981</v>
      </c>
      <c r="E267" s="1" t="n">
        <v>46296</v>
      </c>
      <c r="F267" t="inlineStr">
        <is>
          <t>VÄSTERBOTTENS LÄN</t>
        </is>
      </c>
      <c r="G267" t="inlineStr">
        <is>
          <t>NORDMALING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24850-2023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45078</v>
      </c>
      <c r="E268" s="1" t="n">
        <v>46296</v>
      </c>
      <c r="F268" t="inlineStr">
        <is>
          <t>VÄSTERBOTTENS LÄN</t>
        </is>
      </c>
      <c r="G268" t="inlineStr">
        <is>
          <t>NORDMALING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46296</v>
      </c>
      <c r="F269" t="inlineStr">
        <is>
          <t>VÄSTERBOTTENS LÄN</t>
        </is>
      </c>
      <c r="G269" t="inlineStr">
        <is>
          <t>NORDMALING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45378</v>
      </c>
      <c r="E270" s="1" t="n">
        <v>46296</v>
      </c>
      <c r="F270" t="inlineStr">
        <is>
          <t>VÄSTERBOTTENS LÄN</t>
        </is>
      </c>
      <c r="G270" t="inlineStr">
        <is>
          <t>NORDMALING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46296</v>
      </c>
      <c r="F271" t="inlineStr">
        <is>
          <t>VÄSTERBOTTENS LÄN</t>
        </is>
      </c>
      <c r="G271" t="inlineStr">
        <is>
          <t>NORDMALING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46296</v>
      </c>
      <c r="F272" t="inlineStr">
        <is>
          <t>VÄSTERBOTTENS LÄN</t>
        </is>
      </c>
      <c r="G272" t="inlineStr">
        <is>
          <t>NORDMALING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45525</v>
      </c>
      <c r="E273" s="1" t="n">
        <v>46296</v>
      </c>
      <c r="F273" t="inlineStr">
        <is>
          <t>VÄSTERBOTTENS LÄN</t>
        </is>
      </c>
      <c r="G273" t="inlineStr">
        <is>
          <t>NORDMALING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46296</v>
      </c>
      <c r="F274" t="inlineStr">
        <is>
          <t>VÄSTERBOTTENS LÄN</t>
        </is>
      </c>
      <c r="G274" t="inlineStr">
        <is>
          <t>NORDMALING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45688</v>
      </c>
      <c r="E275" s="1" t="n">
        <v>46296</v>
      </c>
      <c r="F275" t="inlineStr">
        <is>
          <t>VÄSTERBOTTENS LÄN</t>
        </is>
      </c>
      <c r="G275" t="inlineStr">
        <is>
          <t>NORDMALING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45028</v>
      </c>
      <c r="E276" s="1" t="n">
        <v>46296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45092</v>
      </c>
      <c r="E277" s="1" t="n">
        <v>46296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46296</v>
      </c>
      <c r="F278" t="inlineStr">
        <is>
          <t>VÄSTERBOTTENS LÄN</t>
        </is>
      </c>
      <c r="G278" t="inlineStr">
        <is>
          <t>NORDMALING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45505</v>
      </c>
      <c r="E279" s="1" t="n">
        <v>46296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46296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44788</v>
      </c>
      <c r="E281" s="1" t="n">
        <v>46296</v>
      </c>
      <c r="F281" t="inlineStr">
        <is>
          <t>VÄSTERBOTTENS LÄN</t>
        </is>
      </c>
      <c r="G281" t="inlineStr">
        <is>
          <t>NORDMALING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46296</v>
      </c>
      <c r="F282" t="inlineStr">
        <is>
          <t>VÄSTERBOTTENS LÄN</t>
        </is>
      </c>
      <c r="G282" t="inlineStr">
        <is>
          <t>NORDMALING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46296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46296</v>
      </c>
      <c r="F284" t="inlineStr">
        <is>
          <t>VÄSTERBOTTENS LÄN</t>
        </is>
      </c>
      <c r="G284" t="inlineStr">
        <is>
          <t>NORDMALING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47516-2024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45587</v>
      </c>
      <c r="E285" s="1" t="n">
        <v>46296</v>
      </c>
      <c r="F285" t="inlineStr">
        <is>
          <t>VÄSTERBOTTENS LÄN</t>
        </is>
      </c>
      <c r="G285" t="inlineStr">
        <is>
          <t>NORDMALING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46296</v>
      </c>
      <c r="F286" t="inlineStr">
        <is>
          <t>VÄSTERBOTTENS LÄN</t>
        </is>
      </c>
      <c r="G286" t="inlineStr">
        <is>
          <t>NORDMALING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46296</v>
      </c>
      <c r="F287" t="inlineStr">
        <is>
          <t>VÄSTERBOTTENS LÄN</t>
        </is>
      </c>
      <c r="G287" t="inlineStr">
        <is>
          <t>NORDMALING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45491</v>
      </c>
      <c r="E288" s="1" t="n">
        <v>46296</v>
      </c>
      <c r="F288" t="inlineStr">
        <is>
          <t>VÄSTERBOTTENS LÄN</t>
        </is>
      </c>
      <c r="G288" t="inlineStr">
        <is>
          <t>NORDMALING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46296</v>
      </c>
      <c r="F289" t="inlineStr">
        <is>
          <t>VÄSTERBOTTENS LÄN</t>
        </is>
      </c>
      <c r="G289" t="inlineStr">
        <is>
          <t>NORDMALING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29606-2025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45825</v>
      </c>
      <c r="E290" s="1" t="n">
        <v>46296</v>
      </c>
      <c r="F290" t="inlineStr">
        <is>
          <t>VÄSTERBOTTENS LÄN</t>
        </is>
      </c>
      <c r="G290" t="inlineStr">
        <is>
          <t>NORDMALING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45525</v>
      </c>
      <c r="E291" s="1" t="n">
        <v>46296</v>
      </c>
      <c r="F291" t="inlineStr">
        <is>
          <t>VÄSTERBOTTENS LÄN</t>
        </is>
      </c>
      <c r="G291" t="inlineStr">
        <is>
          <t>NORDMALING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46296</v>
      </c>
      <c r="F292" t="inlineStr">
        <is>
          <t>VÄSTERBOTTENS LÄN</t>
        </is>
      </c>
      <c r="G292" t="inlineStr">
        <is>
          <t>NORDMALING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46296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45158</v>
      </c>
      <c r="E294" s="1" t="n">
        <v>46296</v>
      </c>
      <c r="F294" t="inlineStr">
        <is>
          <t>VÄSTERBOTTENS LÄN</t>
        </is>
      </c>
      <c r="G294" t="inlineStr">
        <is>
          <t>NORDMALING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46296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46296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45433</v>
      </c>
      <c r="E297" s="1" t="n">
        <v>46296</v>
      </c>
      <c r="F297" t="inlineStr">
        <is>
          <t>VÄSTERBOTTENS LÄN</t>
        </is>
      </c>
      <c r="G297" t="inlineStr">
        <is>
          <t>NORDMALING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46296</v>
      </c>
      <c r="F298" t="inlineStr">
        <is>
          <t>VÄSTERBOTTENS LÄN</t>
        </is>
      </c>
      <c r="G298" t="inlineStr">
        <is>
          <t>NORDMALING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45167</v>
      </c>
      <c r="E299" s="1" t="n">
        <v>46296</v>
      </c>
      <c r="F299" t="inlineStr">
        <is>
          <t>VÄSTERBOTTENS LÄN</t>
        </is>
      </c>
      <c r="G299" t="inlineStr">
        <is>
          <t>NORDMALING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45378</v>
      </c>
      <c r="E300" s="1" t="n">
        <v>46296</v>
      </c>
      <c r="F300" t="inlineStr">
        <is>
          <t>VÄSTERBOTTENS LÄN</t>
        </is>
      </c>
      <c r="G300" t="inlineStr">
        <is>
          <t>NORDMALING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48940-2022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44859</v>
      </c>
      <c r="E301" s="1" t="n">
        <v>46296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45835</v>
      </c>
      <c r="E302" s="1" t="n">
        <v>46296</v>
      </c>
      <c r="F302" t="inlineStr">
        <is>
          <t>VÄSTERBOTTENS LÄN</t>
        </is>
      </c>
      <c r="G302" t="inlineStr">
        <is>
          <t>NORDMALING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46296</v>
      </c>
      <c r="F303" t="inlineStr">
        <is>
          <t>VÄSTERBOTTENS LÄN</t>
        </is>
      </c>
      <c r="G303" t="inlineStr">
        <is>
          <t>NORDMALING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46296</v>
      </c>
      <c r="F304" t="inlineStr">
        <is>
          <t>VÄSTERBOTTENS LÄN</t>
        </is>
      </c>
      <c r="G304" t="inlineStr">
        <is>
          <t>NORDMALING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46296</v>
      </c>
      <c r="F305" t="inlineStr">
        <is>
          <t>VÄSTERBOTTENS LÄN</t>
        </is>
      </c>
      <c r="G305" t="inlineStr">
        <is>
          <t>NORDMALING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46296</v>
      </c>
      <c r="F306" t="inlineStr">
        <is>
          <t>VÄSTERBOTTENS LÄN</t>
        </is>
      </c>
      <c r="G306" t="inlineStr">
        <is>
          <t>NORDMALING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46296</v>
      </c>
      <c r="F307" t="inlineStr">
        <is>
          <t>VÄSTERBOTTENS LÄN</t>
        </is>
      </c>
      <c r="G307" t="inlineStr">
        <is>
          <t>NORDMALING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45462</v>
      </c>
      <c r="E308" s="1" t="n">
        <v>46296</v>
      </c>
      <c r="F308" t="inlineStr">
        <is>
          <t>VÄSTERBOTTENS LÄN</t>
        </is>
      </c>
      <c r="G308" t="inlineStr">
        <is>
          <t>NORDMALING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57388-2023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46296</v>
      </c>
      <c r="F309" t="inlineStr">
        <is>
          <t>VÄSTERBOTTENS LÄN</t>
        </is>
      </c>
      <c r="G309" t="inlineStr">
        <is>
          <t>NORDMALING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33938-2025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46296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46296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8103-2025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45707</v>
      </c>
      <c r="E312" s="1" t="n">
        <v>46296</v>
      </c>
      <c r="F312" t="inlineStr">
        <is>
          <t>VÄSTERBOTTENS LÄN</t>
        </is>
      </c>
      <c r="G312" t="inlineStr">
        <is>
          <t>NORDMALING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44977</v>
      </c>
      <c r="E313" s="1" t="n">
        <v>46296</v>
      </c>
      <c r="F313" t="inlineStr">
        <is>
          <t>VÄSTERBOTTENS LÄN</t>
        </is>
      </c>
      <c r="G313" t="inlineStr">
        <is>
          <t>NORDMALING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45638</v>
      </c>
      <c r="E314" s="1" t="n">
        <v>46296</v>
      </c>
      <c r="F314" t="inlineStr">
        <is>
          <t>VÄSTERBOTTENS LÄN</t>
        </is>
      </c>
      <c r="G314" t="inlineStr">
        <is>
          <t>NORDMALING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34601-2025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46296</v>
      </c>
      <c r="F315" t="inlineStr">
        <is>
          <t>VÄSTERBOTTENS LÄN</t>
        </is>
      </c>
      <c r="G315" t="inlineStr">
        <is>
          <t>NORDMALING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36814-2024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45538</v>
      </c>
      <c r="E316" s="1" t="n">
        <v>46296</v>
      </c>
      <c r="F316" t="inlineStr">
        <is>
          <t>VÄSTERBOTTENS LÄN</t>
        </is>
      </c>
      <c r="G316" t="inlineStr">
        <is>
          <t>NORDMALING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34804-2025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45849</v>
      </c>
      <c r="E317" s="1" t="n">
        <v>46296</v>
      </c>
      <c r="F317" t="inlineStr">
        <is>
          <t>VÄSTERBOTTENS LÄN</t>
        </is>
      </c>
      <c r="G317" t="inlineStr">
        <is>
          <t>NORDMALING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46296</v>
      </c>
      <c r="F318" t="inlineStr">
        <is>
          <t>VÄSTERBOTTENS LÄN</t>
        </is>
      </c>
      <c r="G318" t="inlineStr">
        <is>
          <t>NORDMALING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45852</v>
      </c>
      <c r="E319" s="1" t="n">
        <v>46296</v>
      </c>
      <c r="F319" t="inlineStr">
        <is>
          <t>VÄSTERBOTTENS LÄN</t>
        </is>
      </c>
      <c r="G319" t="inlineStr">
        <is>
          <t>NORDMALING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45344</v>
      </c>
      <c r="E320" s="1" t="n">
        <v>46296</v>
      </c>
      <c r="F320" t="inlineStr">
        <is>
          <t>VÄSTERBOTTENS LÄN</t>
        </is>
      </c>
      <c r="G320" t="inlineStr">
        <is>
          <t>NORDMALING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46296</v>
      </c>
      <c r="F321" t="inlineStr">
        <is>
          <t>VÄSTERBOTTENS LÄN</t>
        </is>
      </c>
      <c r="G321" t="inlineStr">
        <is>
          <t>NORDMALING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44881</v>
      </c>
      <c r="E322" s="1" t="n">
        <v>46296</v>
      </c>
      <c r="F322" t="inlineStr">
        <is>
          <t>VÄSTERBOTTENS LÄN</t>
        </is>
      </c>
      <c r="G322" t="inlineStr">
        <is>
          <t>NORDMALING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54784-2021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44473</v>
      </c>
      <c r="E323" s="1" t="n">
        <v>46296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46296</v>
      </c>
      <c r="F324" t="inlineStr">
        <is>
          <t>VÄSTERBOTTENS LÄN</t>
        </is>
      </c>
      <c r="G324" t="inlineStr">
        <is>
          <t>NORDMALING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45866</v>
      </c>
      <c r="E325" s="1" t="n">
        <v>46296</v>
      </c>
      <c r="F325" t="inlineStr">
        <is>
          <t>VÄSTERBOTTENS LÄN</t>
        </is>
      </c>
      <c r="G325" t="inlineStr">
        <is>
          <t>NORDMALING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45419</v>
      </c>
      <c r="E326" s="1" t="n">
        <v>46296</v>
      </c>
      <c r="F326" t="inlineStr">
        <is>
          <t>VÄSTERBOTTENS LÄN</t>
        </is>
      </c>
      <c r="G326" t="inlineStr">
        <is>
          <t>NORDMALING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46296</v>
      </c>
      <c r="F327" t="inlineStr">
        <is>
          <t>VÄSTERBOTTENS LÄN</t>
        </is>
      </c>
      <c r="G327" t="inlineStr">
        <is>
          <t>NORDMALING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45503</v>
      </c>
      <c r="E328" s="1" t="n">
        <v>46296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46296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44942-2023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45187</v>
      </c>
      <c r="E330" s="1" t="n">
        <v>46296</v>
      </c>
      <c r="F330" t="inlineStr">
        <is>
          <t>VÄSTERBOTTENS LÄN</t>
        </is>
      </c>
      <c r="G330" t="inlineStr">
        <is>
          <t>NORDMALING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44753</v>
      </c>
      <c r="E331" s="1" t="n">
        <v>46296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SCA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46296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46296</v>
      </c>
      <c r="F333" t="inlineStr">
        <is>
          <t>VÄSTERBOTTENS LÄN</t>
        </is>
      </c>
      <c r="G333" t="inlineStr">
        <is>
          <t>NORDMALING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45936</v>
      </c>
      <c r="E334" s="1" t="n">
        <v>46296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SCA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46296</v>
      </c>
      <c r="F335" t="inlineStr">
        <is>
          <t>VÄSTERBOTTENS LÄN</t>
        </is>
      </c>
      <c r="G335" t="inlineStr">
        <is>
          <t>NORDMALING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46296</v>
      </c>
      <c r="F336" t="inlineStr">
        <is>
          <t>VÄSTERBOTTENS LÄN</t>
        </is>
      </c>
      <c r="G336" t="inlineStr">
        <is>
          <t>NORDMALING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46296</v>
      </c>
      <c r="F337" t="inlineStr">
        <is>
          <t>VÄSTERBOTTENS LÄN</t>
        </is>
      </c>
      <c r="G337" t="inlineStr">
        <is>
          <t>NORDMALING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46296</v>
      </c>
      <c r="F338" t="inlineStr">
        <is>
          <t>VÄSTERBOTTENS LÄN</t>
        </is>
      </c>
      <c r="G338" t="inlineStr">
        <is>
          <t>NORDMALING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46296</v>
      </c>
      <c r="F339" t="inlineStr">
        <is>
          <t>VÄSTERBOTTENS LÄN</t>
        </is>
      </c>
      <c r="G339" t="inlineStr">
        <is>
          <t>NORDMALING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49847-2025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45940</v>
      </c>
      <c r="E340" s="1" t="n">
        <v>46296</v>
      </c>
      <c r="F340" t="inlineStr">
        <is>
          <t>VÄSTERBOTTENS LÄN</t>
        </is>
      </c>
      <c r="G340" t="inlineStr">
        <is>
          <t>NORDMALING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38991-2025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45888</v>
      </c>
      <c r="E341" s="1" t="n">
        <v>46296</v>
      </c>
      <c r="F341" t="inlineStr">
        <is>
          <t>VÄSTERBOTTENS LÄN</t>
        </is>
      </c>
      <c r="G341" t="inlineStr">
        <is>
          <t>NORDMALING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46296</v>
      </c>
      <c r="F342" t="inlineStr">
        <is>
          <t>VÄSTERBOTTENS LÄN</t>
        </is>
      </c>
      <c r="G342" t="inlineStr">
        <is>
          <t>NORDMALING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46296</v>
      </c>
      <c r="F343" t="inlineStr">
        <is>
          <t>VÄSTERBOTTENS LÄN</t>
        </is>
      </c>
      <c r="G343" t="inlineStr">
        <is>
          <t>NORDMALING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46296</v>
      </c>
      <c r="F344" t="inlineStr">
        <is>
          <t>VÄSTERBOTTENS LÄN</t>
        </is>
      </c>
      <c r="G344" t="inlineStr">
        <is>
          <t>NORDMALING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46296</v>
      </c>
      <c r="F345" t="inlineStr">
        <is>
          <t>VÄSTERBOTTENS LÄN</t>
        </is>
      </c>
      <c r="G345" t="inlineStr">
        <is>
          <t>NORDMALING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45891</v>
      </c>
      <c r="E346" s="1" t="n">
        <v>46296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46296</v>
      </c>
      <c r="F347" t="inlineStr">
        <is>
          <t>VÄSTERBOTTENS LÄN</t>
        </is>
      </c>
      <c r="G347" t="inlineStr">
        <is>
          <t>NORDMALING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45883</v>
      </c>
      <c r="E348" s="1" t="n">
        <v>46296</v>
      </c>
      <c r="F348" t="inlineStr">
        <is>
          <t>VÄSTERBOTTENS LÄN</t>
        </is>
      </c>
      <c r="G348" t="inlineStr">
        <is>
          <t>NORDMALING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46296</v>
      </c>
      <c r="F349" t="inlineStr">
        <is>
          <t>VÄSTERBOTTENS LÄN</t>
        </is>
      </c>
      <c r="G349" t="inlineStr">
        <is>
          <t>NORDMALING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46296</v>
      </c>
      <c r="F350" t="inlineStr">
        <is>
          <t>VÄSTERBOTTENS LÄN</t>
        </is>
      </c>
      <c r="G350" t="inlineStr">
        <is>
          <t>NORDMALING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46296</v>
      </c>
      <c r="F351" t="inlineStr">
        <is>
          <t>VÄSTERBOTTENS LÄN</t>
        </is>
      </c>
      <c r="G351" t="inlineStr">
        <is>
          <t>NORDMALING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45896</v>
      </c>
      <c r="E352" s="1" t="n">
        <v>46296</v>
      </c>
      <c r="F352" t="inlineStr">
        <is>
          <t>VÄSTERBOTTENS LÄN</t>
        </is>
      </c>
      <c r="G352" t="inlineStr">
        <is>
          <t>NORDMALING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51542-2025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45950</v>
      </c>
      <c r="E353" s="1" t="n">
        <v>46296</v>
      </c>
      <c r="F353" t="inlineStr">
        <is>
          <t>VÄSTERBOTTENS LÄN</t>
        </is>
      </c>
      <c r="G353" t="inlineStr">
        <is>
          <t>NORDMALING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46296</v>
      </c>
      <c r="F354" t="inlineStr">
        <is>
          <t>VÄSTERBOTTENS LÄN</t>
        </is>
      </c>
      <c r="G354" t="inlineStr">
        <is>
          <t>NORDMALING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46296</v>
      </c>
      <c r="F355" t="inlineStr">
        <is>
          <t>VÄSTERBOTTENS LÄN</t>
        </is>
      </c>
      <c r="G355" t="inlineStr">
        <is>
          <t>NORDMALING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46296</v>
      </c>
      <c r="F356" t="inlineStr">
        <is>
          <t>VÄSTERBOTTENS LÄN</t>
        </is>
      </c>
      <c r="G356" t="inlineStr">
        <is>
          <t>NORDMALING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46296</v>
      </c>
      <c r="F357" t="inlineStr">
        <is>
          <t>VÄSTERBOTTENS LÄN</t>
        </is>
      </c>
      <c r="G357" t="inlineStr">
        <is>
          <t>NORDMALING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51736-2025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45951</v>
      </c>
      <c r="E358" s="1" t="n">
        <v>46296</v>
      </c>
      <c r="F358" t="inlineStr">
        <is>
          <t>VÄSTERBOTTENS LÄN</t>
        </is>
      </c>
      <c r="G358" t="inlineStr">
        <is>
          <t>NORDMALING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45900</v>
      </c>
      <c r="E359" s="1" t="n">
        <v>46296</v>
      </c>
      <c r="F359" t="inlineStr">
        <is>
          <t>VÄSTERBOTTENS LÄN</t>
        </is>
      </c>
      <c r="G359" t="inlineStr">
        <is>
          <t>NORDMALING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45953</v>
      </c>
      <c r="E360" s="1" t="n">
        <v>46296</v>
      </c>
      <c r="F360" t="inlineStr">
        <is>
          <t>VÄSTERBOTTENS LÄN</t>
        </is>
      </c>
      <c r="G360" t="inlineStr">
        <is>
          <t>NORDMALING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46296</v>
      </c>
      <c r="F361" t="inlineStr">
        <is>
          <t>VÄSTERBOTTENS LÄN</t>
        </is>
      </c>
      <c r="G361" t="inlineStr">
        <is>
          <t>NORDMALING</t>
        </is>
      </c>
      <c r="I361" t="n">
        <v>12.5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46296</v>
      </c>
      <c r="F362" t="inlineStr">
        <is>
          <t>VÄSTERBOTTENS LÄN</t>
        </is>
      </c>
      <c r="G362" t="inlineStr">
        <is>
          <t>NORDMALING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53456-2025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45959</v>
      </c>
      <c r="E363" s="1" t="n">
        <v>46296</v>
      </c>
      <c r="F363" t="inlineStr">
        <is>
          <t>VÄSTERBOTTENS LÄN</t>
        </is>
      </c>
      <c r="G363" t="inlineStr">
        <is>
          <t>NORDMALING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46296</v>
      </c>
      <c r="F364" t="inlineStr">
        <is>
          <t>VÄSTERBOTTENS LÄN</t>
        </is>
      </c>
      <c r="G364" t="inlineStr">
        <is>
          <t>NORDMALING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46296</v>
      </c>
      <c r="F365" t="inlineStr">
        <is>
          <t>VÄSTERBOTTENS LÄN</t>
        </is>
      </c>
      <c r="G365" t="inlineStr">
        <is>
          <t>NORDMALING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46296</v>
      </c>
      <c r="F366" t="inlineStr">
        <is>
          <t>VÄSTERBOTTENS LÄN</t>
        </is>
      </c>
      <c r="G366" t="inlineStr">
        <is>
          <t>NORDMALING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53776-2025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46296</v>
      </c>
      <c r="F367" t="inlineStr">
        <is>
          <t>VÄSTERBOTTENS LÄN</t>
        </is>
      </c>
      <c r="G367" t="inlineStr">
        <is>
          <t>NORDMALING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46296</v>
      </c>
      <c r="F368" t="inlineStr">
        <is>
          <t>VÄSTERBOTTENS LÄN</t>
        </is>
      </c>
      <c r="G368" t="inlineStr">
        <is>
          <t>NORDMALING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45962</v>
      </c>
      <c r="E369" s="1" t="n">
        <v>46296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46296</v>
      </c>
      <c r="F370" t="inlineStr">
        <is>
          <t>VÄSTERBOTTENS LÄN</t>
        </is>
      </c>
      <c r="G370" t="inlineStr">
        <is>
          <t>NORDMALING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54078-2025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45964</v>
      </c>
      <c r="E371" s="1" t="n">
        <v>46296</v>
      </c>
      <c r="F371" t="inlineStr">
        <is>
          <t>VÄSTERBOTTENS LÄN</t>
        </is>
      </c>
      <c r="G371" t="inlineStr">
        <is>
          <t>NORDMALING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45965</v>
      </c>
      <c r="E372" s="1" t="n">
        <v>46296</v>
      </c>
      <c r="F372" t="inlineStr">
        <is>
          <t>VÄSTERBOTTENS LÄN</t>
        </is>
      </c>
      <c r="G372" t="inlineStr">
        <is>
          <t>NORDMALING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46296</v>
      </c>
      <c r="F373" t="inlineStr">
        <is>
          <t>VÄSTERBOTTENS LÄN</t>
        </is>
      </c>
      <c r="G373" t="inlineStr">
        <is>
          <t>NORDMALING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46296</v>
      </c>
      <c r="F374" t="inlineStr">
        <is>
          <t>VÄSTERBOTTENS LÄN</t>
        </is>
      </c>
      <c r="G374" t="inlineStr">
        <is>
          <t>NORDMALING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45917</v>
      </c>
      <c r="E375" s="1" t="n">
        <v>46296</v>
      </c>
      <c r="F375" t="inlineStr">
        <is>
          <t>VÄSTERBOTTENS LÄN</t>
        </is>
      </c>
      <c r="G375" t="inlineStr">
        <is>
          <t>NORDMALING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46296</v>
      </c>
      <c r="F376" t="inlineStr">
        <is>
          <t>VÄSTERBOTTENS LÄN</t>
        </is>
      </c>
      <c r="G376" t="inlineStr">
        <is>
          <t>NORDMALING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44772-2025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46296</v>
      </c>
      <c r="F377" t="inlineStr">
        <is>
          <t>VÄSTERBOTTENS LÄN</t>
        </is>
      </c>
      <c r="G377" t="inlineStr">
        <is>
          <t>NORDMALING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44774-2025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46296</v>
      </c>
      <c r="F378" t="inlineStr">
        <is>
          <t>VÄSTERBOTTENS LÄN</t>
        </is>
      </c>
      <c r="G378" t="inlineStr">
        <is>
          <t>NORDMALING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45676-2025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46296</v>
      </c>
      <c r="F379" t="inlineStr">
        <is>
          <t>VÄSTERBOTTENS LÄN</t>
        </is>
      </c>
      <c r="G379" t="inlineStr">
        <is>
          <t>NORDMALING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45923</v>
      </c>
      <c r="E380" s="1" t="n">
        <v>46296</v>
      </c>
      <c r="F380" t="inlineStr">
        <is>
          <t>VÄSTERBOTTENS LÄN</t>
        </is>
      </c>
      <c r="G380" t="inlineStr">
        <is>
          <t>NORDMALING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45972</v>
      </c>
      <c r="E381" s="1" t="n">
        <v>46296</v>
      </c>
      <c r="F381" t="inlineStr">
        <is>
          <t>VÄSTERBOTTENS LÄN</t>
        </is>
      </c>
      <c r="G381" t="inlineStr">
        <is>
          <t>NORDMALING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46296</v>
      </c>
      <c r="F382" t="inlineStr">
        <is>
          <t>VÄSTERBOTTENS LÄN</t>
        </is>
      </c>
      <c r="G382" t="inlineStr">
        <is>
          <t>NORDMALING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46876-2025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46296</v>
      </c>
      <c r="F383" t="inlineStr">
        <is>
          <t>VÄSTERBOTTENS LÄN</t>
        </is>
      </c>
      <c r="G383" t="inlineStr">
        <is>
          <t>NORDMALING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46296</v>
      </c>
      <c r="F384" t="inlineStr">
        <is>
          <t>VÄSTERBOTTENS LÄN</t>
        </is>
      </c>
      <c r="G384" t="inlineStr">
        <is>
          <t>NORDMALING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46296</v>
      </c>
      <c r="F385" t="inlineStr">
        <is>
          <t>VÄSTERBOTTENS LÄN</t>
        </is>
      </c>
      <c r="G385" t="inlineStr">
        <is>
          <t>NORDMALING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46877-2025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46296</v>
      </c>
      <c r="F386" t="inlineStr">
        <is>
          <t>VÄSTERBOTTENS LÄN</t>
        </is>
      </c>
      <c r="G386" t="inlineStr">
        <is>
          <t>NORDMALING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56247-2025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46296</v>
      </c>
      <c r="F387" t="inlineStr">
        <is>
          <t>VÄSTERBOTTENS LÄN</t>
        </is>
      </c>
      <c r="G387" t="inlineStr">
        <is>
          <t>NORDMALING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57146-2025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45979</v>
      </c>
      <c r="E388" s="1" t="n">
        <v>46296</v>
      </c>
      <c r="F388" t="inlineStr">
        <is>
          <t>VÄSTERBOTTENS LÄN</t>
        </is>
      </c>
      <c r="G388" t="inlineStr">
        <is>
          <t>NORDMALING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46296</v>
      </c>
      <c r="F389" t="inlineStr">
        <is>
          <t>VÄSTERBOTTENS LÄN</t>
        </is>
      </c>
      <c r="G389" t="inlineStr">
        <is>
          <t>NORDMALING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45979</v>
      </c>
      <c r="E390" s="1" t="n">
        <v>46296</v>
      </c>
      <c r="F390" t="inlineStr">
        <is>
          <t>VÄSTERBOTTENS LÄN</t>
        </is>
      </c>
      <c r="G390" t="inlineStr">
        <is>
          <t>NORDMALING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46296</v>
      </c>
      <c r="F391" t="inlineStr">
        <is>
          <t>VÄSTERBOTTENS LÄN</t>
        </is>
      </c>
      <c r="G391" t="inlineStr">
        <is>
          <t>NORDMALING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46296</v>
      </c>
      <c r="F392" t="inlineStr">
        <is>
          <t>VÄSTERBOTTENS LÄN</t>
        </is>
      </c>
      <c r="G392" t="inlineStr">
        <is>
          <t>NORDMALING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46296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46296</v>
      </c>
      <c r="F394" t="inlineStr">
        <is>
          <t>VÄSTERBOTTENS LÄN</t>
        </is>
      </c>
      <c r="G394" t="inlineStr">
        <is>
          <t>NORDMALING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45982</v>
      </c>
      <c r="E395" s="1" t="n">
        <v>46296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45986</v>
      </c>
      <c r="E396" s="1" t="n">
        <v>46296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46296</v>
      </c>
      <c r="F397" t="inlineStr">
        <is>
          <t>VÄSTERBOTTENS LÄN</t>
        </is>
      </c>
      <c r="G397" t="inlineStr">
        <is>
          <t>NORDMALING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46296</v>
      </c>
      <c r="F398" t="inlineStr">
        <is>
          <t>VÄSTERBOTTENS LÄN</t>
        </is>
      </c>
      <c r="G398" t="inlineStr">
        <is>
          <t>NORDMALING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58619-2025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46296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46296</v>
      </c>
      <c r="F400" t="inlineStr">
        <is>
          <t>VÄSTERBOTTENS LÄN</t>
        </is>
      </c>
      <c r="G400" t="inlineStr">
        <is>
          <t>NORDMALING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46296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46296</v>
      </c>
      <c r="F402" t="inlineStr">
        <is>
          <t>VÄSTERBOTTENS LÄN</t>
        </is>
      </c>
      <c r="G402" t="inlineStr">
        <is>
          <t>NORDMALING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46296</v>
      </c>
      <c r="F403" t="inlineStr">
        <is>
          <t>VÄSTERBOTTENS LÄN</t>
        </is>
      </c>
      <c r="G403" t="inlineStr">
        <is>
          <t>NORDMALING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46296</v>
      </c>
      <c r="F404" t="inlineStr">
        <is>
          <t>VÄSTERBOTTENS LÄN</t>
        </is>
      </c>
      <c r="G404" t="inlineStr">
        <is>
          <t>NORDMALING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60113-2025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45994</v>
      </c>
      <c r="E405" s="1" t="n">
        <v>46296</v>
      </c>
      <c r="F405" t="inlineStr">
        <is>
          <t>VÄSTERBOTTENS LÄN</t>
        </is>
      </c>
      <c r="G405" t="inlineStr">
        <is>
          <t>NORDMALING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46296</v>
      </c>
      <c r="F406" t="inlineStr">
        <is>
          <t>VÄSTERBOTTENS LÄN</t>
        </is>
      </c>
      <c r="G406" t="inlineStr">
        <is>
          <t>NORDMALING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46296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46296</v>
      </c>
      <c r="F408" t="inlineStr">
        <is>
          <t>VÄSTERBOTTENS LÄN</t>
        </is>
      </c>
      <c r="G408" t="inlineStr">
        <is>
          <t>NORDMALING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46296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46296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46296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62219-2025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46296</v>
      </c>
      <c r="F412" t="inlineStr">
        <is>
          <t>VÄSTERBOTTENS LÄN</t>
        </is>
      </c>
      <c r="G412" t="inlineStr">
        <is>
          <t>NORDMALING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46296</v>
      </c>
      <c r="F413" t="inlineStr">
        <is>
          <t>VÄSTERBOTTENS LÄN</t>
        </is>
      </c>
      <c r="G413" t="inlineStr">
        <is>
          <t>NORDMALING</t>
        </is>
      </c>
      <c r="I413" t="n">
        <v>11.3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46296</v>
      </c>
      <c r="F414" t="inlineStr">
        <is>
          <t>VÄSTERBOTTENS LÄN</t>
        </is>
      </c>
      <c r="G414" t="inlineStr">
        <is>
          <t>NORDMALING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46296</v>
      </c>
      <c r="F415" t="inlineStr">
        <is>
          <t>VÄSTERBOTTENS LÄN</t>
        </is>
      </c>
      <c r="G415" t="inlineStr">
        <is>
          <t>NORDMALING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46296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46296</v>
      </c>
      <c r="F417" t="inlineStr">
        <is>
          <t>VÄSTERBOTTENS LÄN</t>
        </is>
      </c>
      <c r="G417" t="inlineStr">
        <is>
          <t>NORDMALING</t>
        </is>
      </c>
      <c r="I417" t="n">
        <v>11.6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46296</v>
      </c>
      <c r="F418" t="inlineStr">
        <is>
          <t>VÄSTERBOTTENS LÄN</t>
        </is>
      </c>
      <c r="G418" t="inlineStr">
        <is>
          <t>NORDMALING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46296</v>
      </c>
      <c r="F419" t="inlineStr">
        <is>
          <t>VÄSTERBOTTENS LÄN</t>
        </is>
      </c>
      <c r="G419" t="inlineStr">
        <is>
          <t>NORDMALING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46296</v>
      </c>
      <c r="F420" t="inlineStr">
        <is>
          <t>VÄSTERBOTTENS LÄN</t>
        </is>
      </c>
      <c r="G420" t="inlineStr">
        <is>
          <t>NORDMALING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46296</v>
      </c>
      <c r="F421" t="inlineStr">
        <is>
          <t>VÄSTERBOTTENS LÄN</t>
        </is>
      </c>
      <c r="G421" t="inlineStr">
        <is>
          <t>NORDMALING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45147</v>
      </c>
      <c r="E422" s="1" t="n">
        <v>46296</v>
      </c>
      <c r="F422" t="inlineStr">
        <is>
          <t>VÄSTERBOTTENS LÄN</t>
        </is>
      </c>
      <c r="G422" t="inlineStr">
        <is>
          <t>NORDMALING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45147</v>
      </c>
      <c r="E423" s="1" t="n">
        <v>46296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45147</v>
      </c>
      <c r="E424" s="1" t="n">
        <v>46296</v>
      </c>
      <c r="F424" t="inlineStr">
        <is>
          <t>VÄSTERBOTTENS LÄN</t>
        </is>
      </c>
      <c r="G424" t="inlineStr">
        <is>
          <t>NORDMALING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46296</v>
      </c>
      <c r="F425" t="inlineStr">
        <is>
          <t>VÄSTERBOTTENS LÄN</t>
        </is>
      </c>
      <c r="G425" t="inlineStr">
        <is>
          <t>NORDMALING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46296</v>
      </c>
      <c r="F426" t="inlineStr">
        <is>
          <t>VÄSTERBOTTENS LÄN</t>
        </is>
      </c>
      <c r="G426" t="inlineStr">
        <is>
          <t>NORDMALING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46296</v>
      </c>
      <c r="F427" t="inlineStr">
        <is>
          <t>VÄSTERBOTTENS LÄN</t>
        </is>
      </c>
      <c r="G427" t="inlineStr">
        <is>
          <t>NORDMALING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63266-2025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46296</v>
      </c>
      <c r="F428" t="inlineStr">
        <is>
          <t>VÄSTERBOTTENS LÄN</t>
        </is>
      </c>
      <c r="G428" t="inlineStr">
        <is>
          <t>NORDMALING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35803-2023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45147</v>
      </c>
      <c r="E429" s="1" t="n">
        <v>46296</v>
      </c>
      <c r="F429" t="inlineStr">
        <is>
          <t>VÄSTERBOTTENS LÄN</t>
        </is>
      </c>
      <c r="G429" t="inlineStr">
        <is>
          <t>NORDMALING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63813-2025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46020</v>
      </c>
      <c r="E430" s="1" t="n">
        <v>46296</v>
      </c>
      <c r="F430" t="inlineStr">
        <is>
          <t>VÄSTERBOTTENS LÄN</t>
        </is>
      </c>
      <c r="G430" t="inlineStr">
        <is>
          <t>NORDMALING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46018</v>
      </c>
      <c r="E431" s="1" t="n">
        <v>46296</v>
      </c>
      <c r="F431" t="inlineStr">
        <is>
          <t>VÄSTERBOTTENS LÄN</t>
        </is>
      </c>
      <c r="G431" t="inlineStr">
        <is>
          <t>NORDMALING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46296</v>
      </c>
      <c r="F432" t="inlineStr">
        <is>
          <t>VÄSTERBOTTENS LÄN</t>
        </is>
      </c>
      <c r="G432" t="inlineStr">
        <is>
          <t>NORDMALING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46296</v>
      </c>
      <c r="F433" t="inlineStr">
        <is>
          <t>VÄSTERBOTTENS LÄN</t>
        </is>
      </c>
      <c r="G433" t="inlineStr">
        <is>
          <t>NORDMALING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46018</v>
      </c>
      <c r="E434" s="1" t="n">
        <v>46296</v>
      </c>
      <c r="F434" t="inlineStr">
        <is>
          <t>VÄSTERBOTTENS LÄN</t>
        </is>
      </c>
      <c r="G434" t="inlineStr">
        <is>
          <t>NORDMALING</t>
        </is>
      </c>
      <c r="I434" t="n">
        <v>16.2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64158-2025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46022</v>
      </c>
      <c r="E435" s="1" t="n">
        <v>46296</v>
      </c>
      <c r="F435" t="inlineStr">
        <is>
          <t>VÄSTERBOTTENS LÄN</t>
        </is>
      </c>
      <c r="G435" t="inlineStr">
        <is>
          <t>NORDMALING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46296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46028</v>
      </c>
      <c r="E437" s="1" t="n">
        <v>46296</v>
      </c>
      <c r="F437" t="inlineStr">
        <is>
          <t>VÄSTERBOTTENS LÄN</t>
        </is>
      </c>
      <c r="G437" t="inlineStr">
        <is>
          <t>NORDMALING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46296</v>
      </c>
      <c r="F438" t="inlineStr">
        <is>
          <t>VÄSTERBOTTENS LÄN</t>
        </is>
      </c>
      <c r="G438" t="inlineStr">
        <is>
          <t>NORDMALING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46032</v>
      </c>
      <c r="E439" s="1" t="n">
        <v>46296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Holmen skog AB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46296</v>
      </c>
      <c r="F440" t="inlineStr">
        <is>
          <t>VÄSTERBOTTENS LÄN</t>
        </is>
      </c>
      <c r="G440" t="inlineStr">
        <is>
          <t>NORDMALING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46037</v>
      </c>
      <c r="E441" s="1" t="n">
        <v>46296</v>
      </c>
      <c r="F441" t="inlineStr">
        <is>
          <t>VÄSTERBOTTENS LÄN</t>
        </is>
      </c>
      <c r="G441" t="inlineStr">
        <is>
          <t>NORDMALING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46296</v>
      </c>
      <c r="F442" t="inlineStr">
        <is>
          <t>VÄSTERBOTTENS LÄN</t>
        </is>
      </c>
      <c r="G442" t="inlineStr">
        <is>
          <t>NORDMALING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46042</v>
      </c>
      <c r="E443" s="1" t="n">
        <v>46296</v>
      </c>
      <c r="F443" t="inlineStr">
        <is>
          <t>VÄSTERBOTTENS LÄN</t>
        </is>
      </c>
      <c r="G443" t="inlineStr">
        <is>
          <t>NORDMALING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46296</v>
      </c>
      <c r="F444" t="inlineStr">
        <is>
          <t>VÄSTERBOTTENS LÄN</t>
        </is>
      </c>
      <c r="G444" t="inlineStr">
        <is>
          <t>NORDMALING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46043</v>
      </c>
      <c r="E445" s="1" t="n">
        <v>46296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46296</v>
      </c>
      <c r="F446" t="inlineStr">
        <is>
          <t>VÄSTERBOTTENS LÄN</t>
        </is>
      </c>
      <c r="G446" t="inlineStr">
        <is>
          <t>NORDMALING</t>
        </is>
      </c>
      <c r="I446" t="n">
        <v>22.4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46048</v>
      </c>
      <c r="E447" s="1" t="n">
        <v>46296</v>
      </c>
      <c r="F447" t="inlineStr">
        <is>
          <t>VÄSTERBOTTENS LÄN</t>
        </is>
      </c>
      <c r="G447" t="inlineStr">
        <is>
          <t>NORDMALING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46296</v>
      </c>
      <c r="F448" t="inlineStr">
        <is>
          <t>VÄSTERBOTTENS LÄN</t>
        </is>
      </c>
      <c r="G448" t="inlineStr">
        <is>
          <t>NORDMALING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46296</v>
      </c>
      <c r="F449" t="inlineStr">
        <is>
          <t>VÄSTERBOTTENS LÄN</t>
        </is>
      </c>
      <c r="G449" t="inlineStr">
        <is>
          <t>NORDMALING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46296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SCA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46296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46296</v>
      </c>
      <c r="F452" t="inlineStr">
        <is>
          <t>VÄSTERBOTTENS LÄN</t>
        </is>
      </c>
      <c r="G452" t="inlineStr">
        <is>
          <t>NORDMALING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46296</v>
      </c>
      <c r="F453" t="inlineStr">
        <is>
          <t>VÄSTERBOTTENS LÄN</t>
        </is>
      </c>
      <c r="G453" t="inlineStr">
        <is>
          <t>NORDMALING</t>
        </is>
      </c>
      <c r="I453" t="n">
        <v>19.1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46296</v>
      </c>
      <c r="F454" t="inlineStr">
        <is>
          <t>VÄSTERBOTTENS LÄN</t>
        </is>
      </c>
      <c r="G454" t="inlineStr">
        <is>
          <t>NORDMALING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46296</v>
      </c>
      <c r="F455" t="inlineStr">
        <is>
          <t>VÄSTERBOTTENS LÄN</t>
        </is>
      </c>
      <c r="G455" t="inlineStr">
        <is>
          <t>NORDMALING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46296</v>
      </c>
      <c r="F456" t="inlineStr">
        <is>
          <t>VÄSTERBOTTENS LÄN</t>
        </is>
      </c>
      <c r="G456" t="inlineStr">
        <is>
          <t>NORDMALING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46296</v>
      </c>
      <c r="F457" t="inlineStr">
        <is>
          <t>VÄSTERBOTTENS LÄN</t>
        </is>
      </c>
      <c r="G457" t="inlineStr">
        <is>
          <t>NORDMALING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9863-2026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46296</v>
      </c>
      <c r="F458" t="inlineStr">
        <is>
          <t>VÄSTERBOTTENS LÄN</t>
        </is>
      </c>
      <c r="G458" t="inlineStr">
        <is>
          <t>NORDMALING</t>
        </is>
      </c>
      <c r="I458" t="n">
        <v>12.5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46296</v>
      </c>
      <c r="F459" t="inlineStr">
        <is>
          <t>VÄSTERBOTTENS LÄN</t>
        </is>
      </c>
      <c r="G459" t="inlineStr">
        <is>
          <t>NORDMALING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46296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10300-2026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46296</v>
      </c>
      <c r="F461" t="inlineStr">
        <is>
          <t>VÄSTERBOTTENS LÄN</t>
        </is>
      </c>
      <c r="G461" t="inlineStr">
        <is>
          <t>NORDMALING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46296</v>
      </c>
      <c r="F462" t="inlineStr">
        <is>
          <t>VÄSTERBOTTENS LÄN</t>
        </is>
      </c>
      <c r="G462" t="inlineStr">
        <is>
          <t>NORDMALING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46296</v>
      </c>
      <c r="F463" t="inlineStr">
        <is>
          <t>VÄSTERBOTTENS LÄN</t>
        </is>
      </c>
      <c r="G463" t="inlineStr">
        <is>
          <t>NORDMALING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46296</v>
      </c>
      <c r="F464" t="inlineStr">
        <is>
          <t>VÄSTERBOTTENS LÄN</t>
        </is>
      </c>
      <c r="G464" t="inlineStr">
        <is>
          <t>NORDMALING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15970-2026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46296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46296</v>
      </c>
      <c r="F466" t="inlineStr">
        <is>
          <t>VÄSTERBOTTENS LÄN</t>
        </is>
      </c>
      <c r="G466" t="inlineStr">
        <is>
          <t>NORDMALING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46296</v>
      </c>
      <c r="F467" t="inlineStr">
        <is>
          <t>VÄSTERBOTTENS LÄN</t>
        </is>
      </c>
      <c r="G467" t="inlineStr">
        <is>
          <t>NORDMALING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46296</v>
      </c>
      <c r="F468" t="inlineStr">
        <is>
          <t>VÄSTERBOTTENS LÄN</t>
        </is>
      </c>
      <c r="G468" t="inlineStr">
        <is>
          <t>NORDMALING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46296</v>
      </c>
      <c r="F469" t="inlineStr">
        <is>
          <t>VÄSTERBOTTENS LÄN</t>
        </is>
      </c>
      <c r="G469" t="inlineStr">
        <is>
          <t>NORDMALING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46125</v>
      </c>
      <c r="E470" s="1" t="n">
        <v>46296</v>
      </c>
      <c r="F470" t="inlineStr">
        <is>
          <t>VÄSTERBOTTENS LÄN</t>
        </is>
      </c>
      <c r="G470" t="inlineStr">
        <is>
          <t>NORDMALING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46296</v>
      </c>
      <c r="F471" t="inlineStr">
        <is>
          <t>VÄSTERBOTTENS LÄN</t>
        </is>
      </c>
      <c r="G471" t="inlineStr">
        <is>
          <t>NORDMALING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18589-2026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46296</v>
      </c>
      <c r="F472" t="inlineStr">
        <is>
          <t>VÄSTERBOTTENS LÄN</t>
        </is>
      </c>
      <c r="G472" t="inlineStr">
        <is>
          <t>NORDMALING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18839-2026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46129</v>
      </c>
      <c r="E473" s="1" t="n">
        <v>46296</v>
      </c>
      <c r="F473" t="inlineStr">
        <is>
          <t>VÄSTERBOTTENS LÄN</t>
        </is>
      </c>
      <c r="G473" t="inlineStr">
        <is>
          <t>NORDMALING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46296</v>
      </c>
      <c r="F474" t="inlineStr">
        <is>
          <t>VÄSTERBOTTENS LÄN</t>
        </is>
      </c>
      <c r="G474" t="inlineStr">
        <is>
          <t>NORDMALING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46296</v>
      </c>
      <c r="F475" t="inlineStr">
        <is>
          <t>VÄSTERBOTTENS LÄN</t>
        </is>
      </c>
      <c r="G475" t="inlineStr">
        <is>
          <t>NORDMALING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46296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46296</v>
      </c>
      <c r="F477" t="inlineStr">
        <is>
          <t>VÄSTERBOTTENS LÄN</t>
        </is>
      </c>
      <c r="G477" t="inlineStr">
        <is>
          <t>NORDMALING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46296</v>
      </c>
      <c r="F478" t="inlineStr">
        <is>
          <t>VÄSTERBOTTENS LÄN</t>
        </is>
      </c>
      <c r="G478" t="inlineStr">
        <is>
          <t>NORDMALING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46296</v>
      </c>
      <c r="F479" t="inlineStr">
        <is>
          <t>VÄSTERBOTTENS LÄN</t>
        </is>
      </c>
      <c r="G479" t="inlineStr">
        <is>
          <t>NORDMALING</t>
        </is>
      </c>
      <c r="I479" t="n">
        <v>10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37362-2025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45877</v>
      </c>
      <c r="E480" s="1" t="n">
        <v>46296</v>
      </c>
      <c r="F480" t="inlineStr">
        <is>
          <t>VÄSTERBOTTENS LÄN</t>
        </is>
      </c>
      <c r="G480" t="inlineStr">
        <is>
          <t>NORDMALING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45890</v>
      </c>
      <c r="E481" s="1" t="n">
        <v>46296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45866</v>
      </c>
      <c r="E482" s="1" t="n">
        <v>46296</v>
      </c>
      <c r="F482" t="inlineStr">
        <is>
          <t>VÄSTERBOTTENS LÄN</t>
        </is>
      </c>
      <c r="G482" t="inlineStr">
        <is>
          <t>NORDMALING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57897-2025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46296</v>
      </c>
      <c r="F483" t="inlineStr">
        <is>
          <t>VÄSTERBOTTENS LÄN</t>
        </is>
      </c>
      <c r="G483" t="inlineStr">
        <is>
          <t>NORDMALING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45800</v>
      </c>
      <c r="E484" s="1" t="n">
        <v>46296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46296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39776-2024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45552</v>
      </c>
      <c r="E486" s="1" t="n">
        <v>46296</v>
      </c>
      <c r="F486" t="inlineStr">
        <is>
          <t>VÄSTERBOTTENS LÄN</t>
        </is>
      </c>
      <c r="G486" t="inlineStr">
        <is>
          <t>NORDMALING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45996</v>
      </c>
      <c r="E487" s="1" t="n">
        <v>46296</v>
      </c>
      <c r="F487" t="inlineStr">
        <is>
          <t>VÄSTERBOTTENS LÄN</t>
        </is>
      </c>
      <c r="G487" t="inlineStr">
        <is>
          <t>NORDMALING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46296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46296</v>
      </c>
      <c r="F489" t="inlineStr">
        <is>
          <t>VÄSTERBOTTENS LÄN</t>
        </is>
      </c>
      <c r="G489" t="inlineStr">
        <is>
          <t>NORDMALING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47015-2025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45929</v>
      </c>
      <c r="E490" s="1" t="n">
        <v>46296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46050</v>
      </c>
      <c r="E491" s="1" t="n">
        <v>46296</v>
      </c>
      <c r="F491" t="inlineStr">
        <is>
          <t>VÄSTERBOTTENS LÄN</t>
        </is>
      </c>
      <c r="G491" t="inlineStr">
        <is>
          <t>NORDMALING</t>
        </is>
      </c>
      <c r="I491" t="n">
        <v>16.1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46296</v>
      </c>
      <c r="F492" t="inlineStr">
        <is>
          <t>VÄSTERBOTTENS LÄN</t>
        </is>
      </c>
      <c r="G492" t="inlineStr">
        <is>
          <t>NORDMALING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46296</v>
      </c>
      <c r="F493" t="inlineStr">
        <is>
          <t>VÄSTERBOTTENS LÄN</t>
        </is>
      </c>
      <c r="G493" t="inlineStr">
        <is>
          <t>NORDMALING</t>
        </is>
      </c>
      <c r="I493" t="n">
        <v>14.8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53976-2025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45961</v>
      </c>
      <c r="E494" s="1" t="n">
        <v>46296</v>
      </c>
      <c r="F494" t="inlineStr">
        <is>
          <t>VÄSTERBOTTENS LÄN</t>
        </is>
      </c>
      <c r="G494" t="inlineStr">
        <is>
          <t>NORDMALING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46151</v>
      </c>
      <c r="E495" s="1" t="n">
        <v>46296</v>
      </c>
      <c r="F495" t="inlineStr">
        <is>
          <t>VÄSTERBOTTENS LÄN</t>
        </is>
      </c>
      <c r="G495" t="inlineStr">
        <is>
          <t>NORDMALING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46151</v>
      </c>
      <c r="E496" s="1" t="n">
        <v>46296</v>
      </c>
      <c r="F496" t="inlineStr">
        <is>
          <t>VÄSTERBOTTENS LÄN</t>
        </is>
      </c>
      <c r="G496" t="inlineStr">
        <is>
          <t>NORDMALING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46296</v>
      </c>
      <c r="F497" t="inlineStr">
        <is>
          <t>VÄSTERBOTTENS LÄN</t>
        </is>
      </c>
      <c r="G497" t="inlineStr">
        <is>
          <t>NORDMALING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46296</v>
      </c>
      <c r="F498" t="inlineStr">
        <is>
          <t>VÄSTERBOTTENS LÄN</t>
        </is>
      </c>
      <c r="G498" t="inlineStr">
        <is>
          <t>NORDMALING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46296</v>
      </c>
      <c r="F499" t="inlineStr">
        <is>
          <t>VÄSTERBOTTENS LÄN</t>
        </is>
      </c>
      <c r="G499" t="inlineStr">
        <is>
          <t>NORDMALING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23005-2026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46160</v>
      </c>
      <c r="E500" s="1" t="n">
        <v>46296</v>
      </c>
      <c r="F500" t="inlineStr">
        <is>
          <t>VÄSTERBOTTENS LÄN</t>
        </is>
      </c>
      <c r="G500" t="inlineStr">
        <is>
          <t>NORDMALING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46296</v>
      </c>
      <c r="F501" t="inlineStr">
        <is>
          <t>VÄSTERBOTTENS LÄN</t>
        </is>
      </c>
      <c r="G501" t="inlineStr">
        <is>
          <t>NORDMALING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46296</v>
      </c>
      <c r="F502" t="inlineStr">
        <is>
          <t>VÄSTERBOTTENS LÄN</t>
        </is>
      </c>
      <c r="G502" t="inlineStr">
        <is>
          <t>NORDMALING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46296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46296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46161</v>
      </c>
      <c r="E505" s="1" t="n">
        <v>46296</v>
      </c>
      <c r="F505" t="inlineStr">
        <is>
          <t>VÄSTERBOTTENS LÄN</t>
        </is>
      </c>
      <c r="G505" t="inlineStr">
        <is>
          <t>NORDMALING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46296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46296</v>
      </c>
      <c r="F507" t="inlineStr">
        <is>
          <t>VÄSTERBOTTENS LÄN</t>
        </is>
      </c>
      <c r="G507" t="inlineStr">
        <is>
          <t>NORDMALING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25214-2026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46171</v>
      </c>
      <c r="E508" s="1" t="n">
        <v>46296</v>
      </c>
      <c r="F508" t="inlineStr">
        <is>
          <t>VÄSTERBOTTENS LÄN</t>
        </is>
      </c>
      <c r="G508" t="inlineStr">
        <is>
          <t>NORDMALING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46296</v>
      </c>
      <c r="F509" t="inlineStr">
        <is>
          <t>VÄSTERBOTTENS LÄN</t>
        </is>
      </c>
      <c r="G509" t="inlineStr">
        <is>
          <t>NORDMALING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46296</v>
      </c>
      <c r="F510" t="inlineStr">
        <is>
          <t>VÄSTERBOTTENS LÄN</t>
        </is>
      </c>
      <c r="G510" t="inlineStr">
        <is>
          <t>NORDMALING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46296</v>
      </c>
      <c r="F511" t="inlineStr">
        <is>
          <t>VÄSTERBOTTENS LÄN</t>
        </is>
      </c>
      <c r="G511" t="inlineStr">
        <is>
          <t>NORDMALING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46176</v>
      </c>
      <c r="E512" s="1" t="n">
        <v>46296</v>
      </c>
      <c r="F512" t="inlineStr">
        <is>
          <t>VÄSTERBOTTENS LÄN</t>
        </is>
      </c>
      <c r="G512" t="inlineStr">
        <is>
          <t>NORDMALING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46296</v>
      </c>
      <c r="F513" t="inlineStr">
        <is>
          <t>VÄSTERBOTTENS LÄN</t>
        </is>
      </c>
      <c r="G513" t="inlineStr">
        <is>
          <t>NORDMALING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26796-2026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46185</v>
      </c>
      <c r="E514" s="1" t="n">
        <v>46296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46296</v>
      </c>
      <c r="F515" t="inlineStr">
        <is>
          <t>VÄSTERBOTTENS LÄN</t>
        </is>
      </c>
      <c r="G515" t="inlineStr">
        <is>
          <t>NORDMALING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45326-2025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45922</v>
      </c>
      <c r="E516" s="1" t="n">
        <v>46296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46296</v>
      </c>
      <c r="F517" t="inlineStr">
        <is>
          <t>VÄSTERBOTTENS LÄN</t>
        </is>
      </c>
      <c r="G517" t="inlineStr">
        <is>
          <t>NORDMALING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46196</v>
      </c>
      <c r="E518" s="1" t="n">
        <v>46296</v>
      </c>
      <c r="F518" t="inlineStr">
        <is>
          <t>VÄSTERBOTTENS LÄN</t>
        </is>
      </c>
      <c r="G518" t="inlineStr">
        <is>
          <t>NORDMALING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46296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46296</v>
      </c>
      <c r="F520" t="inlineStr">
        <is>
          <t>VÄSTERBOTTENS LÄN</t>
        </is>
      </c>
      <c r="G520" t="inlineStr">
        <is>
          <t>NORDMALING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46296</v>
      </c>
      <c r="F521" t="inlineStr">
        <is>
          <t>VÄSTERBOTTENS LÄN</t>
        </is>
      </c>
      <c r="G521" t="inlineStr">
        <is>
          <t>NORDMALING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46296</v>
      </c>
      <c r="F522" t="inlineStr">
        <is>
          <t>VÄSTERBOTTENS LÄN</t>
        </is>
      </c>
      <c r="G522" t="inlineStr">
        <is>
          <t>NORDMALING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46296</v>
      </c>
      <c r="F523" t="inlineStr">
        <is>
          <t>VÄSTERBOTTENS LÄN</t>
        </is>
      </c>
      <c r="G523" t="inlineStr">
        <is>
          <t>NORDMALING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30938-2026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46296</v>
      </c>
      <c r="F524" t="inlineStr">
        <is>
          <t>VÄSTERBOTTENS LÄN</t>
        </is>
      </c>
      <c r="G524" t="inlineStr">
        <is>
          <t>NORDMALING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46296</v>
      </c>
      <c r="F525" t="inlineStr">
        <is>
          <t>VÄSTERBOTTENS LÄN</t>
        </is>
      </c>
      <c r="G525" t="inlineStr">
        <is>
          <t>NORDMALING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46296</v>
      </c>
      <c r="F526" t="inlineStr">
        <is>
          <t>VÄSTERBOTTENS LÄN</t>
        </is>
      </c>
      <c r="G526" t="inlineStr">
        <is>
          <t>NORDMALING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46296</v>
      </c>
      <c r="F527" t="inlineStr">
        <is>
          <t>VÄSTERBOTTENS LÄN</t>
        </is>
      </c>
      <c r="G527" t="inlineStr">
        <is>
          <t>NORDMALING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46296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46296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46254</v>
      </c>
      <c r="E530" s="1" t="n">
        <v>46296</v>
      </c>
      <c r="F530" t="inlineStr">
        <is>
          <t>VÄSTERBOTTENS LÄN</t>
        </is>
      </c>
      <c r="G530" t="inlineStr">
        <is>
          <t>NORDMALING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46296</v>
      </c>
      <c r="F531" t="inlineStr">
        <is>
          <t>VÄSTERBOTTENS LÄN</t>
        </is>
      </c>
      <c r="G531" t="inlineStr">
        <is>
          <t>NORDMALING</t>
        </is>
      </c>
      <c r="I531" t="n">
        <v>8.5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46296</v>
      </c>
      <c r="F532" t="inlineStr">
        <is>
          <t>VÄSTERBOTTENS LÄN</t>
        </is>
      </c>
      <c r="G532" t="inlineStr">
        <is>
          <t>NORDMALING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46296</v>
      </c>
      <c r="F533" t="inlineStr">
        <is>
          <t>VÄSTERBOTTENS LÄN</t>
        </is>
      </c>
      <c r="G533" t="inlineStr">
        <is>
          <t>NORDMALING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46296</v>
      </c>
      <c r="F534" t="inlineStr">
        <is>
          <t>VÄSTERBOTTENS LÄN</t>
        </is>
      </c>
      <c r="G534" t="inlineStr">
        <is>
          <t>NORDMALING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46296</v>
      </c>
      <c r="F535" t="inlineStr">
        <is>
          <t>VÄSTERBOTTENS LÄN</t>
        </is>
      </c>
      <c r="G535" t="inlineStr">
        <is>
          <t>NORDMALING</t>
        </is>
      </c>
      <c r="I535" t="n">
        <v>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46296</v>
      </c>
      <c r="F536" t="inlineStr">
        <is>
          <t>VÄSTERBOTTENS LÄN</t>
        </is>
      </c>
      <c r="G536" t="inlineStr">
        <is>
          <t>NORDMALING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46296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34812-2026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46296</v>
      </c>
      <c r="F538" t="inlineStr">
        <is>
          <t>VÄSTERBOTTENS LÄN</t>
        </is>
      </c>
      <c r="G538" t="inlineStr">
        <is>
          <t>NORDMALING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59133-2025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46296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46296</v>
      </c>
      <c r="F540" t="inlineStr">
        <is>
          <t>VÄSTERBOTTENS LÄN</t>
        </is>
      </c>
      <c r="G540" t="inlineStr">
        <is>
          <t>NORDMALING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46296</v>
      </c>
      <c r="F541" t="inlineStr">
        <is>
          <t>VÄSTERBOTTENS LÄN</t>
        </is>
      </c>
      <c r="G541" t="inlineStr">
        <is>
          <t>NORDMALING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46296</v>
      </c>
      <c r="F542" t="inlineStr">
        <is>
          <t>VÄSTERBOTTENS LÄN</t>
        </is>
      </c>
      <c r="G542" t="inlineStr">
        <is>
          <t>NORDMALING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35548-2026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46262</v>
      </c>
      <c r="E543" s="1" t="n">
        <v>46296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Kyrkan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20062-2026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46136</v>
      </c>
      <c r="E544" s="1" t="n">
        <v>46296</v>
      </c>
      <c r="F544" t="inlineStr">
        <is>
          <t>VÄSTERBOTTENS LÄN</t>
        </is>
      </c>
      <c r="G544" t="inlineStr">
        <is>
          <t>NORDMALING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35566-2026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46262</v>
      </c>
      <c r="E545" s="1" t="n">
        <v>46296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Kyrkan</t>
        </is>
      </c>
      <c r="I545" t="n">
        <v>7.6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46296</v>
      </c>
      <c r="F546" t="inlineStr">
        <is>
          <t>VÄSTERBOTTENS LÄN</t>
        </is>
      </c>
      <c r="G546" t="inlineStr">
        <is>
          <t>NORDMALING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36096-2026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46296</v>
      </c>
      <c r="F547" t="inlineStr">
        <is>
          <t>VÄSTERBOTTENS LÄN</t>
        </is>
      </c>
      <c r="G547" t="inlineStr">
        <is>
          <t>NORDMALING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46266</v>
      </c>
      <c r="E548" s="1" t="n">
        <v>46296</v>
      </c>
      <c r="F548" t="inlineStr">
        <is>
          <t>VÄSTERBOTTENS LÄN</t>
        </is>
      </c>
      <c r="G548" t="inlineStr">
        <is>
          <t>NORDMALING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46263</v>
      </c>
      <c r="E549" s="1" t="n">
        <v>46296</v>
      </c>
      <c r="F549" t="inlineStr">
        <is>
          <t>VÄSTERBOTTENS LÄN</t>
        </is>
      </c>
      <c r="G549" t="inlineStr">
        <is>
          <t>NORDMALING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46296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45936</v>
      </c>
      <c r="E551" s="1" t="n">
        <v>46296</v>
      </c>
      <c r="F551" t="inlineStr">
        <is>
          <t>VÄSTERBOTTENS LÄN</t>
        </is>
      </c>
      <c r="G551" t="inlineStr">
        <is>
          <t>NORDMALING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46275</v>
      </c>
      <c r="E552" s="1" t="n">
        <v>46296</v>
      </c>
      <c r="F552" t="inlineStr">
        <is>
          <t>VÄSTERBOTTENS LÄN</t>
        </is>
      </c>
      <c r="G552" t="inlineStr">
        <is>
          <t>NORDMALING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37344-2026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46296</v>
      </c>
      <c r="F553" t="inlineStr">
        <is>
          <t>VÄSTERBOTTENS LÄN</t>
        </is>
      </c>
      <c r="G553" t="inlineStr">
        <is>
          <t>NORDMALING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46296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46296</v>
      </c>
      <c r="F555" t="inlineStr">
        <is>
          <t>VÄSTERBOTTENS LÄN</t>
        </is>
      </c>
      <c r="G555" t="inlineStr">
        <is>
          <t>NORDMALING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32262-2026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46296</v>
      </c>
      <c r="F556" t="inlineStr">
        <is>
          <t>VÄSTERBOTTENS LÄN</t>
        </is>
      </c>
      <c r="G556" t="inlineStr">
        <is>
          <t>NORDMALING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46280</v>
      </c>
      <c r="E557" s="1" t="n">
        <v>46296</v>
      </c>
      <c r="F557" t="inlineStr">
        <is>
          <t>VÄSTERBOTTENS LÄN</t>
        </is>
      </c>
      <c r="G557" t="inlineStr">
        <is>
          <t>NORDMALING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46239</v>
      </c>
      <c r="E558" s="1" t="n">
        <v>46296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Kyrkan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46296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Kyrkan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46286</v>
      </c>
      <c r="E560" s="1" t="n">
        <v>46296</v>
      </c>
      <c r="F560" t="inlineStr">
        <is>
          <t>VÄSTERBOTTENS LÄN</t>
        </is>
      </c>
      <c r="G560" t="inlineStr">
        <is>
          <t>NORDMALING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46296</v>
      </c>
      <c r="F561" t="inlineStr">
        <is>
          <t>VÄSTERBOTTENS LÄN</t>
        </is>
      </c>
      <c r="G561" t="inlineStr">
        <is>
          <t>NORDMALING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46296</v>
      </c>
      <c r="F562" t="inlineStr">
        <is>
          <t>VÄSTERBOTTENS LÄN</t>
        </is>
      </c>
      <c r="G562" t="inlineStr">
        <is>
          <t>NORDMALING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39162-2026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46296</v>
      </c>
      <c r="F563" t="inlineStr">
        <is>
          <t>VÄSTERBOTTENS LÄN</t>
        </is>
      </c>
      <c r="G563" t="inlineStr">
        <is>
          <t>NORDMALING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46296</v>
      </c>
      <c r="F564" t="inlineStr">
        <is>
          <t>VÄSTERBOTTENS LÄN</t>
        </is>
      </c>
      <c r="G564" t="inlineStr">
        <is>
          <t>NORDMALING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46296</v>
      </c>
      <c r="F565" t="inlineStr">
        <is>
          <t>VÄSTERBOTTENS LÄN</t>
        </is>
      </c>
      <c r="G565" t="inlineStr">
        <is>
          <t>NORDMALING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46296</v>
      </c>
      <c r="F566" t="inlineStr">
        <is>
          <t>VÄSTERBOTTENS LÄN</t>
        </is>
      </c>
      <c r="G566" t="inlineStr">
        <is>
          <t>NORDMALING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46296</v>
      </c>
      <c r="F567" t="inlineStr">
        <is>
          <t>VÄSTERBOTTENS LÄN</t>
        </is>
      </c>
      <c r="G567" t="inlineStr">
        <is>
          <t>NORDMALING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62247-2025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46006</v>
      </c>
      <c r="E568" s="1" t="n">
        <v>46296</v>
      </c>
      <c r="F568" t="inlineStr">
        <is>
          <t>VÄSTERBOTTENS LÄN</t>
        </is>
      </c>
      <c r="G568" t="inlineStr">
        <is>
          <t>NORDMALING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32905-2026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46296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46296</v>
      </c>
      <c r="F570" t="inlineStr">
        <is>
          <t>VÄSTERBOTTENS LÄN</t>
        </is>
      </c>
      <c r="G570" t="inlineStr">
        <is>
          <t>NORDMALING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33155-2026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46245</v>
      </c>
      <c r="E571" s="1" t="n">
        <v>46296</v>
      </c>
      <c r="F571" t="inlineStr">
        <is>
          <t>VÄSTERBOTTENS LÄN</t>
        </is>
      </c>
      <c r="G571" t="inlineStr">
        <is>
          <t>NORDMALING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32983-2026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46296</v>
      </c>
      <c r="F572" t="inlineStr">
        <is>
          <t>VÄSTERBOTTENS LÄN</t>
        </is>
      </c>
      <c r="G572" t="inlineStr">
        <is>
          <t>NORDMALING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33008-2026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46296</v>
      </c>
      <c r="F573" t="inlineStr">
        <is>
          <t>VÄSTERBOTTENS LÄN</t>
        </is>
      </c>
      <c r="G573" t="inlineStr">
        <is>
          <t>NORDMALING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32879-2026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46296</v>
      </c>
      <c r="F574" t="inlineStr">
        <is>
          <t>VÄSTERBOTTENS LÄN</t>
        </is>
      </c>
      <c r="G574" t="inlineStr">
        <is>
          <t>NORDMALING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46296</v>
      </c>
      <c r="F575" t="inlineStr">
        <is>
          <t>VÄSTERBOTTENS LÄN</t>
        </is>
      </c>
      <c r="G575" t="inlineStr">
        <is>
          <t>NORDMALING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46296</v>
      </c>
      <c r="F576" t="inlineStr">
        <is>
          <t>VÄSTERBOTTENS LÄN</t>
        </is>
      </c>
      <c r="G576" t="inlineStr">
        <is>
          <t>NORDMALING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46296</v>
      </c>
      <c r="F577" t="inlineStr">
        <is>
          <t>VÄSTERBOTTENS LÄN</t>
        </is>
      </c>
      <c r="G577" t="inlineStr">
        <is>
          <t>NORDMALING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33171-2026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46296</v>
      </c>
      <c r="F578" t="inlineStr">
        <is>
          <t>VÄSTERBOTTENS LÄN</t>
        </is>
      </c>
      <c r="G578" t="inlineStr">
        <is>
          <t>NORDMALING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39647-2026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46289</v>
      </c>
      <c r="E579" s="1" t="n">
        <v>46296</v>
      </c>
      <c r="F579" t="inlineStr">
        <is>
          <t>VÄSTERBOTTENS LÄN</t>
        </is>
      </c>
      <c r="G579" t="inlineStr">
        <is>
          <t>NORDMALING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46296</v>
      </c>
      <c r="F580" t="inlineStr">
        <is>
          <t>VÄSTERBOTTENS LÄN</t>
        </is>
      </c>
      <c r="G580" t="inlineStr">
        <is>
          <t>NORDMALING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33163-2026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46245</v>
      </c>
      <c r="E581" s="1" t="n">
        <v>46296</v>
      </c>
      <c r="F581" t="inlineStr">
        <is>
          <t>VÄSTERBOTTENS LÄN</t>
        </is>
      </c>
      <c r="G581" t="inlineStr">
        <is>
          <t>NORDMALING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46245</v>
      </c>
      <c r="E582" s="1" t="n">
        <v>46296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46296</v>
      </c>
      <c r="F583" t="inlineStr">
        <is>
          <t>VÄSTERBOTTENS LÄN</t>
        </is>
      </c>
      <c r="G583" t="inlineStr">
        <is>
          <t>NORDMALING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46296</v>
      </c>
      <c r="F584" t="inlineStr">
        <is>
          <t>VÄSTERBOTTENS LÄN</t>
        </is>
      </c>
      <c r="G584" t="inlineStr">
        <is>
          <t>NORDMALING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46296</v>
      </c>
      <c r="F585" t="inlineStr">
        <is>
          <t>VÄSTERBOTTENS LÄN</t>
        </is>
      </c>
      <c r="G585" t="inlineStr">
        <is>
          <t>NORDMALING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46296</v>
      </c>
      <c r="F586" t="inlineStr">
        <is>
          <t>VÄSTERBOTTENS LÄN</t>
        </is>
      </c>
      <c r="G586" t="inlineStr">
        <is>
          <t>NORDMALING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35923-2026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46266</v>
      </c>
      <c r="E587" s="1" t="n">
        <v>46296</v>
      </c>
      <c r="F587" t="inlineStr">
        <is>
          <t>VÄSTERBOTTENS LÄN</t>
        </is>
      </c>
      <c r="G587" t="inlineStr">
        <is>
          <t>NORDMALING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46245</v>
      </c>
      <c r="E588" s="1" t="n">
        <v>46296</v>
      </c>
      <c r="F588" t="inlineStr">
        <is>
          <t>VÄSTERBOTTENS LÄN</t>
        </is>
      </c>
      <c r="G588" t="inlineStr">
        <is>
          <t>NORDMALING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33173-2026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46296</v>
      </c>
      <c r="F589" t="inlineStr">
        <is>
          <t>VÄSTERBOTTENS LÄN</t>
        </is>
      </c>
      <c r="G589" t="inlineStr">
        <is>
          <t>NORDMALING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33195-2026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46246</v>
      </c>
      <c r="E590" s="1" t="n">
        <v>46296</v>
      </c>
      <c r="F590" t="inlineStr">
        <is>
          <t>VÄSTERBOTTENS LÄN</t>
        </is>
      </c>
      <c r="G590" t="inlineStr">
        <is>
          <t>NORDMALING</t>
        </is>
      </c>
      <c r="I590" t="n">
        <v>8.5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33077-2026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46296</v>
      </c>
      <c r="F591" t="inlineStr">
        <is>
          <t>VÄSTERBOTTENS LÄN</t>
        </is>
      </c>
      <c r="G591" t="inlineStr">
        <is>
          <t>NORDMALING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46296</v>
      </c>
      <c r="F592" t="inlineStr">
        <is>
          <t>VÄSTERBOTTENS LÄN</t>
        </is>
      </c>
      <c r="G592" t="inlineStr">
        <is>
          <t>NORDMALING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46293</v>
      </c>
      <c r="E593" s="1" t="n">
        <v>46296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46296</v>
      </c>
      <c r="F594" t="inlineStr">
        <is>
          <t>VÄSTERBOTTENS LÄN</t>
        </is>
      </c>
      <c r="G594" t="inlineStr">
        <is>
          <t>NORDMALING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40531-2026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46295</v>
      </c>
      <c r="E595" s="1" t="n">
        <v>46296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46274</v>
      </c>
      <c r="E596" s="1" t="n">
        <v>46296</v>
      </c>
      <c r="F596" t="inlineStr">
        <is>
          <t>VÄSTERBOTTENS LÄN</t>
        </is>
      </c>
      <c r="G596" t="inlineStr">
        <is>
          <t>NORDMALING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46295</v>
      </c>
      <c r="E597" s="1" t="n">
        <v>46296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46253</v>
      </c>
      <c r="E598" s="1" t="n">
        <v>46296</v>
      </c>
      <c r="F598" t="inlineStr">
        <is>
          <t>VÄSTERBOTTENS LÄN</t>
        </is>
      </c>
      <c r="G598" t="inlineStr">
        <is>
          <t>NORDMALING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46293</v>
      </c>
      <c r="E599" s="1" t="n">
        <v>46296</v>
      </c>
      <c r="F599" t="inlineStr">
        <is>
          <t>VÄSTERBOTTENS LÄN</t>
        </is>
      </c>
      <c r="G599" t="inlineStr">
        <is>
          <t>NORDMALING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40542-2026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46296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10.4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46296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3963-2024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45567</v>
      </c>
      <c r="E602" s="1" t="n">
        <v>46296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8278-2021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44489</v>
      </c>
      <c r="E603" s="1" t="n">
        <v>46296</v>
      </c>
      <c r="F603" t="inlineStr">
        <is>
          <t>VÄSTERBOTTENS LÄN</t>
        </is>
      </c>
      <c r="G603" t="inlineStr">
        <is>
          <t>NORDMALING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11-2022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44559</v>
      </c>
      <c r="E604" s="1" t="n">
        <v>46296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18.8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73-2025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45667</v>
      </c>
      <c r="E605" s="1" t="n">
        <v>46296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9259-2021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44517</v>
      </c>
      <c r="E606" s="1" t="n">
        <v>46296</v>
      </c>
      <c r="F606" t="inlineStr">
        <is>
          <t>VÄSTERBOTTENS LÄN</t>
        </is>
      </c>
      <c r="G606" t="inlineStr">
        <is>
          <t>NORDMALING</t>
        </is>
      </c>
      <c r="I606" t="n">
        <v>17.8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4194-2023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45250</v>
      </c>
      <c r="E607" s="1" t="n">
        <v>46296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27.6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5071-2024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45638</v>
      </c>
      <c r="E608" s="1" t="n">
        <v>46296</v>
      </c>
      <c r="F608" t="inlineStr">
        <is>
          <t>VÄSTERBOTTENS LÄN</t>
        </is>
      </c>
      <c r="G608" t="inlineStr">
        <is>
          <t>NORDMALING</t>
        </is>
      </c>
      <c r="I608" t="n">
        <v>19.9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1247-2025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46296</v>
      </c>
      <c r="F609" t="inlineStr">
        <is>
          <t>VÄSTERBOTTENS LÄN</t>
        </is>
      </c>
      <c r="G609" t="inlineStr">
        <is>
          <t>NORDMALING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1248-2025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45762</v>
      </c>
      <c r="E610" s="1" t="n">
        <v>46296</v>
      </c>
      <c r="F610" t="inlineStr">
        <is>
          <t>VÄSTERBOTTENS LÄN</t>
        </is>
      </c>
      <c r="G610" t="inlineStr">
        <is>
          <t>NORDMALING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46296</v>
      </c>
      <c r="F611" t="inlineStr">
        <is>
          <t>VÄSTERBOTTENS LÄN</t>
        </is>
      </c>
      <c r="G611" t="inlineStr">
        <is>
          <t>NORDMALING</t>
        </is>
      </c>
      <c r="I611" t="n">
        <v>13.4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46070</v>
      </c>
      <c r="E612" s="1" t="n">
        <v>46296</v>
      </c>
      <c r="F612" t="inlineStr">
        <is>
          <t>VÄSTERBOTTENS LÄN</t>
        </is>
      </c>
      <c r="G612" t="inlineStr">
        <is>
          <t>NORDMALING</t>
        </is>
      </c>
      <c r="H612" t="inlineStr">
        <is>
          <t>Holmen skog AB</t>
        </is>
      </c>
      <c r="I612" t="n">
        <v>73.59999999999999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444-2026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46296</v>
      </c>
      <c r="F613" t="inlineStr">
        <is>
          <t>VÄSTERBOTTENS LÄN</t>
        </is>
      </c>
      <c r="G613" t="inlineStr">
        <is>
          <t>NORDMALING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46296</v>
      </c>
      <c r="F614" t="inlineStr">
        <is>
          <t>VÄSTERBOTTENS LÄN</t>
        </is>
      </c>
      <c r="G614" t="inlineStr">
        <is>
          <t>NORDMALING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1170-2026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46135</v>
      </c>
      <c r="E615" s="1" t="n">
        <v>46296</v>
      </c>
      <c r="F615" t="inlineStr">
        <is>
          <t>VÄSTERBOTTENS LÄN</t>
        </is>
      </c>
      <c r="G615" t="inlineStr">
        <is>
          <t>NORDMALING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1299-2026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46148</v>
      </c>
      <c r="E616" s="1" t="n">
        <v>46296</v>
      </c>
      <c r="F616" t="inlineStr">
        <is>
          <t>VÄSTERBOTTENS LÄN</t>
        </is>
      </c>
      <c r="G616" t="inlineStr">
        <is>
          <t>NORDMALING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2026-10-01T02:04:24Z</dcterms:created>
  <dcterms:modified xmlns:dcterms="http://purl.org/dc/terms/" xmlns:xsi="http://www.w3.org/2001/XMLSchema-instance" xsi:type="dcterms:W3CDTF">2026-10-01T02:04:25Z</dcterms:modified>
</cp:coreProperties>
</file>