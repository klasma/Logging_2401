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46294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46294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46294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46294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46294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46294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46294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46294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46294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46294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46294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46294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46294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46294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46294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46294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46294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46294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46294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46294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46294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46294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46294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46294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46294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46294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46294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46294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46294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46294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46294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46294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61644-2025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46294</v>
      </c>
      <c r="F44" t="inlineStr">
        <is>
          <t>VÄSTERBOTTENS LÄN</t>
        </is>
      </c>
      <c r="G44" t="inlineStr">
        <is>
          <t>NORDMALING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61644-2025 artfynd.xlsx", "A 61644-2025")</f>
        <v/>
      </c>
      <c r="X44">
        <f>HYPERLINK("https://klasma.github.io/Logging_2401/kartor/A 61644-2025 karta.png", "A 61644-2025")</f>
        <v/>
      </c>
      <c r="Y44">
        <f>HYPERLINK("https://klasma.github.io/Logging_2401/kartor_geotiff/A 61644-2025 georefererad karta.tif", "A 61644-2025")</f>
        <v/>
      </c>
      <c r="AA44">
        <f>HYPERLINK("https://klasma.github.io/Logging_2401/klagomål/A 61644-2025 FSC-klagomål.docx", "A 61644-2025")</f>
        <v/>
      </c>
      <c r="AB44">
        <f>HYPERLINK("https://klasma.github.io/Logging_2401/klagomålsmail/A 61644-2025 FSC-klagomål mail.docx", "A 61644-2025")</f>
        <v/>
      </c>
      <c r="AC44">
        <f>HYPERLINK("https://klasma.github.io/Logging_2401/tillsyn/A 61644-2025 tillsynsbegäran.docx", "A 61644-2025")</f>
        <v/>
      </c>
      <c r="AD44">
        <f>HYPERLINK("https://klasma.github.io/Logging_2401/tillsynsmail/A 61644-2025 tillsynsbegäran mail.docx", "A 61644-2025")</f>
        <v/>
      </c>
      <c r="AE44">
        <f>HYPERLINK("https://klasma.github.io/Logging_2401/fåglar/A 61644-2025 prioriterade fågelarter.docx", "A 61644-2025")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46294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60773-2025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45999</v>
      </c>
      <c r="E46" s="1" t="n">
        <v>46294</v>
      </c>
      <c r="F46" t="inlineStr">
        <is>
          <t>VÄSTERBOTTENS LÄN</t>
        </is>
      </c>
      <c r="G46" t="inlineStr">
        <is>
          <t>NORDMALING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Gammelgransskål</t>
        </is>
      </c>
      <c r="W46">
        <f>HYPERLINK("https://klasma.github.io/Logging_2401/artfynd/A 60773-2025 artfynd.xlsx", "A 60773-2025")</f>
        <v/>
      </c>
      <c r="X46">
        <f>HYPERLINK("https://klasma.github.io/Logging_2401/kartor/A 60773-2025 karta.png", "A 60773-2025")</f>
        <v/>
      </c>
      <c r="Y46">
        <f>HYPERLINK("https://klasma.github.io/Logging_2401/kartor_geotiff/A 60773-2025 georefererad karta.tif", "A 60773-2025")</f>
        <v/>
      </c>
      <c r="AA46">
        <f>HYPERLINK("https://klasma.github.io/Logging_2401/klagomål/A 60773-2025 FSC-klagomål.docx", "A 60773-2025")</f>
        <v/>
      </c>
      <c r="AB46">
        <f>HYPERLINK("https://klasma.github.io/Logging_2401/klagomålsmail/A 60773-2025 FSC-klagomål mail.docx", "A 60773-2025")</f>
        <v/>
      </c>
      <c r="AC46">
        <f>HYPERLINK("https://klasma.github.io/Logging_2401/tillsyn/A 60773-2025 tillsynsbegäran.docx", "A 60773-2025")</f>
        <v/>
      </c>
      <c r="AD46">
        <f>HYPERLINK("https://klasma.github.io/Logging_2401/tillsynsmail/A 60773-2025 tillsynsbegäran mail.docx", "A 60773-2025")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46294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9717-2026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46072</v>
      </c>
      <c r="E48" s="1" t="n">
        <v>46294</v>
      </c>
      <c r="F48" t="inlineStr">
        <is>
          <t>VÄSTERBOTTENS LÄN</t>
        </is>
      </c>
      <c r="G48" t="inlineStr">
        <is>
          <t>NORDMALING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HYPERLINK("https://klasma.github.io/Logging_2401/artfynd/A 9717-2026 artfynd.xlsx", "A 9717-2026")</f>
        <v/>
      </c>
      <c r="X48">
        <f>HYPERLINK("https://klasma.github.io/Logging_2401/kartor/A 9717-2026 karta.png", "A 9717-2026")</f>
        <v/>
      </c>
      <c r="Y48">
        <f>HYPERLINK("https://klasma.github.io/Logging_2401/kartor_geotiff/A 9717-2026 georefererad karta.tif", "A 9717-2026")</f>
        <v/>
      </c>
      <c r="AA48">
        <f>HYPERLINK("https://klasma.github.io/Logging_2401/klagomål/A 9717-2026 FSC-klagomål.docx", "A 9717-2026")</f>
        <v/>
      </c>
      <c r="AB48">
        <f>HYPERLINK("https://klasma.github.io/Logging_2401/klagomålsmail/A 9717-2026 FSC-klagomål mail.docx", "A 9717-2026")</f>
        <v/>
      </c>
      <c r="AC48">
        <f>HYPERLINK("https://klasma.github.io/Logging_2401/tillsyn/A 9717-2026 tillsynsbegäran.docx", "A 9717-2026")</f>
        <v/>
      </c>
      <c r="AD48">
        <f>HYPERLINK("https://klasma.github.io/Logging_2401/tillsynsmail/A 9717-2026 tillsynsbegäran mail.docx", "A 9717-2026")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46294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43783-2024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45570</v>
      </c>
      <c r="E50" s="1" t="n">
        <v>46294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HYPERLINK("https://klasma.github.io/Logging_2401/artfynd/A 43783-2024 artfynd.xlsx", "A 43783-2024")</f>
        <v/>
      </c>
      <c r="X50">
        <f>HYPERLINK("https://klasma.github.io/Logging_2401/kartor/A 43783-2024 karta.png", "A 43783-2024")</f>
        <v/>
      </c>
      <c r="Y50">
        <f>HYPERLINK("https://klasma.github.io/Logging_2401/kartor_geotiff/A 43783-2024 georefererad karta.tif", "A 43783-2024")</f>
        <v/>
      </c>
      <c r="AA50">
        <f>HYPERLINK("https://klasma.github.io/Logging_2401/klagomål/A 43783-2024 FSC-klagomål.docx", "A 43783-2024")</f>
        <v/>
      </c>
      <c r="AB50">
        <f>HYPERLINK("https://klasma.github.io/Logging_2401/klagomålsmail/A 43783-2024 FSC-klagomål mail.docx", "A 43783-2024")</f>
        <v/>
      </c>
      <c r="AC50">
        <f>HYPERLINK("https://klasma.github.io/Logging_2401/tillsyn/A 43783-2024 tillsynsbegäran.docx", "A 43783-2024")</f>
        <v/>
      </c>
      <c r="AD50">
        <f>HYPERLINK("https://klasma.github.io/Logging_2401/tillsynsmail/A 43783-2024 tillsynsbegäran mail.docx", "A 43783-2024")</f>
        <v/>
      </c>
    </row>
    <row r="51" ht="15" customHeight="1">
      <c r="A51" t="inlineStr">
        <is>
          <t>A 18897-2026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46294</v>
      </c>
      <c r="F51" t="inlineStr">
        <is>
          <t>VÄSTERBOTTENS LÄN</t>
        </is>
      </c>
      <c r="G51" t="inlineStr">
        <is>
          <t>NORDMALING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Trana</t>
        </is>
      </c>
      <c r="W51">
        <f>HYPERLINK("https://klasma.github.io/Logging_2401/artfynd/A 18897-2026 artfynd.xlsx", "A 18897-2026")</f>
        <v/>
      </c>
      <c r="X51">
        <f>HYPERLINK("https://klasma.github.io/Logging_2401/kartor/A 18897-2026 karta.png", "A 18897-2026")</f>
        <v/>
      </c>
      <c r="Y51">
        <f>HYPERLINK("https://klasma.github.io/Logging_2401/kartor_geotiff/A 18897-2026 georefererad karta.tif", "A 18897-2026")</f>
        <v/>
      </c>
      <c r="AA51">
        <f>HYPERLINK("https://klasma.github.io/Logging_2401/klagomål/A 18897-2026 FSC-klagomål.docx", "A 18897-2026")</f>
        <v/>
      </c>
      <c r="AB51">
        <f>HYPERLINK("https://klasma.github.io/Logging_2401/klagomålsmail/A 18897-2026 FSC-klagomål mail.docx", "A 18897-2026")</f>
        <v/>
      </c>
      <c r="AC51">
        <f>HYPERLINK("https://klasma.github.io/Logging_2401/tillsyn/A 18897-2026 tillsynsbegäran.docx", "A 18897-2026")</f>
        <v/>
      </c>
      <c r="AD51">
        <f>HYPERLINK("https://klasma.github.io/Logging_2401/tillsynsmail/A 18897-2026 tillsynsbegäran mail.docx", "A 18897-2026")</f>
        <v/>
      </c>
      <c r="AE51">
        <f>HYPERLINK("https://klasma.github.io/Logging_2401/fåglar/A 18897-2026 prioriterade fågelarter.docx", "A 18897-2026")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46294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46294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46294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46294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61149-2022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46294</v>
      </c>
      <c r="F56" t="inlineStr">
        <is>
          <t>VÄSTERBOTTENS LÄN</t>
        </is>
      </c>
      <c r="G56" t="inlineStr">
        <is>
          <t>NORDMALING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HYPERLINK("https://klasma.github.io/Logging_2401/artfynd/A 61149-2022 artfynd.xlsx", "A 61149-2022")</f>
        <v/>
      </c>
      <c r="X56">
        <f>HYPERLINK("https://klasma.github.io/Logging_2401/kartor/A 61149-2022 karta.png", "A 61149-2022")</f>
        <v/>
      </c>
      <c r="Y56">
        <f>HYPERLINK("https://klasma.github.io/Logging_2401/kartor_geotiff/A 61149-2022 georefererad karta.tif", "A 61149-2022")</f>
        <v/>
      </c>
      <c r="AA56">
        <f>HYPERLINK("https://klasma.github.io/Logging_2401/klagomål/A 61149-2022 FSC-klagomål.docx", "A 61149-2022")</f>
        <v/>
      </c>
      <c r="AB56">
        <f>HYPERLINK("https://klasma.github.io/Logging_2401/klagomålsmail/A 61149-2022 FSC-klagomål mail.docx", "A 61149-2022")</f>
        <v/>
      </c>
      <c r="AC56">
        <f>HYPERLINK("https://klasma.github.io/Logging_2401/tillsyn/A 61149-2022 tillsynsbegäran.docx", "A 61149-2022")</f>
        <v/>
      </c>
      <c r="AD56">
        <f>HYPERLINK("https://klasma.github.io/Logging_2401/tillsynsmail/A 61149-2022 tillsynsbegäran mail.docx", "A 61149-2022")</f>
        <v/>
      </c>
      <c r="AE56">
        <f>HYPERLINK("https://klasma.github.io/Logging_2401/fåglar/A 61149-2022 prioriterade fågelarter.docx", "A 61149-2022")</f>
        <v/>
      </c>
    </row>
    <row r="57" ht="15" customHeight="1">
      <c r="A57" t="inlineStr">
        <is>
          <t>A 25996-2026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46294</v>
      </c>
      <c r="F57" t="inlineStr">
        <is>
          <t>VÄSTERBOTTENS LÄN</t>
        </is>
      </c>
      <c r="G57" t="inlineStr">
        <is>
          <t>NORDMALING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Brudborste</t>
        </is>
      </c>
      <c r="W57">
        <f>HYPERLINK("https://klasma.github.io/Logging_2401/artfynd/A 25996-2026 artfynd.xlsx", "A 25996-2026")</f>
        <v/>
      </c>
      <c r="X57">
        <f>HYPERLINK("https://klasma.github.io/Logging_2401/kartor/A 25996-2026 karta.png", "A 25996-2026")</f>
        <v/>
      </c>
      <c r="Y57">
        <f>HYPERLINK("https://klasma.github.io/Logging_2401/kartor_geotiff/A 25996-2026 georefererad karta.tif", "A 25996-2026")</f>
        <v/>
      </c>
      <c r="AA57">
        <f>HYPERLINK("https://klasma.github.io/Logging_2401/klagomål/A 25996-2026 FSC-klagomål.docx", "A 25996-2026")</f>
        <v/>
      </c>
      <c r="AB57">
        <f>HYPERLINK("https://klasma.github.io/Logging_2401/klagomålsmail/A 25996-2026 FSC-klagomål mail.docx", "A 25996-2026")</f>
        <v/>
      </c>
      <c r="AC57">
        <f>HYPERLINK("https://klasma.github.io/Logging_2401/tillsyn/A 25996-2026 tillsynsbegäran.docx", "A 25996-2026")</f>
        <v/>
      </c>
      <c r="AD57">
        <f>HYPERLINK("https://klasma.github.io/Logging_2401/tillsynsmail/A 25996-2026 tillsynsbegäran mail.docx", "A 25996-2026")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46294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46294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46294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46294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46294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46294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46294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46294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46294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46294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46294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46294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46294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46294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46294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46294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46294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46294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46294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46294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46294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46294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46294</v>
      </c>
      <c r="F81" t="inlineStr">
        <is>
          <t>VÄSTERBOTTENS LÄN</t>
        </is>
      </c>
      <c r="G81" t="inlineStr">
        <is>
          <t>NORDMALING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46294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46294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46294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46294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46294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46294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46294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46294</v>
      </c>
      <c r="F91" t="inlineStr">
        <is>
          <t>VÄSTERBOTTENS LÄN</t>
        </is>
      </c>
      <c r="G91" t="inlineStr">
        <is>
          <t>NORDMALING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46294</v>
      </c>
      <c r="F92" t="inlineStr">
        <is>
          <t>VÄSTERBOTTENS LÄN</t>
        </is>
      </c>
      <c r="G92" t="inlineStr">
        <is>
          <t>NORDMALING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46294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46294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46294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46294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46294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46294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46294</v>
      </c>
      <c r="F99" t="inlineStr">
        <is>
          <t>VÄSTERBOTTENS LÄN</t>
        </is>
      </c>
      <c r="G99" t="inlineStr">
        <is>
          <t>NORDMALING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46294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44968</v>
      </c>
      <c r="E101" s="1" t="n">
        <v>46294</v>
      </c>
      <c r="F101" t="inlineStr">
        <is>
          <t>VÄSTERBOTTENS LÄN</t>
        </is>
      </c>
      <c r="G101" t="inlineStr">
        <is>
          <t>NORDMALING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46294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46294</v>
      </c>
      <c r="F103" t="inlineStr">
        <is>
          <t>VÄSTERBOTTENS LÄN</t>
        </is>
      </c>
      <c r="G103" t="inlineStr">
        <is>
          <t>NORDMALING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46294</v>
      </c>
      <c r="F104" t="inlineStr">
        <is>
          <t>VÄSTERBOTTENS LÄN</t>
        </is>
      </c>
      <c r="G104" t="inlineStr">
        <is>
          <t>NORDMALING</t>
        </is>
      </c>
      <c r="I104" t="n">
        <v>20.1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46294</v>
      </c>
      <c r="F105" t="inlineStr">
        <is>
          <t>VÄSTERBOTTENS LÄN</t>
        </is>
      </c>
      <c r="G105" t="inlineStr">
        <is>
          <t>NORDMALING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46294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46294</v>
      </c>
      <c r="F107" t="inlineStr">
        <is>
          <t>VÄSTERBOTTENS LÄN</t>
        </is>
      </c>
      <c r="G107" t="inlineStr">
        <is>
          <t>NORDMALING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45664</v>
      </c>
      <c r="E108" s="1" t="n">
        <v>46294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46294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46294</v>
      </c>
      <c r="F110" t="inlineStr">
        <is>
          <t>VÄSTERBOTTENS LÄN</t>
        </is>
      </c>
      <c r="G110" t="inlineStr">
        <is>
          <t>NORDMALING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46294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45158</v>
      </c>
      <c r="E112" s="1" t="n">
        <v>46294</v>
      </c>
      <c r="F112" t="inlineStr">
        <is>
          <t>VÄSTERBOTTENS LÄN</t>
        </is>
      </c>
      <c r="G112" t="inlineStr">
        <is>
          <t>NORDMALING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46294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44921</v>
      </c>
      <c r="E114" s="1" t="n">
        <v>46294</v>
      </c>
      <c r="F114" t="inlineStr">
        <is>
          <t>VÄSTERBOTTENS LÄN</t>
        </is>
      </c>
      <c r="G114" t="inlineStr">
        <is>
          <t>NORDMALING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45407</v>
      </c>
      <c r="E115" s="1" t="n">
        <v>46294</v>
      </c>
      <c r="F115" t="inlineStr">
        <is>
          <t>VÄSTERBOTTENS LÄN</t>
        </is>
      </c>
      <c r="G115" t="inlineStr">
        <is>
          <t>NORDMALING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46294</v>
      </c>
      <c r="F116" t="inlineStr">
        <is>
          <t>VÄSTERBOTTENS LÄN</t>
        </is>
      </c>
      <c r="G116" t="inlineStr">
        <is>
          <t>NORDMALING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46294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46294</v>
      </c>
      <c r="F118" t="inlineStr">
        <is>
          <t>VÄSTERBOTTENS LÄN</t>
        </is>
      </c>
      <c r="G118" t="inlineStr">
        <is>
          <t>NORDMALING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46294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61616-2023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45261</v>
      </c>
      <c r="E120" s="1" t="n">
        <v>46294</v>
      </c>
      <c r="F120" t="inlineStr">
        <is>
          <t>VÄSTERBOTTENS LÄN</t>
        </is>
      </c>
      <c r="G120" t="inlineStr">
        <is>
          <t>NORDMALING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46294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46294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46294</v>
      </c>
      <c r="F123" t="inlineStr">
        <is>
          <t>VÄSTERBOTTENS LÄN</t>
        </is>
      </c>
      <c r="G123" t="inlineStr">
        <is>
          <t>NORDMALING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45789</v>
      </c>
      <c r="E124" s="1" t="n">
        <v>46294</v>
      </c>
      <c r="F124" t="inlineStr">
        <is>
          <t>VÄSTERBOTTENS LÄN</t>
        </is>
      </c>
      <c r="G124" t="inlineStr">
        <is>
          <t>NORDMALING</t>
        </is>
      </c>
      <c r="I124" t="n">
        <v>11.9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46294</v>
      </c>
      <c r="F125" t="inlineStr">
        <is>
          <t>VÄSTERBOTTENS LÄN</t>
        </is>
      </c>
      <c r="G125" t="inlineStr">
        <is>
          <t>NORDMALING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45790</v>
      </c>
      <c r="E126" s="1" t="n">
        <v>46294</v>
      </c>
      <c r="F126" t="inlineStr">
        <is>
          <t>VÄSTERBOTTENS LÄN</t>
        </is>
      </c>
      <c r="G126" t="inlineStr">
        <is>
          <t>NORDMALING</t>
        </is>
      </c>
      <c r="I126" t="n">
        <v>20.3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46294</v>
      </c>
      <c r="F127" t="inlineStr">
        <is>
          <t>VÄSTERBOTTENS LÄN</t>
        </is>
      </c>
      <c r="G127" t="inlineStr">
        <is>
          <t>NORDMALING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45790</v>
      </c>
      <c r="E128" s="1" t="n">
        <v>46294</v>
      </c>
      <c r="F128" t="inlineStr">
        <is>
          <t>VÄSTERBOTTENS LÄN</t>
        </is>
      </c>
      <c r="G128" t="inlineStr">
        <is>
          <t>NORDMALING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23041-2025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46294</v>
      </c>
      <c r="F129" t="inlineStr">
        <is>
          <t>VÄSTERBOTTENS LÄN</t>
        </is>
      </c>
      <c r="G129" t="inlineStr">
        <is>
          <t>NORDMALING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46294</v>
      </c>
      <c r="F130" t="inlineStr">
        <is>
          <t>VÄSTERBOTTENS LÄN</t>
        </is>
      </c>
      <c r="G130" t="inlineStr">
        <is>
          <t>NORDMALING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46294</v>
      </c>
      <c r="F131" t="inlineStr">
        <is>
          <t>VÄSTERBOTTENS LÄN</t>
        </is>
      </c>
      <c r="G131" t="inlineStr">
        <is>
          <t>NORDMALING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46294</v>
      </c>
      <c r="F132" t="inlineStr">
        <is>
          <t>VÄSTERBOTTENS LÄN</t>
        </is>
      </c>
      <c r="G132" t="inlineStr">
        <is>
          <t>NORDMALING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46294</v>
      </c>
      <c r="F133" t="inlineStr">
        <is>
          <t>VÄSTERBOTTENS LÄN</t>
        </is>
      </c>
      <c r="G133" t="inlineStr">
        <is>
          <t>NORDMALING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46294</v>
      </c>
      <c r="F134" t="inlineStr">
        <is>
          <t>VÄSTERBOTTENS LÄN</t>
        </is>
      </c>
      <c r="G134" t="inlineStr">
        <is>
          <t>NORDMALING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46294</v>
      </c>
      <c r="F135" t="inlineStr">
        <is>
          <t>VÄSTERBOTTENS LÄN</t>
        </is>
      </c>
      <c r="G135" t="inlineStr">
        <is>
          <t>NORDMALING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46294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46294</v>
      </c>
      <c r="F137" t="inlineStr">
        <is>
          <t>VÄSTERBOTTENS LÄN</t>
        </is>
      </c>
      <c r="G137" t="inlineStr">
        <is>
          <t>NORDMALING</t>
        </is>
      </c>
      <c r="I137" t="n">
        <v>11.6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46294</v>
      </c>
      <c r="F138" t="inlineStr">
        <is>
          <t>VÄSTERBOTTENS LÄN</t>
        </is>
      </c>
      <c r="G138" t="inlineStr">
        <is>
          <t>NORDMALING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46294</v>
      </c>
      <c r="F139" t="inlineStr">
        <is>
          <t>VÄSTERBOTTENS LÄN</t>
        </is>
      </c>
      <c r="G139" t="inlineStr">
        <is>
          <t>NORDMALING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46294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46294</v>
      </c>
      <c r="F141" t="inlineStr">
        <is>
          <t>VÄSTERBOTTENS LÄN</t>
        </is>
      </c>
      <c r="G141" t="inlineStr">
        <is>
          <t>NORDMALING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46294</v>
      </c>
      <c r="F142" t="inlineStr">
        <is>
          <t>VÄSTERBOTTENS LÄN</t>
        </is>
      </c>
      <c r="G142" t="inlineStr">
        <is>
          <t>NORDMALING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46294</v>
      </c>
      <c r="F143" t="inlineStr">
        <is>
          <t>VÄSTERBOTTENS LÄN</t>
        </is>
      </c>
      <c r="G143" t="inlineStr">
        <is>
          <t>NORDMALING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46294</v>
      </c>
      <c r="F144" t="inlineStr">
        <is>
          <t>VÄSTERBOTTENS LÄN</t>
        </is>
      </c>
      <c r="G144" t="inlineStr">
        <is>
          <t>NORDMALING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45796</v>
      </c>
      <c r="E145" s="1" t="n">
        <v>46294</v>
      </c>
      <c r="F145" t="inlineStr">
        <is>
          <t>VÄSTERBOTTENS LÄN</t>
        </is>
      </c>
      <c r="G145" t="inlineStr">
        <is>
          <t>NORDMALING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46294</v>
      </c>
      <c r="F146" t="inlineStr">
        <is>
          <t>VÄSTERBOTTENS LÄN</t>
        </is>
      </c>
      <c r="G146" t="inlineStr">
        <is>
          <t>NORDMALING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46294</v>
      </c>
      <c r="F147" t="inlineStr">
        <is>
          <t>VÄSTERBOTTENS LÄN</t>
        </is>
      </c>
      <c r="G147" t="inlineStr">
        <is>
          <t>NORDMALING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46294</v>
      </c>
      <c r="F148" t="inlineStr">
        <is>
          <t>VÄSTERBOTTENS LÄN</t>
        </is>
      </c>
      <c r="G148" t="inlineStr">
        <is>
          <t>NORDMALING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46294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46294</v>
      </c>
      <c r="F150" t="inlineStr">
        <is>
          <t>VÄSTERBOTTENS LÄN</t>
        </is>
      </c>
      <c r="G150" t="inlineStr">
        <is>
          <t>NORDMALING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45796</v>
      </c>
      <c r="E151" s="1" t="n">
        <v>46294</v>
      </c>
      <c r="F151" t="inlineStr">
        <is>
          <t>VÄSTERBOTTENS LÄN</t>
        </is>
      </c>
      <c r="G151" t="inlineStr">
        <is>
          <t>NORDMALING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46294</v>
      </c>
      <c r="F152" t="inlineStr">
        <is>
          <t>VÄSTERBOTTENS LÄN</t>
        </is>
      </c>
      <c r="G152" t="inlineStr">
        <is>
          <t>NORDMALING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46294</v>
      </c>
      <c r="F153" t="inlineStr">
        <is>
          <t>VÄSTERBOTTENS LÄN</t>
        </is>
      </c>
      <c r="G153" t="inlineStr">
        <is>
          <t>NORDMALING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46294</v>
      </c>
      <c r="F154" t="inlineStr">
        <is>
          <t>VÄSTERBOTTENS LÄN</t>
        </is>
      </c>
      <c r="G154" t="inlineStr">
        <is>
          <t>NORDMALING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45900</v>
      </c>
      <c r="E155" s="1" t="n">
        <v>46294</v>
      </c>
      <c r="F155" t="inlineStr">
        <is>
          <t>VÄSTERBOTTENS LÄN</t>
        </is>
      </c>
      <c r="G155" t="inlineStr">
        <is>
          <t>NORDMALING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46294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46294</v>
      </c>
      <c r="F157" t="inlineStr">
        <is>
          <t>VÄSTERBOTTENS LÄN</t>
        </is>
      </c>
      <c r="G157" t="inlineStr">
        <is>
          <t>NORDMALING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46294</v>
      </c>
      <c r="F158" t="inlineStr">
        <is>
          <t>VÄSTERBOTTENS LÄN</t>
        </is>
      </c>
      <c r="G158" t="inlineStr">
        <is>
          <t>NORDMALING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45900</v>
      </c>
      <c r="E159" s="1" t="n">
        <v>46294</v>
      </c>
      <c r="F159" t="inlineStr">
        <is>
          <t>VÄSTERBOTTENS LÄN</t>
        </is>
      </c>
      <c r="G159" t="inlineStr">
        <is>
          <t>NORDMALING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46294</v>
      </c>
      <c r="F160" t="inlineStr">
        <is>
          <t>VÄSTERBOTTENS LÄN</t>
        </is>
      </c>
      <c r="G160" t="inlineStr">
        <is>
          <t>NORDMALING</t>
        </is>
      </c>
      <c r="I160" t="n">
        <v>12.5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46294</v>
      </c>
      <c r="F161" t="inlineStr">
        <is>
          <t>VÄSTERBOTTENS LÄN</t>
        </is>
      </c>
      <c r="G161" t="inlineStr">
        <is>
          <t>NORDMALING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46294</v>
      </c>
      <c r="F162" t="inlineStr">
        <is>
          <t>VÄSTERBOTTENS LÄN</t>
        </is>
      </c>
      <c r="G162" t="inlineStr">
        <is>
          <t>NORDMALING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7007-2024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45343</v>
      </c>
      <c r="E163" s="1" t="n">
        <v>46294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Kommuner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30715-2022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44763</v>
      </c>
      <c r="E164" s="1" t="n">
        <v>46294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46294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46294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46294</v>
      </c>
      <c r="F167" t="inlineStr">
        <is>
          <t>VÄSTERBOTTENS LÄN</t>
        </is>
      </c>
      <c r="G167" t="inlineStr">
        <is>
          <t>NORDMALING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46294</v>
      </c>
      <c r="F168" t="inlineStr">
        <is>
          <t>VÄSTERBOTTENS LÄN</t>
        </is>
      </c>
      <c r="G168" t="inlineStr">
        <is>
          <t>NORDMALING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46294</v>
      </c>
      <c r="F169" t="inlineStr">
        <is>
          <t>VÄSTERBOTTENS LÄN</t>
        </is>
      </c>
      <c r="G169" t="inlineStr">
        <is>
          <t>NORDMALING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46294</v>
      </c>
      <c r="F170" t="inlineStr">
        <is>
          <t>VÄSTERBOTTENS LÄN</t>
        </is>
      </c>
      <c r="G170" t="inlineStr">
        <is>
          <t>NORDMALING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46294</v>
      </c>
      <c r="F171" t="inlineStr">
        <is>
          <t>VÄSTERBOTTENS LÄN</t>
        </is>
      </c>
      <c r="G171" t="inlineStr">
        <is>
          <t>NORDMALING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44816</v>
      </c>
      <c r="E172" s="1" t="n">
        <v>46294</v>
      </c>
      <c r="F172" t="inlineStr">
        <is>
          <t>VÄSTERBOTTENS LÄN</t>
        </is>
      </c>
      <c r="G172" t="inlineStr">
        <is>
          <t>NORDMALING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46294</v>
      </c>
      <c r="F173" t="inlineStr">
        <is>
          <t>VÄSTERBOTTENS LÄN</t>
        </is>
      </c>
      <c r="G173" t="inlineStr">
        <is>
          <t>NORDMALING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46294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46294</v>
      </c>
      <c r="F175" t="inlineStr">
        <is>
          <t>VÄSTERBOTTENS LÄN</t>
        </is>
      </c>
      <c r="G175" t="inlineStr">
        <is>
          <t>NORDMALING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44636-2025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46294</v>
      </c>
      <c r="F176" t="inlineStr">
        <is>
          <t>VÄSTERBOTTENS LÄN</t>
        </is>
      </c>
      <c r="G176" t="inlineStr">
        <is>
          <t>NORDMALING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45505</v>
      </c>
      <c r="E177" s="1" t="n">
        <v>46294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46294</v>
      </c>
      <c r="F178" t="inlineStr">
        <is>
          <t>VÄSTERBOTTENS LÄN</t>
        </is>
      </c>
      <c r="G178" t="inlineStr">
        <is>
          <t>NORDMALING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46294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35803-2023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45147</v>
      </c>
      <c r="E180" s="1" t="n">
        <v>46294</v>
      </c>
      <c r="F180" t="inlineStr">
        <is>
          <t>VÄSTERBOTTENS LÄN</t>
        </is>
      </c>
      <c r="G180" t="inlineStr">
        <is>
          <t>NORDMALING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46294</v>
      </c>
      <c r="F181" t="inlineStr">
        <is>
          <t>VÄSTERBOTTENS LÄN</t>
        </is>
      </c>
      <c r="G181" t="inlineStr">
        <is>
          <t>NORDMALING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46294</v>
      </c>
      <c r="F182" t="inlineStr">
        <is>
          <t>VÄSTERBOTTENS LÄN</t>
        </is>
      </c>
      <c r="G182" t="inlineStr">
        <is>
          <t>NORDMALING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46294</v>
      </c>
      <c r="F183" t="inlineStr">
        <is>
          <t>VÄSTERBOTTENS LÄN</t>
        </is>
      </c>
      <c r="G183" t="inlineStr">
        <is>
          <t>NORDMALING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46294</v>
      </c>
      <c r="F184" t="inlineStr">
        <is>
          <t>VÄSTERBOTTENS LÄN</t>
        </is>
      </c>
      <c r="G184" t="inlineStr">
        <is>
          <t>NORDMALING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46294</v>
      </c>
      <c r="F185" t="inlineStr">
        <is>
          <t>VÄSTERBOTTENS LÄN</t>
        </is>
      </c>
      <c r="G185" t="inlineStr">
        <is>
          <t>NORDMALING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29606-2025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45825</v>
      </c>
      <c r="E186" s="1" t="n">
        <v>46294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46294</v>
      </c>
      <c r="F187" t="inlineStr">
        <is>
          <t>VÄSTERBOTTENS LÄN</t>
        </is>
      </c>
      <c r="G187" t="inlineStr">
        <is>
          <t>NORDMALING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46294</v>
      </c>
      <c r="F188" t="inlineStr">
        <is>
          <t>VÄSTERBOTTENS LÄN</t>
        </is>
      </c>
      <c r="G188" t="inlineStr">
        <is>
          <t>NORDMALING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46294</v>
      </c>
      <c r="F189" t="inlineStr">
        <is>
          <t>VÄSTERBOTTENS LÄN</t>
        </is>
      </c>
      <c r="G189" t="inlineStr">
        <is>
          <t>NORDMALING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45587</v>
      </c>
      <c r="E190" s="1" t="n">
        <v>46294</v>
      </c>
      <c r="F190" t="inlineStr">
        <is>
          <t>VÄSTERBOTTENS LÄN</t>
        </is>
      </c>
      <c r="G190" t="inlineStr">
        <is>
          <t>NORDMALING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46294</v>
      </c>
      <c r="F191" t="inlineStr">
        <is>
          <t>VÄSTERBOTTENS LÄN</t>
        </is>
      </c>
      <c r="G191" t="inlineStr">
        <is>
          <t>NORDMALING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46294</v>
      </c>
      <c r="F192" t="inlineStr">
        <is>
          <t>VÄSTERBOTTENS LÄN</t>
        </is>
      </c>
      <c r="G192" t="inlineStr">
        <is>
          <t>NORDMALING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45491</v>
      </c>
      <c r="E193" s="1" t="n">
        <v>46294</v>
      </c>
      <c r="F193" t="inlineStr">
        <is>
          <t>VÄSTERBOTTENS LÄN</t>
        </is>
      </c>
      <c r="G193" t="inlineStr">
        <is>
          <t>NORDMALING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46294</v>
      </c>
      <c r="F194" t="inlineStr">
        <is>
          <t>VÄSTERBOTTENS LÄN</t>
        </is>
      </c>
      <c r="G194" t="inlineStr">
        <is>
          <t>NORDMALING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46294</v>
      </c>
      <c r="F195" t="inlineStr">
        <is>
          <t>VÄSTERBOTTENS LÄN</t>
        </is>
      </c>
      <c r="G195" t="inlineStr">
        <is>
          <t>NORDMALING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46294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46294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46294</v>
      </c>
      <c r="F198" t="inlineStr">
        <is>
          <t>VÄSTERBOTTENS LÄN</t>
        </is>
      </c>
      <c r="G198" t="inlineStr">
        <is>
          <t>NORDMALING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46294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46294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46294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46294</v>
      </c>
      <c r="F202" t="inlineStr">
        <is>
          <t>VÄSTERBOTTENS LÄN</t>
        </is>
      </c>
      <c r="G202" t="inlineStr">
        <is>
          <t>NORDMALING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46020</v>
      </c>
      <c r="E203" s="1" t="n">
        <v>46294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46294</v>
      </c>
      <c r="F204" t="inlineStr">
        <is>
          <t>VÄSTERBOTTENS LÄN</t>
        </is>
      </c>
      <c r="G204" t="inlineStr">
        <is>
          <t>NORDMALING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46018</v>
      </c>
      <c r="E205" s="1" t="n">
        <v>46294</v>
      </c>
      <c r="F205" t="inlineStr">
        <is>
          <t>VÄSTERBOTTENS LÄN</t>
        </is>
      </c>
      <c r="G205" t="inlineStr">
        <is>
          <t>NORDMALING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46294</v>
      </c>
      <c r="F206" t="inlineStr">
        <is>
          <t>VÄSTERBOTTENS LÄN</t>
        </is>
      </c>
      <c r="G206" t="inlineStr">
        <is>
          <t>NORDMALING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46294</v>
      </c>
      <c r="F207" t="inlineStr">
        <is>
          <t>VÄSTERBOTTENS LÄN</t>
        </is>
      </c>
      <c r="G207" t="inlineStr">
        <is>
          <t>NORDMALING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46294</v>
      </c>
      <c r="F208" t="inlineStr">
        <is>
          <t>VÄSTERBOTTENS LÄN</t>
        </is>
      </c>
      <c r="G208" t="inlineStr">
        <is>
          <t>NORDMALING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46294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45940</v>
      </c>
      <c r="E210" s="1" t="n">
        <v>46294</v>
      </c>
      <c r="F210" t="inlineStr">
        <is>
          <t>VÄSTERBOTTENS LÄN</t>
        </is>
      </c>
      <c r="G210" t="inlineStr">
        <is>
          <t>NORDMALING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46294</v>
      </c>
      <c r="F211" t="inlineStr">
        <is>
          <t>VÄSTERBOTTENS LÄN</t>
        </is>
      </c>
      <c r="G211" t="inlineStr">
        <is>
          <t>NORDMALING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46294</v>
      </c>
      <c r="F212" t="inlineStr">
        <is>
          <t>VÄSTERBOTTENS LÄN</t>
        </is>
      </c>
      <c r="G212" t="inlineStr">
        <is>
          <t>NORDMALING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46018</v>
      </c>
      <c r="E213" s="1" t="n">
        <v>46294</v>
      </c>
      <c r="F213" t="inlineStr">
        <is>
          <t>VÄSTERBOTTENS LÄN</t>
        </is>
      </c>
      <c r="G213" t="inlineStr">
        <is>
          <t>NORDMALING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46294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46294</v>
      </c>
      <c r="F215" t="inlineStr">
        <is>
          <t>VÄSTERBOTTENS LÄN</t>
        </is>
      </c>
      <c r="G215" t="inlineStr">
        <is>
          <t>NORDMALING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46294</v>
      </c>
      <c r="F216" t="inlineStr">
        <is>
          <t>VÄSTERBOTTENS LÄN</t>
        </is>
      </c>
      <c r="G216" t="inlineStr">
        <is>
          <t>NORDMALING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46018</v>
      </c>
      <c r="E217" s="1" t="n">
        <v>46294</v>
      </c>
      <c r="F217" t="inlineStr">
        <is>
          <t>VÄSTERBOTTENS LÄN</t>
        </is>
      </c>
      <c r="G217" t="inlineStr">
        <is>
          <t>NORDMALING</t>
        </is>
      </c>
      <c r="I217" t="n">
        <v>16.2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46294</v>
      </c>
      <c r="F218" t="inlineStr">
        <is>
          <t>VÄSTERBOTTENS LÄN</t>
        </is>
      </c>
      <c r="G218" t="inlineStr">
        <is>
          <t>NORDMALING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45852</v>
      </c>
      <c r="E219" s="1" t="n">
        <v>46294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46294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46294</v>
      </c>
      <c r="F221" t="inlineStr">
        <is>
          <t>VÄSTERBOTTENS LÄN</t>
        </is>
      </c>
      <c r="G221" t="inlineStr">
        <is>
          <t>NORDMALING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51542-2025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45950</v>
      </c>
      <c r="E222" s="1" t="n">
        <v>46294</v>
      </c>
      <c r="F222" t="inlineStr">
        <is>
          <t>VÄSTERBOTTENS LÄN</t>
        </is>
      </c>
      <c r="G222" t="inlineStr">
        <is>
          <t>NORDMALING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46294</v>
      </c>
      <c r="F223" t="inlineStr">
        <is>
          <t>VÄSTERBOTTENS LÄN</t>
        </is>
      </c>
      <c r="G223" t="inlineStr">
        <is>
          <t>NORDMALING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46294</v>
      </c>
      <c r="F224" t="inlineStr">
        <is>
          <t>VÄSTERBOTTENS LÄN</t>
        </is>
      </c>
      <c r="G224" t="inlineStr">
        <is>
          <t>NORDMALING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46294</v>
      </c>
      <c r="F225" t="inlineStr">
        <is>
          <t>VÄSTERBOTTENS LÄN</t>
        </is>
      </c>
      <c r="G225" t="inlineStr">
        <is>
          <t>NORDMALING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46294</v>
      </c>
      <c r="F226" t="inlineStr">
        <is>
          <t>VÄSTERBOTTENS LÄN</t>
        </is>
      </c>
      <c r="G226" t="inlineStr">
        <is>
          <t>NORDMALING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46294</v>
      </c>
      <c r="F227" t="inlineStr">
        <is>
          <t>VÄSTERBOTTENS LÄN</t>
        </is>
      </c>
      <c r="G227" t="inlineStr">
        <is>
          <t>NORDMALING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44753</v>
      </c>
      <c r="E228" s="1" t="n">
        <v>46294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46028</v>
      </c>
      <c r="E229" s="1" t="n">
        <v>46294</v>
      </c>
      <c r="F229" t="inlineStr">
        <is>
          <t>VÄSTERBOTTENS LÄN</t>
        </is>
      </c>
      <c r="G229" t="inlineStr">
        <is>
          <t>NORDMALING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45470</v>
      </c>
      <c r="E230" s="1" t="n">
        <v>46294</v>
      </c>
      <c r="F230" t="inlineStr">
        <is>
          <t>VÄSTERBOTTENS LÄN</t>
        </is>
      </c>
      <c r="G230" t="inlineStr">
        <is>
          <t>NORDMALING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46294</v>
      </c>
      <c r="F231" t="inlineStr">
        <is>
          <t>VÄSTERBOTTENS LÄN</t>
        </is>
      </c>
      <c r="G231" t="inlineStr">
        <is>
          <t>NORDMALING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46294</v>
      </c>
      <c r="F232" t="inlineStr">
        <is>
          <t>VÄSTERBOTTENS LÄN</t>
        </is>
      </c>
      <c r="G232" t="inlineStr">
        <is>
          <t>NORDMALING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45673</v>
      </c>
      <c r="E233" s="1" t="n">
        <v>46294</v>
      </c>
      <c r="F233" t="inlineStr">
        <is>
          <t>VÄSTERBOTTENS LÄN</t>
        </is>
      </c>
      <c r="G233" t="inlineStr">
        <is>
          <t>NORDMALING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45867</v>
      </c>
      <c r="E234" s="1" t="n">
        <v>46294</v>
      </c>
      <c r="F234" t="inlineStr">
        <is>
          <t>VÄSTERBOTTENS LÄN</t>
        </is>
      </c>
      <c r="G234" t="inlineStr">
        <is>
          <t>NORDMALING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46294</v>
      </c>
      <c r="F235" t="inlineStr">
        <is>
          <t>VÄSTERBOTTENS LÄN</t>
        </is>
      </c>
      <c r="G235" t="inlineStr">
        <is>
          <t>NORDMALING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46294</v>
      </c>
      <c r="F236" t="inlineStr">
        <is>
          <t>VÄSTERBOTTENS LÄN</t>
        </is>
      </c>
      <c r="G236" t="inlineStr">
        <is>
          <t>NORDMALING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46294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46294</v>
      </c>
      <c r="F238" t="inlineStr">
        <is>
          <t>VÄSTERBOTTENS LÄN</t>
        </is>
      </c>
      <c r="G238" t="inlineStr">
        <is>
          <t>NORDMALING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46294</v>
      </c>
      <c r="F239" t="inlineStr">
        <is>
          <t>VÄSTERBOTTENS LÄN</t>
        </is>
      </c>
      <c r="G239" t="inlineStr">
        <is>
          <t>NORDMALING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46294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17889-2024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46294</v>
      </c>
      <c r="F241" t="inlineStr">
        <is>
          <t>VÄSTERBOTTENS LÄN</t>
        </is>
      </c>
      <c r="G241" t="inlineStr">
        <is>
          <t>NORDMALING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54105-2025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46294</v>
      </c>
      <c r="F242" t="inlineStr">
        <is>
          <t>VÄSTERBOTTENS LÄN</t>
        </is>
      </c>
      <c r="G242" t="inlineStr">
        <is>
          <t>NORDMALING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45962</v>
      </c>
      <c r="E243" s="1" t="n">
        <v>46294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46294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46294</v>
      </c>
      <c r="F245" t="inlineStr">
        <is>
          <t>VÄSTERBOTTENS LÄN</t>
        </is>
      </c>
      <c r="G245" t="inlineStr">
        <is>
          <t>NORDMALING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45247</v>
      </c>
      <c r="E246" s="1" t="n">
        <v>46294</v>
      </c>
      <c r="F246" t="inlineStr">
        <is>
          <t>VÄSTERBOTTENS LÄN</t>
        </is>
      </c>
      <c r="G246" t="inlineStr">
        <is>
          <t>NORDMALING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46294</v>
      </c>
      <c r="F247" t="inlineStr">
        <is>
          <t>VÄSTERBOTTENS LÄN</t>
        </is>
      </c>
      <c r="G247" t="inlineStr">
        <is>
          <t>NORDMALING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46294</v>
      </c>
      <c r="F248" t="inlineStr">
        <is>
          <t>VÄSTERBOTTENS LÄN</t>
        </is>
      </c>
      <c r="G248" t="inlineStr">
        <is>
          <t>NORDMALING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46294</v>
      </c>
      <c r="F249" t="inlineStr">
        <is>
          <t>VÄSTERBOTTENS LÄN</t>
        </is>
      </c>
      <c r="G249" t="inlineStr">
        <is>
          <t>NORDMALING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46294</v>
      </c>
      <c r="F250" t="inlineStr">
        <is>
          <t>VÄSTERBOTTENS LÄN</t>
        </is>
      </c>
      <c r="G250" t="inlineStr">
        <is>
          <t>NORDMALING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46032</v>
      </c>
      <c r="E251" s="1" t="n">
        <v>46294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44905</v>
      </c>
      <c r="E252" s="1" t="n">
        <v>46294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46294</v>
      </c>
      <c r="F253" t="inlineStr">
        <is>
          <t>VÄSTERBOTTENS LÄN</t>
        </is>
      </c>
      <c r="G253" t="inlineStr">
        <is>
          <t>NORDMALING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46294</v>
      </c>
      <c r="F254" t="inlineStr">
        <is>
          <t>VÄSTERBOTTENS LÄN</t>
        </is>
      </c>
      <c r="G254" t="inlineStr">
        <is>
          <t>NORDMALING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46294</v>
      </c>
      <c r="F255" t="inlineStr">
        <is>
          <t>VÄSTERBOTTENS LÄN</t>
        </is>
      </c>
      <c r="G255" t="inlineStr">
        <is>
          <t>NORDMALING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46294</v>
      </c>
      <c r="F256" t="inlineStr">
        <is>
          <t>VÄSTERBOTTENS LÄN</t>
        </is>
      </c>
      <c r="G256" t="inlineStr">
        <is>
          <t>NORDMALING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46294</v>
      </c>
      <c r="F257" t="inlineStr">
        <is>
          <t>VÄSTERBOTTENS LÄN</t>
        </is>
      </c>
      <c r="G257" t="inlineStr">
        <is>
          <t>NORDMALING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46294</v>
      </c>
      <c r="F258" t="inlineStr">
        <is>
          <t>VÄSTERBOTTENS LÄN</t>
        </is>
      </c>
      <c r="G258" t="inlineStr">
        <is>
          <t>NORDMALING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46294</v>
      </c>
      <c r="F259" t="inlineStr">
        <is>
          <t>VÄSTERBOTTENS LÄN</t>
        </is>
      </c>
      <c r="G259" t="inlineStr">
        <is>
          <t>NORDMALING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46294</v>
      </c>
      <c r="F260" t="inlineStr">
        <is>
          <t>VÄSTERBOTTENS LÄN</t>
        </is>
      </c>
      <c r="G260" t="inlineStr">
        <is>
          <t>NORDMALING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46294</v>
      </c>
      <c r="F261" t="inlineStr">
        <is>
          <t>VÄSTERBOTTENS LÄN</t>
        </is>
      </c>
      <c r="G261" t="inlineStr">
        <is>
          <t>NORDMALING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46294</v>
      </c>
      <c r="F262" t="inlineStr">
        <is>
          <t>VÄSTERBOTTENS LÄN</t>
        </is>
      </c>
      <c r="G262" t="inlineStr">
        <is>
          <t>NORDMALING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46294</v>
      </c>
      <c r="F263" t="inlineStr">
        <is>
          <t>VÄSTERBOTTENS LÄN</t>
        </is>
      </c>
      <c r="G263" t="inlineStr">
        <is>
          <t>NORDMALING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46294</v>
      </c>
      <c r="F264" t="inlineStr">
        <is>
          <t>VÄSTERBOTTENS LÄN</t>
        </is>
      </c>
      <c r="G264" t="inlineStr">
        <is>
          <t>NORDMALING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46294</v>
      </c>
      <c r="F265" t="inlineStr">
        <is>
          <t>VÄSTERBOTTENS LÄN</t>
        </is>
      </c>
      <c r="G265" t="inlineStr">
        <is>
          <t>NORDMALING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44916</v>
      </c>
      <c r="E266" s="1" t="n">
        <v>46294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46294</v>
      </c>
      <c r="F267" t="inlineStr">
        <is>
          <t>VÄSTERBOTTENS LÄN</t>
        </is>
      </c>
      <c r="G267" t="inlineStr">
        <is>
          <t>NORDMALING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46294</v>
      </c>
      <c r="F268" t="inlineStr">
        <is>
          <t>VÄSTERBOTTENS LÄN</t>
        </is>
      </c>
      <c r="G268" t="inlineStr">
        <is>
          <t>NORDMALING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65688-2021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44515</v>
      </c>
      <c r="E269" s="1" t="n">
        <v>46294</v>
      </c>
      <c r="F269" t="inlineStr">
        <is>
          <t>VÄSTERBOTTENS LÄN</t>
        </is>
      </c>
      <c r="G269" t="inlineStr">
        <is>
          <t>NORDMALING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46294</v>
      </c>
      <c r="F270" t="inlineStr">
        <is>
          <t>VÄSTERBOTTENS LÄN</t>
        </is>
      </c>
      <c r="G270" t="inlineStr">
        <is>
          <t>NORDMALING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46294</v>
      </c>
      <c r="F271" t="inlineStr">
        <is>
          <t>VÄSTERBOTTENS LÄN</t>
        </is>
      </c>
      <c r="G271" t="inlineStr">
        <is>
          <t>NORDMALING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46294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46294</v>
      </c>
      <c r="F273" t="inlineStr">
        <is>
          <t>VÄSTERBOTTENS LÄN</t>
        </is>
      </c>
      <c r="G273" t="inlineStr">
        <is>
          <t>NORDMALING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46294</v>
      </c>
      <c r="F274" t="inlineStr">
        <is>
          <t>VÄSTERBOTTENS LÄN</t>
        </is>
      </c>
      <c r="G274" t="inlineStr">
        <is>
          <t>NORDMALING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46294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46294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46294</v>
      </c>
      <c r="F277" t="inlineStr">
        <is>
          <t>VÄSTERBOTTENS LÄN</t>
        </is>
      </c>
      <c r="G277" t="inlineStr">
        <is>
          <t>NORDMALING</t>
        </is>
      </c>
      <c r="I277" t="n">
        <v>22.4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46294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46294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46294</v>
      </c>
      <c r="F280" t="inlineStr">
        <is>
          <t>VÄSTERBOTTENS LÄN</t>
        </is>
      </c>
      <c r="G280" t="inlineStr">
        <is>
          <t>NORDMALING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19300-2023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45049</v>
      </c>
      <c r="E281" s="1" t="n">
        <v>46294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Kyrkan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46294</v>
      </c>
      <c r="F282" t="inlineStr">
        <is>
          <t>VÄSTERBOTTENS LÄN</t>
        </is>
      </c>
      <c r="G282" t="inlineStr">
        <is>
          <t>NORDMALING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46294</v>
      </c>
      <c r="F283" t="inlineStr">
        <is>
          <t>VÄSTERBOTTENS LÄN</t>
        </is>
      </c>
      <c r="G283" t="inlineStr">
        <is>
          <t>NORDMALING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46294</v>
      </c>
      <c r="F284" t="inlineStr">
        <is>
          <t>VÄSTERBOTTENS LÄN</t>
        </is>
      </c>
      <c r="G284" t="inlineStr">
        <is>
          <t>NORDMALING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62203-2022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44922</v>
      </c>
      <c r="E285" s="1" t="n">
        <v>46294</v>
      </c>
      <c r="F285" t="inlineStr">
        <is>
          <t>VÄSTERBOTTENS LÄN</t>
        </is>
      </c>
      <c r="G285" t="inlineStr">
        <is>
          <t>NORDMALING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46294</v>
      </c>
      <c r="F286" t="inlineStr">
        <is>
          <t>VÄSTERBOTTENS LÄN</t>
        </is>
      </c>
      <c r="G286" t="inlineStr">
        <is>
          <t>NORDMALING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45470</v>
      </c>
      <c r="E287" s="1" t="n">
        <v>46294</v>
      </c>
      <c r="F287" t="inlineStr">
        <is>
          <t>VÄSTERBOTTENS LÄN</t>
        </is>
      </c>
      <c r="G287" t="inlineStr">
        <is>
          <t>NORDMALING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4898-2026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46048</v>
      </c>
      <c r="E288" s="1" t="n">
        <v>46294</v>
      </c>
      <c r="F288" t="inlineStr">
        <is>
          <t>VÄSTERBOTTENS LÄN</t>
        </is>
      </c>
      <c r="G288" t="inlineStr">
        <is>
          <t>NORDMALING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46294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46294</v>
      </c>
      <c r="F290" t="inlineStr">
        <is>
          <t>VÄSTERBOTTENS LÄN</t>
        </is>
      </c>
      <c r="G290" t="inlineStr">
        <is>
          <t>NORDMALING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46294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46294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46294</v>
      </c>
      <c r="F293" t="inlineStr">
        <is>
          <t>VÄSTERBOTTENS LÄN</t>
        </is>
      </c>
      <c r="G293" t="inlineStr">
        <is>
          <t>NORDMALING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46294</v>
      </c>
      <c r="F294" t="inlineStr">
        <is>
          <t>VÄSTERBOTTENS LÄN</t>
        </is>
      </c>
      <c r="G294" t="inlineStr">
        <is>
          <t>NORDMALING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45994</v>
      </c>
      <c r="E295" s="1" t="n">
        <v>46294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46294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46294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46294</v>
      </c>
      <c r="F298" t="inlineStr">
        <is>
          <t>VÄSTERBOTTENS LÄN</t>
        </is>
      </c>
      <c r="G298" t="inlineStr">
        <is>
          <t>NORDMALING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46294</v>
      </c>
      <c r="F299" t="inlineStr">
        <is>
          <t>VÄSTERBOTTENS LÄN</t>
        </is>
      </c>
      <c r="G299" t="inlineStr">
        <is>
          <t>NORDMALING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46294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46294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46294</v>
      </c>
      <c r="F302" t="inlineStr">
        <is>
          <t>VÄSTERBOTTENS LÄN</t>
        </is>
      </c>
      <c r="G302" t="inlineStr">
        <is>
          <t>NORDMALING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44687</v>
      </c>
      <c r="E303" s="1" t="n">
        <v>46294</v>
      </c>
      <c r="F303" t="inlineStr">
        <is>
          <t>VÄSTERBOTTENS LÄN</t>
        </is>
      </c>
      <c r="G303" t="inlineStr">
        <is>
          <t>NORDMALING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46294</v>
      </c>
      <c r="F304" t="inlineStr">
        <is>
          <t>VÄSTERBOTTENS LÄN</t>
        </is>
      </c>
      <c r="G304" t="inlineStr">
        <is>
          <t>NORDMALING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46294</v>
      </c>
      <c r="F305" t="inlineStr">
        <is>
          <t>VÄSTERBOTTENS LÄN</t>
        </is>
      </c>
      <c r="G305" t="inlineStr">
        <is>
          <t>NORDMALING</t>
        </is>
      </c>
      <c r="I305" t="n">
        <v>19.1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46294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34184-2023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45126</v>
      </c>
      <c r="E307" s="1" t="n">
        <v>46294</v>
      </c>
      <c r="F307" t="inlineStr">
        <is>
          <t>VÄSTERBOTTENS LÄN</t>
        </is>
      </c>
      <c r="G307" t="inlineStr">
        <is>
          <t>NORDMALING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72841-2021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44547</v>
      </c>
      <c r="E308" s="1" t="n">
        <v>46294</v>
      </c>
      <c r="F308" t="inlineStr">
        <is>
          <t>VÄSTERBOTTENS LÄN</t>
        </is>
      </c>
      <c r="G308" t="inlineStr">
        <is>
          <t>NORDMALING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59913-2022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46294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46065</v>
      </c>
      <c r="E310" s="1" t="n">
        <v>46294</v>
      </c>
      <c r="F310" t="inlineStr">
        <is>
          <t>VÄSTERBOTTENS LÄN</t>
        </is>
      </c>
      <c r="G310" t="inlineStr">
        <is>
          <t>NORDMALING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46294</v>
      </c>
      <c r="F311" t="inlineStr">
        <is>
          <t>VÄSTERBOTTENS LÄN</t>
        </is>
      </c>
      <c r="G311" t="inlineStr">
        <is>
          <t>NORDMALING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45770</v>
      </c>
      <c r="E312" s="1" t="n">
        <v>46294</v>
      </c>
      <c r="F312" t="inlineStr">
        <is>
          <t>VÄSTERBOTTENS LÄN</t>
        </is>
      </c>
      <c r="G312" t="inlineStr">
        <is>
          <t>NORDMALING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46294</v>
      </c>
      <c r="F313" t="inlineStr">
        <is>
          <t>VÄSTERBOTTENS LÄN</t>
        </is>
      </c>
      <c r="G313" t="inlineStr">
        <is>
          <t>NORDMALING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72018-2021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44540</v>
      </c>
      <c r="E314" s="1" t="n">
        <v>46294</v>
      </c>
      <c r="F314" t="inlineStr">
        <is>
          <t>VÄSTERBOTTENS LÄN</t>
        </is>
      </c>
      <c r="G314" t="inlineStr">
        <is>
          <t>NORDMALING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46294</v>
      </c>
      <c r="F315" t="inlineStr">
        <is>
          <t>VÄSTERBOTTENS LÄN</t>
        </is>
      </c>
      <c r="G315" t="inlineStr">
        <is>
          <t>NORDMALING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45051</v>
      </c>
      <c r="E316" s="1" t="n">
        <v>46294</v>
      </c>
      <c r="F316" t="inlineStr">
        <is>
          <t>VÄSTERBOTTENS LÄN</t>
        </is>
      </c>
      <c r="G316" t="inlineStr">
        <is>
          <t>NORDMALING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46294</v>
      </c>
      <c r="F317" t="inlineStr">
        <is>
          <t>VÄSTERBOTTENS LÄN</t>
        </is>
      </c>
      <c r="G317" t="inlineStr">
        <is>
          <t>NORDMALING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46294</v>
      </c>
      <c r="F318" t="inlineStr">
        <is>
          <t>VÄSTERBOTTENS LÄN</t>
        </is>
      </c>
      <c r="G318" t="inlineStr">
        <is>
          <t>NORDMALING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46294</v>
      </c>
      <c r="F319" t="inlineStr">
        <is>
          <t>VÄSTERBOTTENS LÄN</t>
        </is>
      </c>
      <c r="G319" t="inlineStr">
        <is>
          <t>NORDMALING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45713</v>
      </c>
      <c r="E320" s="1" t="n">
        <v>46294</v>
      </c>
      <c r="F320" t="inlineStr">
        <is>
          <t>VÄSTERBOTTENS LÄN</t>
        </is>
      </c>
      <c r="G320" t="inlineStr">
        <is>
          <t>NORDMALING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46294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46294</v>
      </c>
      <c r="F322" t="inlineStr">
        <is>
          <t>VÄSTERBOTTENS LÄN</t>
        </is>
      </c>
      <c r="G322" t="inlineStr">
        <is>
          <t>NORDMALING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45343</v>
      </c>
      <c r="E323" s="1" t="n">
        <v>46294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Kommuner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55198-2022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44886</v>
      </c>
      <c r="E324" s="1" t="n">
        <v>46294</v>
      </c>
      <c r="F324" t="inlineStr">
        <is>
          <t>VÄSTERBOTTENS LÄN</t>
        </is>
      </c>
      <c r="G324" t="inlineStr">
        <is>
          <t>NORDMALING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44834</v>
      </c>
      <c r="E325" s="1" t="n">
        <v>46294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Holmen skog AB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46294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45638</v>
      </c>
      <c r="E327" s="1" t="n">
        <v>46294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45536</v>
      </c>
      <c r="E328" s="1" t="n">
        <v>46294</v>
      </c>
      <c r="F328" t="inlineStr">
        <is>
          <t>VÄSTERBOTTENS LÄN</t>
        </is>
      </c>
      <c r="G328" t="inlineStr">
        <is>
          <t>NORDMALING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45489</v>
      </c>
      <c r="E329" s="1" t="n">
        <v>46294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13496-2026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46294</v>
      </c>
      <c r="F330" t="inlineStr">
        <is>
          <t>VÄSTERBOTTENS LÄN</t>
        </is>
      </c>
      <c r="G330" t="inlineStr">
        <is>
          <t>NORDMALING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69519-2021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44531</v>
      </c>
      <c r="E331" s="1" t="n">
        <v>46294</v>
      </c>
      <c r="F331" t="inlineStr">
        <is>
          <t>VÄSTERBOTTENS LÄN</t>
        </is>
      </c>
      <c r="G331" t="inlineStr">
        <is>
          <t>NORDMALING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46294</v>
      </c>
      <c r="F332" t="inlineStr">
        <is>
          <t>VÄSTERBOTTENS LÄN</t>
        </is>
      </c>
      <c r="G332" t="inlineStr">
        <is>
          <t>NORDMALING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46294</v>
      </c>
      <c r="F333" t="inlineStr">
        <is>
          <t>VÄSTERBOTTENS LÄN</t>
        </is>
      </c>
      <c r="G333" t="inlineStr">
        <is>
          <t>NORDMALING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34176-2023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45126</v>
      </c>
      <c r="E334" s="1" t="n">
        <v>46294</v>
      </c>
      <c r="F334" t="inlineStr">
        <is>
          <t>VÄSTERBOTTENS LÄN</t>
        </is>
      </c>
      <c r="G334" t="inlineStr">
        <is>
          <t>NORDMALING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61795-2023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45265</v>
      </c>
      <c r="E335" s="1" t="n">
        <v>46294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61793-2023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45265</v>
      </c>
      <c r="E336" s="1" t="n">
        <v>46294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46294</v>
      </c>
      <c r="F337" t="inlineStr">
        <is>
          <t>VÄSTERBOTTENS LÄN</t>
        </is>
      </c>
      <c r="G337" t="inlineStr">
        <is>
          <t>NORDMALING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46294</v>
      </c>
      <c r="F338" t="inlineStr">
        <is>
          <t>VÄSTERBOTTENS LÄN</t>
        </is>
      </c>
      <c r="G338" t="inlineStr">
        <is>
          <t>NORDMALING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46294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15963-2026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46294</v>
      </c>
      <c r="F340" t="inlineStr">
        <is>
          <t>VÄSTERBOTTENS LÄN</t>
        </is>
      </c>
      <c r="G340" t="inlineStr">
        <is>
          <t>NORDMALING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44938</v>
      </c>
      <c r="E341" s="1" t="n">
        <v>46294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46294</v>
      </c>
      <c r="F342" t="inlineStr">
        <is>
          <t>VÄSTERBOTTENS LÄN</t>
        </is>
      </c>
      <c r="G342" t="inlineStr">
        <is>
          <t>NORDMALING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46111</v>
      </c>
      <c r="E343" s="1" t="n">
        <v>46294</v>
      </c>
      <c r="F343" t="inlineStr">
        <is>
          <t>VÄSTERBOTTENS LÄN</t>
        </is>
      </c>
      <c r="G343" t="inlineStr">
        <is>
          <t>NORDMALING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46294</v>
      </c>
      <c r="F344" t="inlineStr">
        <is>
          <t>VÄSTERBOTTENS LÄN</t>
        </is>
      </c>
      <c r="G344" t="inlineStr">
        <is>
          <t>NORDMALING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46294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44972</v>
      </c>
      <c r="E346" s="1" t="n">
        <v>46294</v>
      </c>
      <c r="F346" t="inlineStr">
        <is>
          <t>VÄSTERBOTTENS LÄN</t>
        </is>
      </c>
      <c r="G346" t="inlineStr">
        <is>
          <t>NORDMALING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18039-2026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46294</v>
      </c>
      <c r="F347" t="inlineStr">
        <is>
          <t>VÄSTERBOTTENS LÄN</t>
        </is>
      </c>
      <c r="G347" t="inlineStr">
        <is>
          <t>NORDMALING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46294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24850-2023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45078</v>
      </c>
      <c r="E349" s="1" t="n">
        <v>46294</v>
      </c>
      <c r="F349" t="inlineStr">
        <is>
          <t>VÄSTERBOTTENS LÄN</t>
        </is>
      </c>
      <c r="G349" t="inlineStr">
        <is>
          <t>NORDMALING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46294</v>
      </c>
      <c r="F350" t="inlineStr">
        <is>
          <t>VÄSTERBOTTENS LÄN</t>
        </is>
      </c>
      <c r="G350" t="inlineStr">
        <is>
          <t>NORDMALING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46294</v>
      </c>
      <c r="F351" t="inlineStr">
        <is>
          <t>VÄSTERBOTTENS LÄN</t>
        </is>
      </c>
      <c r="G351" t="inlineStr">
        <is>
          <t>NORDMALING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45525</v>
      </c>
      <c r="E352" s="1" t="n">
        <v>46294</v>
      </c>
      <c r="F352" t="inlineStr">
        <is>
          <t>VÄSTERBOTTENS LÄN</t>
        </is>
      </c>
      <c r="G352" t="inlineStr">
        <is>
          <t>NORDMALING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46294</v>
      </c>
      <c r="F353" t="inlineStr">
        <is>
          <t>VÄSTERBOTTENS LÄN</t>
        </is>
      </c>
      <c r="G353" t="inlineStr">
        <is>
          <t>NORDMALING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45092</v>
      </c>
      <c r="E354" s="1" t="n">
        <v>46294</v>
      </c>
      <c r="F354" t="inlineStr">
        <is>
          <t>VÄSTERBOTTENS LÄN</t>
        </is>
      </c>
      <c r="G354" t="inlineStr">
        <is>
          <t>NORDMALING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18839-2026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46129</v>
      </c>
      <c r="E355" s="1" t="n">
        <v>46294</v>
      </c>
      <c r="F355" t="inlineStr">
        <is>
          <t>VÄSTERBOTTENS LÄN</t>
        </is>
      </c>
      <c r="G355" t="inlineStr">
        <is>
          <t>NORDMALING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46294</v>
      </c>
      <c r="F356" t="inlineStr">
        <is>
          <t>VÄSTERBOTTENS LÄN</t>
        </is>
      </c>
      <c r="G356" t="inlineStr">
        <is>
          <t>NORDMALING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46294</v>
      </c>
      <c r="F357" t="inlineStr">
        <is>
          <t>VÄSTERBOTTENS LÄN</t>
        </is>
      </c>
      <c r="G357" t="inlineStr">
        <is>
          <t>NORDMALING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46135</v>
      </c>
      <c r="E358" s="1" t="n">
        <v>46294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46294</v>
      </c>
      <c r="F359" t="inlineStr">
        <is>
          <t>VÄSTERBOTTENS LÄN</t>
        </is>
      </c>
      <c r="G359" t="inlineStr">
        <is>
          <t>NORDMALING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46294</v>
      </c>
      <c r="F360" t="inlineStr">
        <is>
          <t>VÄSTERBOTTENS LÄN</t>
        </is>
      </c>
      <c r="G360" t="inlineStr">
        <is>
          <t>NORDMALING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46294</v>
      </c>
      <c r="F361" t="inlineStr">
        <is>
          <t>VÄSTERBOTTENS LÄN</t>
        </is>
      </c>
      <c r="G361" t="inlineStr">
        <is>
          <t>NORDMALING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46294</v>
      </c>
      <c r="F362" t="inlineStr">
        <is>
          <t>VÄSTERBOTTENS LÄN</t>
        </is>
      </c>
      <c r="G362" t="inlineStr">
        <is>
          <t>NORDMALING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46294</v>
      </c>
      <c r="F363" t="inlineStr">
        <is>
          <t>VÄSTERBOTTENS LÄN</t>
        </is>
      </c>
      <c r="G363" t="inlineStr">
        <is>
          <t>NORDMALING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45877</v>
      </c>
      <c r="E364" s="1" t="n">
        <v>46294</v>
      </c>
      <c r="F364" t="inlineStr">
        <is>
          <t>VÄSTERBOTTENS LÄN</t>
        </is>
      </c>
      <c r="G364" t="inlineStr">
        <is>
          <t>NORDMALING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46294</v>
      </c>
      <c r="F365" t="inlineStr">
        <is>
          <t>VÄSTERBOTTENS LÄN</t>
        </is>
      </c>
      <c r="G365" t="inlineStr">
        <is>
          <t>NORDMALING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45866</v>
      </c>
      <c r="E366" s="1" t="n">
        <v>46294</v>
      </c>
      <c r="F366" t="inlineStr">
        <is>
          <t>VÄSTERBOTTENS LÄN</t>
        </is>
      </c>
      <c r="G366" t="inlineStr">
        <is>
          <t>NORDMALING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45158</v>
      </c>
      <c r="E367" s="1" t="n">
        <v>46294</v>
      </c>
      <c r="F367" t="inlineStr">
        <is>
          <t>VÄSTERBOTTENS LÄN</t>
        </is>
      </c>
      <c r="G367" t="inlineStr">
        <is>
          <t>NORDMALING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45433</v>
      </c>
      <c r="E368" s="1" t="n">
        <v>46294</v>
      </c>
      <c r="F368" t="inlineStr">
        <is>
          <t>VÄSTERBOTTENS LÄN</t>
        </is>
      </c>
      <c r="G368" t="inlineStr">
        <is>
          <t>NORDMALING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46294</v>
      </c>
      <c r="F369" t="inlineStr">
        <is>
          <t>VÄSTERBOTTENS LÄN</t>
        </is>
      </c>
      <c r="G369" t="inlineStr">
        <is>
          <t>NORDMALING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46294</v>
      </c>
      <c r="F370" t="inlineStr">
        <is>
          <t>VÄSTERBOTTENS LÄN</t>
        </is>
      </c>
      <c r="G370" t="inlineStr">
        <is>
          <t>NORDMALING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46294</v>
      </c>
      <c r="F371" t="inlineStr">
        <is>
          <t>VÄSTERBOTTENS LÄN</t>
        </is>
      </c>
      <c r="G371" t="inlineStr">
        <is>
          <t>NORDMALING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45378</v>
      </c>
      <c r="E372" s="1" t="n">
        <v>46294</v>
      </c>
      <c r="F372" t="inlineStr">
        <is>
          <t>VÄSTERBOTTENS LÄN</t>
        </is>
      </c>
      <c r="G372" t="inlineStr">
        <is>
          <t>NORDMALING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20162-2026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46294</v>
      </c>
      <c r="F373" t="inlineStr">
        <is>
          <t>VÄSTERBOTTENS LÄN</t>
        </is>
      </c>
      <c r="G373" t="inlineStr">
        <is>
          <t>NORDMALING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48940-2022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44859</v>
      </c>
      <c r="E374" s="1" t="n">
        <v>46294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39776-2024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46294</v>
      </c>
      <c r="F375" t="inlineStr">
        <is>
          <t>VÄSTERBOTTENS LÄN</t>
        </is>
      </c>
      <c r="G375" t="inlineStr">
        <is>
          <t>NORDMALING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46294</v>
      </c>
      <c r="F376" t="inlineStr">
        <is>
          <t>VÄSTERBOTTENS LÄN</t>
        </is>
      </c>
      <c r="G376" t="inlineStr">
        <is>
          <t>NORDMALING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45799</v>
      </c>
      <c r="E377" s="1" t="n">
        <v>46294</v>
      </c>
      <c r="F377" t="inlineStr">
        <is>
          <t>VÄSTERBOTTENS LÄN</t>
        </is>
      </c>
      <c r="G377" t="inlineStr">
        <is>
          <t>NORDMALING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45435</v>
      </c>
      <c r="E378" s="1" t="n">
        <v>46294</v>
      </c>
      <c r="F378" t="inlineStr">
        <is>
          <t>VÄSTERBOTTENS LÄN</t>
        </is>
      </c>
      <c r="G378" t="inlineStr">
        <is>
          <t>NORDMALING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46294</v>
      </c>
      <c r="F379" t="inlineStr">
        <is>
          <t>VÄSTERBOTTENS LÄN</t>
        </is>
      </c>
      <c r="G379" t="inlineStr">
        <is>
          <t>NORDMALING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46294</v>
      </c>
      <c r="F380" t="inlineStr">
        <is>
          <t>VÄSTERBOTTENS LÄN</t>
        </is>
      </c>
      <c r="G380" t="inlineStr">
        <is>
          <t>NORDMALING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8103-2025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45707</v>
      </c>
      <c r="E381" s="1" t="n">
        <v>46294</v>
      </c>
      <c r="F381" t="inlineStr">
        <is>
          <t>VÄSTERBOTTENS LÄN</t>
        </is>
      </c>
      <c r="G381" t="inlineStr">
        <is>
          <t>NORDMALING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46294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46294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36814-2024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45538</v>
      </c>
      <c r="E384" s="1" t="n">
        <v>46294</v>
      </c>
      <c r="F384" t="inlineStr">
        <is>
          <t>VÄSTERBOTTENS LÄN</t>
        </is>
      </c>
      <c r="G384" t="inlineStr">
        <is>
          <t>NORDMALING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44993</v>
      </c>
      <c r="E385" s="1" t="n">
        <v>46294</v>
      </c>
      <c r="F385" t="inlineStr">
        <is>
          <t>VÄSTERBOTTENS LÄN</t>
        </is>
      </c>
      <c r="G385" t="inlineStr">
        <is>
          <t>NORDMALING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46294</v>
      </c>
      <c r="F386" t="inlineStr">
        <is>
          <t>VÄSTERBOTTENS LÄN</t>
        </is>
      </c>
      <c r="G386" t="inlineStr">
        <is>
          <t>NORDMALING</t>
        </is>
      </c>
      <c r="I386" t="n">
        <v>16.1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46294</v>
      </c>
      <c r="F387" t="inlineStr">
        <is>
          <t>VÄSTERBOTTENS LÄN</t>
        </is>
      </c>
      <c r="G387" t="inlineStr">
        <is>
          <t>NORDMALING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46294</v>
      </c>
      <c r="F388" t="inlineStr">
        <is>
          <t>VÄSTERBOTTENS LÄN</t>
        </is>
      </c>
      <c r="G388" t="inlineStr">
        <is>
          <t>NORDMALING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54784-2021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44473</v>
      </c>
      <c r="E389" s="1" t="n">
        <v>46294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46294</v>
      </c>
      <c r="F390" t="inlineStr">
        <is>
          <t>VÄSTERBOTTENS LÄN</t>
        </is>
      </c>
      <c r="G390" t="inlineStr">
        <is>
          <t>NORDMALING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45419</v>
      </c>
      <c r="E391" s="1" t="n">
        <v>46294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46294</v>
      </c>
      <c r="F392" t="inlineStr">
        <is>
          <t>VÄSTERBOTTENS LÄN</t>
        </is>
      </c>
      <c r="G392" t="inlineStr">
        <is>
          <t>NORDMALING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45503</v>
      </c>
      <c r="E393" s="1" t="n">
        <v>46294</v>
      </c>
      <c r="F393" t="inlineStr">
        <is>
          <t>VÄSTERBOTTENS LÄN</t>
        </is>
      </c>
      <c r="G393" t="inlineStr">
        <is>
          <t>NORDMALING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54368-2025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45965</v>
      </c>
      <c r="E394" s="1" t="n">
        <v>46294</v>
      </c>
      <c r="F394" t="inlineStr">
        <is>
          <t>VÄSTERBOTTENS LÄN</t>
        </is>
      </c>
      <c r="G394" t="inlineStr">
        <is>
          <t>NORDMALING</t>
        </is>
      </c>
      <c r="I394" t="n">
        <v>14.8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45586</v>
      </c>
      <c r="E395" s="1" t="n">
        <v>46294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53976-2025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46294</v>
      </c>
      <c r="F396" t="inlineStr">
        <is>
          <t>VÄSTERBOTTENS LÄN</t>
        </is>
      </c>
      <c r="G396" t="inlineStr">
        <is>
          <t>NORDMALING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46294</v>
      </c>
      <c r="F397" t="inlineStr">
        <is>
          <t>VÄSTERBOTTENS LÄN</t>
        </is>
      </c>
      <c r="G397" t="inlineStr">
        <is>
          <t>NORDMALING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45034</v>
      </c>
      <c r="E398" s="1" t="n">
        <v>46294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64498-2023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45280</v>
      </c>
      <c r="E399" s="1" t="n">
        <v>46294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24415-2024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45457</v>
      </c>
      <c r="E400" s="1" t="n">
        <v>46294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45327</v>
      </c>
      <c r="E401" s="1" t="n">
        <v>46294</v>
      </c>
      <c r="F401" t="inlineStr">
        <is>
          <t>VÄSTERBOTTENS LÄN</t>
        </is>
      </c>
      <c r="G401" t="inlineStr">
        <is>
          <t>NORDMALING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45615</v>
      </c>
      <c r="E402" s="1" t="n">
        <v>46294</v>
      </c>
      <c r="F402" t="inlineStr">
        <is>
          <t>VÄSTERBOTTENS LÄN</t>
        </is>
      </c>
      <c r="G402" t="inlineStr">
        <is>
          <t>NORDMALING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46151</v>
      </c>
      <c r="E403" s="1" t="n">
        <v>46294</v>
      </c>
      <c r="F403" t="inlineStr">
        <is>
          <t>VÄSTERBOTTENS LÄN</t>
        </is>
      </c>
      <c r="G403" t="inlineStr">
        <is>
          <t>NORDMALING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46151</v>
      </c>
      <c r="E404" s="1" t="n">
        <v>46294</v>
      </c>
      <c r="F404" t="inlineStr">
        <is>
          <t>VÄSTERBOTTENS LÄN</t>
        </is>
      </c>
      <c r="G404" t="inlineStr">
        <is>
          <t>NORDMALING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46294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22581-2026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46155</v>
      </c>
      <c r="E406" s="1" t="n">
        <v>46294</v>
      </c>
      <c r="F406" t="inlineStr">
        <is>
          <t>VÄSTERBOTTENS LÄN</t>
        </is>
      </c>
      <c r="G406" t="inlineStr">
        <is>
          <t>NORDMALING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46294</v>
      </c>
      <c r="F407" t="inlineStr">
        <is>
          <t>VÄSTERBOTTENS LÄN</t>
        </is>
      </c>
      <c r="G407" t="inlineStr">
        <is>
          <t>NORDMALING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5258-2024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45330</v>
      </c>
      <c r="E408" s="1" t="n">
        <v>46294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48945-2022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44859</v>
      </c>
      <c r="E409" s="1" t="n">
        <v>46294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8173-2022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44609</v>
      </c>
      <c r="E410" s="1" t="n">
        <v>46294</v>
      </c>
      <c r="F410" t="inlineStr">
        <is>
          <t>VÄSTERBOTTENS LÄN</t>
        </is>
      </c>
      <c r="G410" t="inlineStr">
        <is>
          <t>NORDMALING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46294</v>
      </c>
      <c r="F411" t="inlineStr">
        <is>
          <t>VÄSTERBOTTENS LÄN</t>
        </is>
      </c>
      <c r="G411" t="inlineStr">
        <is>
          <t>NORDMALING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23005-2026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46160</v>
      </c>
      <c r="E412" s="1" t="n">
        <v>46294</v>
      </c>
      <c r="F412" t="inlineStr">
        <is>
          <t>VÄSTERBOTTENS LÄN</t>
        </is>
      </c>
      <c r="G412" t="inlineStr">
        <is>
          <t>NORDMALING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46294</v>
      </c>
      <c r="F413" t="inlineStr">
        <is>
          <t>VÄSTERBOTTENS LÄN</t>
        </is>
      </c>
      <c r="G413" t="inlineStr">
        <is>
          <t>NORDMALING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46294</v>
      </c>
      <c r="F414" t="inlineStr">
        <is>
          <t>VÄSTERBOTTENS LÄN</t>
        </is>
      </c>
      <c r="G414" t="inlineStr">
        <is>
          <t>NORDMALING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46294</v>
      </c>
      <c r="F415" t="inlineStr">
        <is>
          <t>VÄSTERBOTTENS LÄN</t>
        </is>
      </c>
      <c r="G415" t="inlineStr">
        <is>
          <t>NORDMALING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46294</v>
      </c>
      <c r="F416" t="inlineStr">
        <is>
          <t>VÄSTERBOTTENS LÄN</t>
        </is>
      </c>
      <c r="G416" t="inlineStr">
        <is>
          <t>NORDMALING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46294</v>
      </c>
      <c r="F417" t="inlineStr">
        <is>
          <t>VÄSTERBOTTENS LÄN</t>
        </is>
      </c>
      <c r="G417" t="inlineStr">
        <is>
          <t>NORDMALING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46294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45775</v>
      </c>
      <c r="E419" s="1" t="n">
        <v>46294</v>
      </c>
      <c r="F419" t="inlineStr">
        <is>
          <t>VÄSTERBOTTENS LÄN</t>
        </is>
      </c>
      <c r="G419" t="inlineStr">
        <is>
          <t>NORDMALING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46294</v>
      </c>
      <c r="F420" t="inlineStr">
        <is>
          <t>VÄSTERBOTTENS LÄN</t>
        </is>
      </c>
      <c r="G420" t="inlineStr">
        <is>
          <t>NORDMALING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45349</v>
      </c>
      <c r="E421" s="1" t="n">
        <v>46294</v>
      </c>
      <c r="F421" t="inlineStr">
        <is>
          <t>VÄSTERBOTTENS LÄN</t>
        </is>
      </c>
      <c r="G421" t="inlineStr">
        <is>
          <t>NORDMALING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38285-2022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44812</v>
      </c>
      <c r="E422" s="1" t="n">
        <v>46294</v>
      </c>
      <c r="F422" t="inlineStr">
        <is>
          <t>VÄSTERBOTTENS LÄN</t>
        </is>
      </c>
      <c r="G422" t="inlineStr">
        <is>
          <t>NORDMALING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46294</v>
      </c>
      <c r="F423" t="inlineStr">
        <is>
          <t>VÄSTERBOTTENS LÄN</t>
        </is>
      </c>
      <c r="G423" t="inlineStr">
        <is>
          <t>NORDMALING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46294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45568</v>
      </c>
      <c r="E425" s="1" t="n">
        <v>46294</v>
      </c>
      <c r="F425" t="inlineStr">
        <is>
          <t>VÄSTERBOTTENS LÄN</t>
        </is>
      </c>
      <c r="G425" t="inlineStr">
        <is>
          <t>NORDMALING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45568</v>
      </c>
      <c r="E426" s="1" t="n">
        <v>46294</v>
      </c>
      <c r="F426" t="inlineStr">
        <is>
          <t>VÄSTERBOTTENS LÄN</t>
        </is>
      </c>
      <c r="G426" t="inlineStr">
        <is>
          <t>NORDMALING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33612-2022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44789</v>
      </c>
      <c r="E427" s="1" t="n">
        <v>46294</v>
      </c>
      <c r="F427" t="inlineStr">
        <is>
          <t>VÄSTERBOTTENS LÄN</t>
        </is>
      </c>
      <c r="G427" t="inlineStr">
        <is>
          <t>NORDMALING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25214-2026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46171</v>
      </c>
      <c r="E428" s="1" t="n">
        <v>46294</v>
      </c>
      <c r="F428" t="inlineStr">
        <is>
          <t>VÄSTERBOTTENS LÄN</t>
        </is>
      </c>
      <c r="G428" t="inlineStr">
        <is>
          <t>NORDMALING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45139</v>
      </c>
      <c r="E429" s="1" t="n">
        <v>46294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46294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46294</v>
      </c>
      <c r="F431" t="inlineStr">
        <is>
          <t>VÄSTERBOTTENS LÄN</t>
        </is>
      </c>
      <c r="G431" t="inlineStr">
        <is>
          <t>NORDMALING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46294</v>
      </c>
      <c r="F432" t="inlineStr">
        <is>
          <t>VÄSTERBOTTENS LÄN</t>
        </is>
      </c>
      <c r="G432" t="inlineStr">
        <is>
          <t>NORDMALING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45344</v>
      </c>
      <c r="E433" s="1" t="n">
        <v>46294</v>
      </c>
      <c r="F433" t="inlineStr">
        <is>
          <t>VÄSTERBOTTENS LÄN</t>
        </is>
      </c>
      <c r="G433" t="inlineStr">
        <is>
          <t>NORDMALING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46294</v>
      </c>
      <c r="F434" t="inlineStr">
        <is>
          <t>VÄSTERBOTTENS LÄN</t>
        </is>
      </c>
      <c r="G434" t="inlineStr">
        <is>
          <t>NORDMALING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45593</v>
      </c>
      <c r="E435" s="1" t="n">
        <v>46294</v>
      </c>
      <c r="F435" t="inlineStr">
        <is>
          <t>VÄSTERBOTTENS LÄN</t>
        </is>
      </c>
      <c r="G435" t="inlineStr">
        <is>
          <t>NORDMALING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70028-2021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44533</v>
      </c>
      <c r="E436" s="1" t="n">
        <v>46294</v>
      </c>
      <c r="F436" t="inlineStr">
        <is>
          <t>VÄSTERBOTTENS LÄN</t>
        </is>
      </c>
      <c r="G436" t="inlineStr">
        <is>
          <t>NORDMALING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44812</v>
      </c>
      <c r="E437" s="1" t="n">
        <v>46294</v>
      </c>
      <c r="F437" t="inlineStr">
        <is>
          <t>VÄSTERBOTTENS LÄN</t>
        </is>
      </c>
      <c r="G437" t="inlineStr">
        <is>
          <t>NORDMALING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46176</v>
      </c>
      <c r="E438" s="1" t="n">
        <v>46294</v>
      </c>
      <c r="F438" t="inlineStr">
        <is>
          <t>VÄSTERBOTTENS LÄN</t>
        </is>
      </c>
      <c r="G438" t="inlineStr">
        <is>
          <t>NORDMALING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45525</v>
      </c>
      <c r="E439" s="1" t="n">
        <v>46294</v>
      </c>
      <c r="F439" t="inlineStr">
        <is>
          <t>VÄSTERBOTTENS LÄN</t>
        </is>
      </c>
      <c r="G439" t="inlineStr">
        <is>
          <t>NORDMALING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24712-2023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45075</v>
      </c>
      <c r="E440" s="1" t="n">
        <v>46294</v>
      </c>
      <c r="F440" t="inlineStr">
        <is>
          <t>VÄSTERBOTTENS LÄN</t>
        </is>
      </c>
      <c r="G440" t="inlineStr">
        <is>
          <t>NORDMALING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45524</v>
      </c>
      <c r="E441" s="1" t="n">
        <v>46294</v>
      </c>
      <c r="F441" t="inlineStr">
        <is>
          <t>VÄSTERBOTTENS LÄN</t>
        </is>
      </c>
      <c r="G441" t="inlineStr">
        <is>
          <t>NORDMALING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46294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Holmen skog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45482</v>
      </c>
      <c r="E443" s="1" t="n">
        <v>46294</v>
      </c>
      <c r="F443" t="inlineStr">
        <is>
          <t>VÄSTERBOTTENS LÄN</t>
        </is>
      </c>
      <c r="G443" t="inlineStr">
        <is>
          <t>NORDMALING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46294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45586</v>
      </c>
      <c r="E445" s="1" t="n">
        <v>46294</v>
      </c>
      <c r="F445" t="inlineStr">
        <is>
          <t>VÄSTERBOTTENS LÄN</t>
        </is>
      </c>
      <c r="G445" t="inlineStr">
        <is>
          <t>NORDMALING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44907</v>
      </c>
      <c r="E446" s="1" t="n">
        <v>46294</v>
      </c>
      <c r="F446" t="inlineStr">
        <is>
          <t>VÄSTERBOTTENS LÄN</t>
        </is>
      </c>
      <c r="G446" t="inlineStr">
        <is>
          <t>NORDMALING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26796-2026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46185</v>
      </c>
      <c r="E447" s="1" t="n">
        <v>46294</v>
      </c>
      <c r="F447" t="inlineStr">
        <is>
          <t>VÄSTERBOTTENS LÄN</t>
        </is>
      </c>
      <c r="G447" t="inlineStr">
        <is>
          <t>NORDMALING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46294</v>
      </c>
      <c r="F448" t="inlineStr">
        <is>
          <t>VÄSTERBOTTENS LÄN</t>
        </is>
      </c>
      <c r="G448" t="inlineStr">
        <is>
          <t>NORDMALING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56674-2021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44480</v>
      </c>
      <c r="E449" s="1" t="n">
        <v>46294</v>
      </c>
      <c r="F449" t="inlineStr">
        <is>
          <t>VÄSTERBOTTENS LÄN</t>
        </is>
      </c>
      <c r="G449" t="inlineStr">
        <is>
          <t>NORDMALING</t>
        </is>
      </c>
      <c r="I449" t="n">
        <v>12.5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44902</v>
      </c>
      <c r="E450" s="1" t="n">
        <v>46294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46294</v>
      </c>
      <c r="F451" t="inlineStr">
        <is>
          <t>VÄSTERBOTTENS LÄN</t>
        </is>
      </c>
      <c r="G451" t="inlineStr">
        <is>
          <t>NORDMALING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46294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46294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46294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44742</v>
      </c>
      <c r="E455" s="1" t="n">
        <v>46294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45517</v>
      </c>
      <c r="E456" s="1" t="n">
        <v>46294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Holmen skog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46294</v>
      </c>
      <c r="F457" t="inlineStr">
        <is>
          <t>VÄSTERBOTTENS LÄN</t>
        </is>
      </c>
      <c r="G457" t="inlineStr">
        <is>
          <t>NORDMALING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46294</v>
      </c>
      <c r="F458" t="inlineStr">
        <is>
          <t>VÄSTERBOTTENS LÄN</t>
        </is>
      </c>
      <c r="G458" t="inlineStr">
        <is>
          <t>NORDMALING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45569</v>
      </c>
      <c r="E459" s="1" t="n">
        <v>46294</v>
      </c>
      <c r="F459" t="inlineStr">
        <is>
          <t>VÄSTERBOTTENS LÄN</t>
        </is>
      </c>
      <c r="G459" t="inlineStr">
        <is>
          <t>NORDMALING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46197</v>
      </c>
      <c r="E460" s="1" t="n">
        <v>46294</v>
      </c>
      <c r="F460" t="inlineStr">
        <is>
          <t>VÄSTERBOTTENS LÄN</t>
        </is>
      </c>
      <c r="G460" t="inlineStr">
        <is>
          <t>NORDMALING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46294</v>
      </c>
      <c r="F461" t="inlineStr">
        <is>
          <t>VÄSTERBOTTENS LÄN</t>
        </is>
      </c>
      <c r="G461" t="inlineStr">
        <is>
          <t>NORDMALING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46294</v>
      </c>
      <c r="F462" t="inlineStr">
        <is>
          <t>VÄSTERBOTTENS LÄN</t>
        </is>
      </c>
      <c r="G462" t="inlineStr">
        <is>
          <t>NORDMALING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44475-2024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46294</v>
      </c>
      <c r="F463" t="inlineStr">
        <is>
          <t>VÄSTERBOTTENS LÄN</t>
        </is>
      </c>
      <c r="G463" t="inlineStr">
        <is>
          <t>NORDMALING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55810-2022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44888</v>
      </c>
      <c r="E464" s="1" t="n">
        <v>46294</v>
      </c>
      <c r="F464" t="inlineStr">
        <is>
          <t>VÄSTERBOTTENS LÄN</t>
        </is>
      </c>
      <c r="G464" t="inlineStr">
        <is>
          <t>NORDMALING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46294</v>
      </c>
      <c r="F465" t="inlineStr">
        <is>
          <t>VÄSTERBOTTENS LÄN</t>
        </is>
      </c>
      <c r="G465" t="inlineStr">
        <is>
          <t>NORDMALING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12374-2024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46294</v>
      </c>
      <c r="F466" t="inlineStr">
        <is>
          <t>VÄSTERBOTTENS LÄN</t>
        </is>
      </c>
      <c r="G466" t="inlineStr">
        <is>
          <t>NORDMALING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46294</v>
      </c>
      <c r="F467" t="inlineStr">
        <is>
          <t>VÄSTERBOTTENS LÄN</t>
        </is>
      </c>
      <c r="G467" t="inlineStr">
        <is>
          <t>NORDMALING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46294</v>
      </c>
      <c r="F468" t="inlineStr">
        <is>
          <t>VÄSTERBOTTENS LÄN</t>
        </is>
      </c>
      <c r="G468" t="inlineStr">
        <is>
          <t>NORDMALING</t>
        </is>
      </c>
      <c r="I468" t="n">
        <v>8.699999999999999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46294</v>
      </c>
      <c r="F469" t="inlineStr">
        <is>
          <t>VÄSTERBOTTENS LÄN</t>
        </is>
      </c>
      <c r="G469" t="inlineStr">
        <is>
          <t>NORDMALING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30944-2026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46294</v>
      </c>
      <c r="F470" t="inlineStr">
        <is>
          <t>VÄSTERBOTTENS LÄN</t>
        </is>
      </c>
      <c r="G470" t="inlineStr">
        <is>
          <t>NORDMALING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21607-2022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44706</v>
      </c>
      <c r="E471" s="1" t="n">
        <v>46294</v>
      </c>
      <c r="F471" t="inlineStr">
        <is>
          <t>VÄSTERBOTTENS LÄN</t>
        </is>
      </c>
      <c r="G471" t="inlineStr">
        <is>
          <t>NORDMALING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45028</v>
      </c>
      <c r="E472" s="1" t="n">
        <v>46294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46294</v>
      </c>
      <c r="F473" t="inlineStr">
        <is>
          <t>VÄSTERBOTTENS LÄN</t>
        </is>
      </c>
      <c r="G473" t="inlineStr">
        <is>
          <t>NORDMALING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46294</v>
      </c>
      <c r="F474" t="inlineStr">
        <is>
          <t>VÄSTERBOTTENS LÄN</t>
        </is>
      </c>
      <c r="G474" t="inlineStr">
        <is>
          <t>NORDMALING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44788</v>
      </c>
      <c r="E475" s="1" t="n">
        <v>46294</v>
      </c>
      <c r="F475" t="inlineStr">
        <is>
          <t>VÄSTERBOTTENS LÄN</t>
        </is>
      </c>
      <c r="G475" t="inlineStr">
        <is>
          <t>NORDMALING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34182-2026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46294</v>
      </c>
      <c r="F476" t="inlineStr">
        <is>
          <t>VÄSTERBOTTENS LÄN</t>
        </is>
      </c>
      <c r="G476" t="inlineStr">
        <is>
          <t>NORDMALING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46253</v>
      </c>
      <c r="E477" s="1" t="n">
        <v>46294</v>
      </c>
      <c r="F477" t="inlineStr">
        <is>
          <t>VÄSTERBOTTENS LÄN</t>
        </is>
      </c>
      <c r="G477" t="inlineStr">
        <is>
          <t>NORDMALING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45525</v>
      </c>
      <c r="E478" s="1" t="n">
        <v>46294</v>
      </c>
      <c r="F478" t="inlineStr">
        <is>
          <t>VÄSTERBOTTENS LÄN</t>
        </is>
      </c>
      <c r="G478" t="inlineStr">
        <is>
          <t>NORDMALING</t>
        </is>
      </c>
      <c r="I478" t="n">
        <v>12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46294</v>
      </c>
      <c r="F479" t="inlineStr">
        <is>
          <t>VÄSTERBOTTENS LÄN</t>
        </is>
      </c>
      <c r="G479" t="inlineStr">
        <is>
          <t>NORDMALING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46294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46294</v>
      </c>
      <c r="F481" t="inlineStr">
        <is>
          <t>VÄSTERBOTTENS LÄN</t>
        </is>
      </c>
      <c r="G481" t="inlineStr">
        <is>
          <t>NORDMALING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34397-2026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46294</v>
      </c>
      <c r="F482" t="inlineStr">
        <is>
          <t>VÄSTERBOTTENS LÄN</t>
        </is>
      </c>
      <c r="G482" t="inlineStr">
        <is>
          <t>NORDMALING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46294</v>
      </c>
      <c r="F483" t="inlineStr">
        <is>
          <t>VÄSTERBOTTENS LÄN</t>
        </is>
      </c>
      <c r="G483" t="inlineStr">
        <is>
          <t>NORDMALING</t>
        </is>
      </c>
      <c r="I483" t="n">
        <v>8.5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34813-2026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46258</v>
      </c>
      <c r="E484" s="1" t="n">
        <v>46294</v>
      </c>
      <c r="F484" t="inlineStr">
        <is>
          <t>VÄSTERBOTTENS LÄN</t>
        </is>
      </c>
      <c r="G484" t="inlineStr">
        <is>
          <t>NORDMALING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46294</v>
      </c>
      <c r="F485" t="inlineStr">
        <is>
          <t>VÄSTERBOTTENS LÄN</t>
        </is>
      </c>
      <c r="G485" t="inlineStr">
        <is>
          <t>NORDMALING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46294</v>
      </c>
      <c r="F486" t="inlineStr">
        <is>
          <t>VÄSTERBOTTENS LÄN</t>
        </is>
      </c>
      <c r="G486" t="inlineStr">
        <is>
          <t>NORDMALING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45462</v>
      </c>
      <c r="E487" s="1" t="n">
        <v>46294</v>
      </c>
      <c r="F487" t="inlineStr">
        <is>
          <t>VÄSTERBOTTENS LÄN</t>
        </is>
      </c>
      <c r="G487" t="inlineStr">
        <is>
          <t>NORDMALING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45462</v>
      </c>
      <c r="E488" s="1" t="n">
        <v>46294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46294</v>
      </c>
      <c r="F489" t="inlineStr">
        <is>
          <t>VÄSTERBOTTENS LÄN</t>
        </is>
      </c>
      <c r="G489" t="inlineStr">
        <is>
          <t>NORDMALING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46294</v>
      </c>
      <c r="F490" t="inlineStr">
        <is>
          <t>VÄSTERBOTTENS LÄN</t>
        </is>
      </c>
      <c r="G490" t="inlineStr">
        <is>
          <t>NORDMALING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46294</v>
      </c>
      <c r="F491" t="inlineStr">
        <is>
          <t>VÄSTERBOTTENS LÄN</t>
        </is>
      </c>
      <c r="G491" t="inlineStr">
        <is>
          <t>NORDMALING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44722</v>
      </c>
      <c r="E492" s="1" t="n">
        <v>46294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46294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Kyrkan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7618-2024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46294</v>
      </c>
      <c r="F494" t="inlineStr">
        <is>
          <t>VÄSTERBOTTENS LÄN</t>
        </is>
      </c>
      <c r="G494" t="inlineStr">
        <is>
          <t>NORDMALING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45096</v>
      </c>
      <c r="E495" s="1" t="n">
        <v>46294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SCA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46294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44854</v>
      </c>
      <c r="E497" s="1" t="n">
        <v>46294</v>
      </c>
      <c r="F497" t="inlineStr">
        <is>
          <t>VÄSTERBOTTENS LÄN</t>
        </is>
      </c>
      <c r="G497" t="inlineStr">
        <is>
          <t>NORDMALING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45139</v>
      </c>
      <c r="E498" s="1" t="n">
        <v>46294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46294</v>
      </c>
      <c r="F499" t="inlineStr">
        <is>
          <t>VÄSTERBOTTENS LÄN</t>
        </is>
      </c>
      <c r="G499" t="inlineStr">
        <is>
          <t>NORDMALING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46294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46294</v>
      </c>
      <c r="F501" t="inlineStr">
        <is>
          <t>VÄSTERBOTTENS LÄN</t>
        </is>
      </c>
      <c r="G501" t="inlineStr">
        <is>
          <t>NORDMALING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45147</v>
      </c>
      <c r="E502" s="1" t="n">
        <v>46294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46294</v>
      </c>
      <c r="F503" t="inlineStr">
        <is>
          <t>VÄSTERBOTTENS LÄN</t>
        </is>
      </c>
      <c r="G503" t="inlineStr">
        <is>
          <t>NORDMALING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14689-2025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45742</v>
      </c>
      <c r="E504" s="1" t="n">
        <v>46294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45061-2024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45575</v>
      </c>
      <c r="E505" s="1" t="n">
        <v>46294</v>
      </c>
      <c r="F505" t="inlineStr">
        <is>
          <t>VÄSTERBOTTENS LÄN</t>
        </is>
      </c>
      <c r="G505" t="inlineStr">
        <is>
          <t>NORDMALING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46294</v>
      </c>
      <c r="F506" t="inlineStr">
        <is>
          <t>VÄSTERBOTTENS LÄN</t>
        </is>
      </c>
      <c r="G506" t="inlineStr">
        <is>
          <t>NORDMALING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32183-2023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45119</v>
      </c>
      <c r="E507" s="1" t="n">
        <v>46294</v>
      </c>
      <c r="F507" t="inlineStr">
        <is>
          <t>VÄSTERBOTTENS LÄN</t>
        </is>
      </c>
      <c r="G507" t="inlineStr">
        <is>
          <t>NORDMALING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46294</v>
      </c>
      <c r="F508" t="inlineStr">
        <is>
          <t>VÄSTERBOTTENS LÄN</t>
        </is>
      </c>
      <c r="G508" t="inlineStr">
        <is>
          <t>NORDMALING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46294</v>
      </c>
      <c r="F509" t="inlineStr">
        <is>
          <t>VÄSTERBOTTENS LÄN</t>
        </is>
      </c>
      <c r="G509" t="inlineStr">
        <is>
          <t>NORDMALING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46262</v>
      </c>
      <c r="E510" s="1" t="n">
        <v>46294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Kyrkan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46294</v>
      </c>
      <c r="F511" t="inlineStr">
        <is>
          <t>VÄSTERBOTTENS LÄN</t>
        </is>
      </c>
      <c r="G511" t="inlineStr">
        <is>
          <t>NORDMALING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46262</v>
      </c>
      <c r="E512" s="1" t="n">
        <v>46294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Kyrkan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45034</v>
      </c>
      <c r="E513" s="1" t="n">
        <v>46294</v>
      </c>
      <c r="F513" t="inlineStr">
        <is>
          <t>VÄSTERBOTTENS LÄN</t>
        </is>
      </c>
      <c r="G513" t="inlineStr">
        <is>
          <t>NORDMALING</t>
        </is>
      </c>
      <c r="I513" t="n">
        <v>13.1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46294</v>
      </c>
      <c r="F514" t="inlineStr">
        <is>
          <t>VÄSTERBOTTENS LÄN</t>
        </is>
      </c>
      <c r="G514" t="inlineStr">
        <is>
          <t>NORDMALING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46294</v>
      </c>
      <c r="F515" t="inlineStr">
        <is>
          <t>VÄSTERBOTTENS LÄN</t>
        </is>
      </c>
      <c r="G515" t="inlineStr">
        <is>
          <t>NORDMALING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46294</v>
      </c>
      <c r="F516" t="inlineStr">
        <is>
          <t>VÄSTERBOTTENS LÄN</t>
        </is>
      </c>
      <c r="G516" t="inlineStr">
        <is>
          <t>NORDMALING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38274-2022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44812</v>
      </c>
      <c r="E517" s="1" t="n">
        <v>46294</v>
      </c>
      <c r="F517" t="inlineStr">
        <is>
          <t>VÄSTERBOTTENS LÄN</t>
        </is>
      </c>
      <c r="G517" t="inlineStr">
        <is>
          <t>NORDMALING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35920-2026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46294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58480-2023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46294</v>
      </c>
      <c r="F519" t="inlineStr">
        <is>
          <t>VÄSTERBOTTENS LÄN</t>
        </is>
      </c>
      <c r="G519" t="inlineStr">
        <is>
          <t>NORDMALING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45141</v>
      </c>
      <c r="E520" s="1" t="n">
        <v>46294</v>
      </c>
      <c r="F520" t="inlineStr">
        <is>
          <t>VÄSTERBOTTENS LÄN</t>
        </is>
      </c>
      <c r="G520" t="inlineStr">
        <is>
          <t>NORDMALING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45775</v>
      </c>
      <c r="E521" s="1" t="n">
        <v>46294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46294</v>
      </c>
      <c r="F522" t="inlineStr">
        <is>
          <t>VÄSTERBOTTENS LÄN</t>
        </is>
      </c>
      <c r="G522" t="inlineStr">
        <is>
          <t>NORDMALING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46263</v>
      </c>
      <c r="E523" s="1" t="n">
        <v>46294</v>
      </c>
      <c r="F523" t="inlineStr">
        <is>
          <t>VÄSTERBOTTENS LÄN</t>
        </is>
      </c>
      <c r="G523" t="inlineStr">
        <is>
          <t>NORDMALING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45429</v>
      </c>
      <c r="E524" s="1" t="n">
        <v>46294</v>
      </c>
      <c r="F524" t="inlineStr">
        <is>
          <t>VÄSTERBOTTENS LÄN</t>
        </is>
      </c>
      <c r="G524" t="inlineStr">
        <is>
          <t>NORDMALING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39104-2022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44816</v>
      </c>
      <c r="E525" s="1" t="n">
        <v>46294</v>
      </c>
      <c r="F525" t="inlineStr">
        <is>
          <t>VÄSTERBOTTENS LÄN</t>
        </is>
      </c>
      <c r="G525" t="inlineStr">
        <is>
          <t>NORDMALING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45238</v>
      </c>
      <c r="E526" s="1" t="n">
        <v>46294</v>
      </c>
      <c r="F526" t="inlineStr">
        <is>
          <t>VÄSTERBOTTENS LÄN</t>
        </is>
      </c>
      <c r="G526" t="inlineStr">
        <is>
          <t>NORDMALING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9860-2022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44620</v>
      </c>
      <c r="E527" s="1" t="n">
        <v>46294</v>
      </c>
      <c r="F527" t="inlineStr">
        <is>
          <t>VÄSTERBOTTENS LÄN</t>
        </is>
      </c>
      <c r="G527" t="inlineStr">
        <is>
          <t>NORDMALING</t>
        </is>
      </c>
      <c r="I527" t="n">
        <v>82.40000000000001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46294</v>
      </c>
      <c r="F528" t="inlineStr">
        <is>
          <t>VÄSTERBOTTENS LÄN</t>
        </is>
      </c>
      <c r="G528" t="inlineStr">
        <is>
          <t>NORDMALING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46294</v>
      </c>
      <c r="F529" t="inlineStr">
        <is>
          <t>VÄSTERBOTTENS LÄN</t>
        </is>
      </c>
      <c r="G529" t="inlineStr">
        <is>
          <t>NORDMALING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18232-2024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45420</v>
      </c>
      <c r="E530" s="1" t="n">
        <v>46294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43651-2023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46294</v>
      </c>
      <c r="F531" t="inlineStr">
        <is>
          <t>VÄSTERBOTTENS LÄN</t>
        </is>
      </c>
      <c r="G531" t="inlineStr">
        <is>
          <t>NORDMALING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46294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SCA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46294</v>
      </c>
      <c r="F533" t="inlineStr">
        <is>
          <t>VÄSTERBOTTENS LÄN</t>
        </is>
      </c>
      <c r="G533" t="inlineStr">
        <is>
          <t>NORDMALING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45491</v>
      </c>
      <c r="E534" s="1" t="n">
        <v>46294</v>
      </c>
      <c r="F534" t="inlineStr">
        <is>
          <t>VÄSTERBOTTENS LÄN</t>
        </is>
      </c>
      <c r="G534" t="inlineStr">
        <is>
          <t>NORDMALING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34685-2023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45140</v>
      </c>
      <c r="E535" s="1" t="n">
        <v>46294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46294</v>
      </c>
      <c r="F536" t="inlineStr">
        <is>
          <t>VÄSTERBOTTENS LÄN</t>
        </is>
      </c>
      <c r="G536" t="inlineStr">
        <is>
          <t>NORDMALING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45216</v>
      </c>
      <c r="E537" s="1" t="n">
        <v>46294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46294</v>
      </c>
      <c r="F538" t="inlineStr">
        <is>
          <t>VÄSTERBOTTENS LÄN</t>
        </is>
      </c>
      <c r="G538" t="inlineStr">
        <is>
          <t>NORDMALING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55305-2023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45237</v>
      </c>
      <c r="E539" s="1" t="n">
        <v>46294</v>
      </c>
      <c r="F539" t="inlineStr">
        <is>
          <t>VÄSTERBOTTENS LÄN</t>
        </is>
      </c>
      <c r="G539" t="inlineStr">
        <is>
          <t>NORDMALING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46294</v>
      </c>
      <c r="F540" t="inlineStr">
        <is>
          <t>VÄSTERBOTTENS LÄN</t>
        </is>
      </c>
      <c r="G540" t="inlineStr">
        <is>
          <t>NORDMALING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35291-2023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45145</v>
      </c>
      <c r="E541" s="1" t="n">
        <v>46294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37178-2026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46294</v>
      </c>
      <c r="F542" t="inlineStr">
        <is>
          <t>VÄSTERBOTTENS LÄN</t>
        </is>
      </c>
      <c r="G542" t="inlineStr">
        <is>
          <t>NORDMALING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69516-2021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44531</v>
      </c>
      <c r="E543" s="1" t="n">
        <v>46294</v>
      </c>
      <c r="F543" t="inlineStr">
        <is>
          <t>VÄSTERBOTTENS LÄN</t>
        </is>
      </c>
      <c r="G543" t="inlineStr">
        <is>
          <t>NORDMALING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45147</v>
      </c>
      <c r="E544" s="1" t="n">
        <v>46294</v>
      </c>
      <c r="F544" t="inlineStr">
        <is>
          <t>VÄSTERBOTTENS LÄN</t>
        </is>
      </c>
      <c r="G544" t="inlineStr">
        <is>
          <t>NORDMALING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46294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46294</v>
      </c>
      <c r="F546" t="inlineStr">
        <is>
          <t>VÄSTERBOTTENS LÄN</t>
        </is>
      </c>
      <c r="G546" t="inlineStr">
        <is>
          <t>NORDMALING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46294</v>
      </c>
      <c r="F547" t="inlineStr">
        <is>
          <t>VÄSTERBOTTENS LÄN</t>
        </is>
      </c>
      <c r="G547" t="inlineStr">
        <is>
          <t>NORDMALING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46294</v>
      </c>
      <c r="F548" t="inlineStr">
        <is>
          <t>VÄSTERBOTTENS LÄN</t>
        </is>
      </c>
      <c r="G548" t="inlineStr">
        <is>
          <t>NORDMALING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46294</v>
      </c>
      <c r="F549" t="inlineStr">
        <is>
          <t>VÄSTERBOTTENS LÄN</t>
        </is>
      </c>
      <c r="G549" t="inlineStr">
        <is>
          <t>NORDMALING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45772</v>
      </c>
      <c r="E550" s="1" t="n">
        <v>46294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46294</v>
      </c>
      <c r="F551" t="inlineStr">
        <is>
          <t>VÄSTERBOTTENS LÄN</t>
        </is>
      </c>
      <c r="G551" t="inlineStr">
        <is>
          <t>NORDMALING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46294</v>
      </c>
      <c r="F552" t="inlineStr">
        <is>
          <t>VÄSTERBOTTENS LÄN</t>
        </is>
      </c>
      <c r="G552" t="inlineStr">
        <is>
          <t>NORDMALING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45665</v>
      </c>
      <c r="E553" s="1" t="n">
        <v>46294</v>
      </c>
      <c r="F553" t="inlineStr">
        <is>
          <t>VÄSTERBOTTENS LÄN</t>
        </is>
      </c>
      <c r="G553" t="inlineStr">
        <is>
          <t>NORDMALING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37969-2026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46280</v>
      </c>
      <c r="E554" s="1" t="n">
        <v>46294</v>
      </c>
      <c r="F554" t="inlineStr">
        <is>
          <t>VÄSTERBOTTENS LÄN</t>
        </is>
      </c>
      <c r="G554" t="inlineStr">
        <is>
          <t>NORDMALING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45638</v>
      </c>
      <c r="E555" s="1" t="n">
        <v>46294</v>
      </c>
      <c r="F555" t="inlineStr">
        <is>
          <t>VÄSTERBOTTENS LÄN</t>
        </is>
      </c>
      <c r="G555" t="inlineStr">
        <is>
          <t>NORDMALING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45030</v>
      </c>
      <c r="E556" s="1" t="n">
        <v>46294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46294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45783</v>
      </c>
      <c r="E558" s="1" t="n">
        <v>46294</v>
      </c>
      <c r="F558" t="inlineStr">
        <is>
          <t>VÄSTERBOTTENS LÄN</t>
        </is>
      </c>
      <c r="G558" t="inlineStr">
        <is>
          <t>NORDMALING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46294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Kyrkan</t>
        </is>
      </c>
      <c r="I559" t="n">
        <v>9.699999999999999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46239</v>
      </c>
      <c r="E560" s="1" t="n">
        <v>46294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Kyrkan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46294</v>
      </c>
      <c r="F561" t="inlineStr">
        <is>
          <t>VÄSTERBOTTENS LÄN</t>
        </is>
      </c>
      <c r="G561" t="inlineStr">
        <is>
          <t>NORDMALING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39172-2026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46287</v>
      </c>
      <c r="E562" s="1" t="n">
        <v>46294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46294</v>
      </c>
      <c r="F563" t="inlineStr">
        <is>
          <t>VÄSTERBOTTENS LÄN</t>
        </is>
      </c>
      <c r="G563" t="inlineStr">
        <is>
          <t>NORDMALING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39162-2026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46294</v>
      </c>
      <c r="F564" t="inlineStr">
        <is>
          <t>VÄSTERBOTTENS LÄN</t>
        </is>
      </c>
      <c r="G564" t="inlineStr">
        <is>
          <t>NORDMALING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46294</v>
      </c>
      <c r="F565" t="inlineStr">
        <is>
          <t>VÄSTERBOTTENS LÄN</t>
        </is>
      </c>
      <c r="G565" t="inlineStr">
        <is>
          <t>NORDMALING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46294</v>
      </c>
      <c r="F566" t="inlineStr">
        <is>
          <t>VÄSTERBOTTENS LÄN</t>
        </is>
      </c>
      <c r="G566" t="inlineStr">
        <is>
          <t>NORDMALING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46294</v>
      </c>
      <c r="F567" t="inlineStr">
        <is>
          <t>VÄSTERBOTTENS LÄN</t>
        </is>
      </c>
      <c r="G567" t="inlineStr">
        <is>
          <t>NORDMALING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46294</v>
      </c>
      <c r="F568" t="inlineStr">
        <is>
          <t>VÄSTERBOTTENS LÄN</t>
        </is>
      </c>
      <c r="G568" t="inlineStr">
        <is>
          <t>NORDMALING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32873-2026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46294</v>
      </c>
      <c r="F569" t="inlineStr">
        <is>
          <t>VÄSTERBOTTENS LÄN</t>
        </is>
      </c>
      <c r="G569" t="inlineStr">
        <is>
          <t>NORDMALING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46294</v>
      </c>
      <c r="F570" t="inlineStr">
        <is>
          <t>VÄSTERBOTTENS LÄN</t>
        </is>
      </c>
      <c r="G570" t="inlineStr">
        <is>
          <t>NORDMALING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46294</v>
      </c>
      <c r="F571" t="inlineStr">
        <is>
          <t>VÄSTERBOTTENS LÄN</t>
        </is>
      </c>
      <c r="G571" t="inlineStr">
        <is>
          <t>NORDMALING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46287</v>
      </c>
      <c r="E572" s="1" t="n">
        <v>46294</v>
      </c>
      <c r="F572" t="inlineStr">
        <is>
          <t>VÄSTERBOTTENS LÄN</t>
        </is>
      </c>
      <c r="G572" t="inlineStr">
        <is>
          <t>NORDMALING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46245</v>
      </c>
      <c r="E573" s="1" t="n">
        <v>46294</v>
      </c>
      <c r="F573" t="inlineStr">
        <is>
          <t>VÄSTERBOTTENS LÄN</t>
        </is>
      </c>
      <c r="G573" t="inlineStr">
        <is>
          <t>NORDMALING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46294</v>
      </c>
      <c r="F574" t="inlineStr">
        <is>
          <t>VÄSTERBOTTENS LÄN</t>
        </is>
      </c>
      <c r="G574" t="inlineStr">
        <is>
          <t>NORDMALING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46244</v>
      </c>
      <c r="E575" s="1" t="n">
        <v>46294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46294</v>
      </c>
      <c r="F576" t="inlineStr">
        <is>
          <t>VÄSTERBOTTENS LÄN</t>
        </is>
      </c>
      <c r="G576" t="inlineStr">
        <is>
          <t>NORDMALING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46294</v>
      </c>
      <c r="F577" t="inlineStr">
        <is>
          <t>VÄSTERBOTTENS LÄN</t>
        </is>
      </c>
      <c r="G577" t="inlineStr">
        <is>
          <t>NORDMALING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46294</v>
      </c>
      <c r="F578" t="inlineStr">
        <is>
          <t>VÄSTERBOTTENS LÄN</t>
        </is>
      </c>
      <c r="G578" t="inlineStr">
        <is>
          <t>NORDMALING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46294</v>
      </c>
      <c r="F579" t="inlineStr">
        <is>
          <t>VÄSTERBOTTENS LÄN</t>
        </is>
      </c>
      <c r="G579" t="inlineStr">
        <is>
          <t>NORDMALING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46294</v>
      </c>
      <c r="F580" t="inlineStr">
        <is>
          <t>VÄSTERBOTTENS LÄN</t>
        </is>
      </c>
      <c r="G580" t="inlineStr">
        <is>
          <t>NORDMALING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39647-2026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46289</v>
      </c>
      <c r="E581" s="1" t="n">
        <v>46294</v>
      </c>
      <c r="F581" t="inlineStr">
        <is>
          <t>VÄSTERBOTTENS LÄN</t>
        </is>
      </c>
      <c r="G581" t="inlineStr">
        <is>
          <t>NORDMALING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46294</v>
      </c>
      <c r="F582" t="inlineStr">
        <is>
          <t>VÄSTERBOTTENS LÄN</t>
        </is>
      </c>
      <c r="G582" t="inlineStr">
        <is>
          <t>NORDMALING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46294</v>
      </c>
      <c r="F583" t="inlineStr">
        <is>
          <t>VÄSTERBOTTENS LÄN</t>
        </is>
      </c>
      <c r="G583" t="inlineStr">
        <is>
          <t>NORDMALING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46294</v>
      </c>
      <c r="F584" t="inlineStr">
        <is>
          <t>VÄSTERBOTTENS LÄN</t>
        </is>
      </c>
      <c r="G584" t="inlineStr">
        <is>
          <t>NORDMALING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46294</v>
      </c>
      <c r="F585" t="inlineStr">
        <is>
          <t>VÄSTERBOTTENS LÄN</t>
        </is>
      </c>
      <c r="G585" t="inlineStr">
        <is>
          <t>NORDMALING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46294</v>
      </c>
      <c r="F586" t="inlineStr">
        <is>
          <t>VÄSTERBOTTENS LÄN</t>
        </is>
      </c>
      <c r="G586" t="inlineStr">
        <is>
          <t>NORDMALING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46245</v>
      </c>
      <c r="E587" s="1" t="n">
        <v>46294</v>
      </c>
      <c r="F587" t="inlineStr">
        <is>
          <t>VÄSTERBOTTENS LÄN</t>
        </is>
      </c>
      <c r="G587" t="inlineStr">
        <is>
          <t>NORDMALING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46294</v>
      </c>
      <c r="F588" t="inlineStr">
        <is>
          <t>VÄSTERBOTTENS LÄN</t>
        </is>
      </c>
      <c r="G588" t="inlineStr">
        <is>
          <t>NORDMALING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35923-2026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46266</v>
      </c>
      <c r="E589" s="1" t="n">
        <v>46294</v>
      </c>
      <c r="F589" t="inlineStr">
        <is>
          <t>VÄSTERBOTTENS LÄN</t>
        </is>
      </c>
      <c r="G589" t="inlineStr">
        <is>
          <t>NORDMALING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33161-2026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46294</v>
      </c>
      <c r="F590" t="inlineStr">
        <is>
          <t>VÄSTERBOTTENS LÄN</t>
        </is>
      </c>
      <c r="G590" t="inlineStr">
        <is>
          <t>NORDMALING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46294</v>
      </c>
      <c r="F591" t="inlineStr">
        <is>
          <t>VÄSTERBOTTENS LÄN</t>
        </is>
      </c>
      <c r="G591" t="inlineStr">
        <is>
          <t>NORDMALING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33195-2026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46246</v>
      </c>
      <c r="E592" s="1" t="n">
        <v>46294</v>
      </c>
      <c r="F592" t="inlineStr">
        <is>
          <t>VÄSTERBOTTENS LÄN</t>
        </is>
      </c>
      <c r="G592" t="inlineStr">
        <is>
          <t>NORDMALING</t>
        </is>
      </c>
      <c r="I592" t="n">
        <v>8.5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46245</v>
      </c>
      <c r="E593" s="1" t="n">
        <v>46294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46294</v>
      </c>
      <c r="F594" t="inlineStr">
        <is>
          <t>VÄSTERBOTTENS LÄN</t>
        </is>
      </c>
      <c r="G594" t="inlineStr">
        <is>
          <t>NORDMALING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46294</v>
      </c>
      <c r="F595" t="inlineStr">
        <is>
          <t>VÄSTERBOTTENS LÄN</t>
        </is>
      </c>
      <c r="G595" t="inlineStr">
        <is>
          <t>NORDMALING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830-2022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44603</v>
      </c>
      <c r="E596" s="1" t="n">
        <v>46294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183.1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3963-2024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45567</v>
      </c>
      <c r="E597" s="1" t="n">
        <v>46294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8278-2021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44489</v>
      </c>
      <c r="E598" s="1" t="n">
        <v>46294</v>
      </c>
      <c r="F598" t="inlineStr">
        <is>
          <t>VÄSTERBOTTENS LÄN</t>
        </is>
      </c>
      <c r="G598" t="inlineStr">
        <is>
          <t>NORDMALING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46294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73-2025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45667</v>
      </c>
      <c r="E600" s="1" t="n">
        <v>46294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9259-2021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44517</v>
      </c>
      <c r="E601" s="1" t="n">
        <v>46294</v>
      </c>
      <c r="F601" t="inlineStr">
        <is>
          <t>VÄSTERBOTTENS LÄN</t>
        </is>
      </c>
      <c r="G601" t="inlineStr">
        <is>
          <t>NORDMALING</t>
        </is>
      </c>
      <c r="I601" t="n">
        <v>17.8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4194-2023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45250</v>
      </c>
      <c r="E602" s="1" t="n">
        <v>46294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27.6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5071-2024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45638</v>
      </c>
      <c r="E603" s="1" t="n">
        <v>46294</v>
      </c>
      <c r="F603" t="inlineStr">
        <is>
          <t>VÄSTERBOTTENS LÄN</t>
        </is>
      </c>
      <c r="G603" t="inlineStr">
        <is>
          <t>NORDMALING</t>
        </is>
      </c>
      <c r="I603" t="n">
        <v>19.9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1247-2025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46294</v>
      </c>
      <c r="F604" t="inlineStr">
        <is>
          <t>VÄSTERBOTTENS LÄN</t>
        </is>
      </c>
      <c r="G604" t="inlineStr">
        <is>
          <t>NORDMALING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1248-2025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45762</v>
      </c>
      <c r="E605" s="1" t="n">
        <v>46294</v>
      </c>
      <c r="F605" t="inlineStr">
        <is>
          <t>VÄSTERBOTTENS LÄN</t>
        </is>
      </c>
      <c r="G605" t="inlineStr">
        <is>
          <t>NORDMALING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46294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46070</v>
      </c>
      <c r="E607" s="1" t="n">
        <v>46294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73.59999999999999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444-2026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46294</v>
      </c>
      <c r="F608" t="inlineStr">
        <is>
          <t>VÄSTERBOTTENS LÄN</t>
        </is>
      </c>
      <c r="G608" t="inlineStr">
        <is>
          <t>NORDMALING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46294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1170-2026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46135</v>
      </c>
      <c r="E610" s="1" t="n">
        <v>46294</v>
      </c>
      <c r="F610" t="inlineStr">
        <is>
          <t>VÄSTERBOTTENS LÄN</t>
        </is>
      </c>
      <c r="G610" t="inlineStr">
        <is>
          <t>NORDMALING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1299-2026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46148</v>
      </c>
      <c r="E611" s="1" t="n">
        <v>46294</v>
      </c>
      <c r="F611" t="inlineStr">
        <is>
          <t>VÄSTERBOTTENS LÄN</t>
        </is>
      </c>
      <c r="G611" t="inlineStr">
        <is>
          <t>NORDMALING</t>
        </is>
      </c>
      <c r="I611" t="n">
        <v>17.6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2026-09-29T01:57:55Z</dcterms:created>
  <dcterms:modified xmlns:dcterms="http://purl.org/dc/terms/" xmlns:xsi="http://www.w3.org/2001/XMLSchema-instance" xsi:type="dcterms:W3CDTF">2026-09-29T01:57:56Z</dcterms:modified>
</cp:coreProperties>
</file>