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46261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46261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46261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46261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46261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46261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46261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46261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46261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46261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46261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46261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46261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46261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46261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46261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46261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46261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46261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46261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46261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46261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29323-2025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46261</v>
      </c>
      <c r="F43" t="inlineStr">
        <is>
          <t>VÄSTERBOTTENS LÄN</t>
        </is>
      </c>
      <c r="G43" t="inlineStr">
        <is>
          <t>NORDMALING</t>
        </is>
      </c>
      <c r="I43" t="n">
        <v>2.9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HYPERLINK("https://klasma.github.io/Logging_2401/artfynd/A 29323-2025 artfynd.xlsx", "A 29323-2025")</f>
        <v/>
      </c>
      <c r="X43">
        <f>HYPERLINK("https://klasma.github.io/Logging_2401/kartor/A 29323-2025 karta.png", "A 29323-2025")</f>
        <v/>
      </c>
      <c r="Y43">
        <f>HYPERLINK("https://klasma.github.io/Logging_2401/kartor_geotiff/A 29323-2025 georefererad karta.tif", "A 29323-2025")</f>
        <v/>
      </c>
      <c r="AA43">
        <f>HYPERLINK("https://klasma.github.io/Logging_2401/klagomål/A 29323-2025 FSC-klagomål.docx", "A 29323-2025")</f>
        <v/>
      </c>
      <c r="AB43">
        <f>HYPERLINK("https://klasma.github.io/Logging_2401/klagomålsmail/A 29323-2025 FSC-klagomål mail.docx", "A 29323-2025")</f>
        <v/>
      </c>
      <c r="AC43">
        <f>HYPERLINK("https://klasma.github.io/Logging_2401/tillsyn/A 29323-2025 tillsynsbegäran.docx", "A 29323-2025")</f>
        <v/>
      </c>
      <c r="AD43">
        <f>HYPERLINK("https://klasma.github.io/Logging_2401/tillsynsmail/A 29323-2025 tillsynsbegäran mail.docx", "A 29323-2025")</f>
        <v/>
      </c>
    </row>
    <row r="44" ht="15" customHeight="1">
      <c r="A44" t="inlineStr">
        <is>
          <t>A 9717-2026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46072</v>
      </c>
      <c r="E44" s="1" t="n">
        <v>46261</v>
      </c>
      <c r="F44" t="inlineStr">
        <is>
          <t>VÄSTERBOTTENS LÄN</t>
        </is>
      </c>
      <c r="G44" t="inlineStr">
        <is>
          <t>NORDMALING</t>
        </is>
      </c>
      <c r="I44" t="n">
        <v>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HYPERLINK("https://klasma.github.io/Logging_2401/artfynd/A 9717-2026 artfynd.xlsx", "A 9717-2026")</f>
        <v/>
      </c>
      <c r="X44">
        <f>HYPERLINK("https://klasma.github.io/Logging_2401/kartor/A 9717-2026 karta.png", "A 9717-2026")</f>
        <v/>
      </c>
      <c r="Y44">
        <f>HYPERLINK("https://klasma.github.io/Logging_2401/kartor_geotiff/A 9717-2026 georefererad karta.tif", "A 9717-2026")</f>
        <v/>
      </c>
      <c r="AA44">
        <f>HYPERLINK("https://klasma.github.io/Logging_2401/klagomål/A 9717-2026 FSC-klagomål.docx", "A 9717-2026")</f>
        <v/>
      </c>
      <c r="AB44">
        <f>HYPERLINK("https://klasma.github.io/Logging_2401/klagomålsmail/A 9717-2026 FSC-klagomål mail.docx", "A 9717-2026")</f>
        <v/>
      </c>
      <c r="AC44">
        <f>HYPERLINK("https://klasma.github.io/Logging_2401/tillsyn/A 9717-2026 tillsynsbegäran.docx", "A 9717-2026")</f>
        <v/>
      </c>
      <c r="AD44">
        <f>HYPERLINK("https://klasma.github.io/Logging_2401/tillsynsmail/A 9717-2026 tillsynsbegäran mail.docx", "A 9717-2026")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46261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72873-2021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44547</v>
      </c>
      <c r="E46" s="1" t="n">
        <v>46261</v>
      </c>
      <c r="F46" t="inlineStr">
        <is>
          <t>VÄSTERBOTTENS LÄN</t>
        </is>
      </c>
      <c r="G46" t="inlineStr">
        <is>
          <t>NORDMALING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72873-2021 artfynd.xlsx", "A 72873-2021")</f>
        <v/>
      </c>
      <c r="X46">
        <f>HYPERLINK("https://klasma.github.io/Logging_2401/kartor/A 72873-2021 karta.png", "A 72873-2021")</f>
        <v/>
      </c>
      <c r="Y46">
        <f>HYPERLINK("https://klasma.github.io/Logging_2401/kartor_geotiff/A 72873-2021 georefererad karta.tif", "A 72873-2021")</f>
        <v/>
      </c>
      <c r="AA46">
        <f>HYPERLINK("https://klasma.github.io/Logging_2401/klagomål/A 72873-2021 FSC-klagomål.docx", "A 72873-2021")</f>
        <v/>
      </c>
      <c r="AB46">
        <f>HYPERLINK("https://klasma.github.io/Logging_2401/klagomålsmail/A 72873-2021 FSC-klagomål mail.docx", "A 72873-2021")</f>
        <v/>
      </c>
      <c r="AC46">
        <f>HYPERLINK("https://klasma.github.io/Logging_2401/tillsyn/A 72873-2021 tillsynsbegäran.docx", "A 72873-2021")</f>
        <v/>
      </c>
      <c r="AD46">
        <f>HYPERLINK("https://klasma.github.io/Logging_2401/tillsynsmail/A 72873-2021 tillsynsbegäran mail.docx", "A 72873-2021")</f>
        <v/>
      </c>
    </row>
    <row r="47" ht="15" customHeight="1">
      <c r="A47" t="inlineStr">
        <is>
          <t>A 61149-2022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46261</v>
      </c>
      <c r="F47" t="inlineStr">
        <is>
          <t>VÄSTERBOTTENS LÄN</t>
        </is>
      </c>
      <c r="G47" t="inlineStr">
        <is>
          <t>NORDMALING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HYPERLINK("https://klasma.github.io/Logging_2401/artfynd/A 61149-2022 artfynd.xlsx", "A 61149-2022")</f>
        <v/>
      </c>
      <c r="X47">
        <f>HYPERLINK("https://klasma.github.io/Logging_2401/kartor/A 61149-2022 karta.png", "A 61149-2022")</f>
        <v/>
      </c>
      <c r="Y47">
        <f>HYPERLINK("https://klasma.github.io/Logging_2401/kartor_geotiff/A 61149-2022 georefererad karta.tif", "A 61149-2022")</f>
        <v/>
      </c>
      <c r="AA47">
        <f>HYPERLINK("https://klasma.github.io/Logging_2401/klagomål/A 61149-2022 FSC-klagomål.docx", "A 61149-2022")</f>
        <v/>
      </c>
      <c r="AB47">
        <f>HYPERLINK("https://klasma.github.io/Logging_2401/klagomålsmail/A 61149-2022 FSC-klagomål mail.docx", "A 61149-2022")</f>
        <v/>
      </c>
      <c r="AC47">
        <f>HYPERLINK("https://klasma.github.io/Logging_2401/tillsyn/A 61149-2022 tillsynsbegäran.docx", "A 61149-2022")</f>
        <v/>
      </c>
      <c r="AD47">
        <f>HYPERLINK("https://klasma.github.io/Logging_2401/tillsynsmail/A 61149-2022 tillsynsbegäran mail.docx", "A 61149-2022")</f>
        <v/>
      </c>
      <c r="AE47">
        <f>HYPERLINK("https://klasma.github.io/Logging_2401/fåglar/A 61149-2022 prioriterade fågelarter.docx", "A 61149-2022")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46261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46261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46261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46261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46261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46261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HYPERLINK("https://klasma.github.io/Logging_2401/artfynd/A 61867-2024 artfynd.xlsx", "A 61867-2024")</f>
        <v/>
      </c>
      <c r="X53">
        <f>HYPERLINK("https://klasma.github.io/Logging_2401/kartor/A 61867-2024 karta.png", "A 61867-2024")</f>
        <v/>
      </c>
      <c r="Y53">
        <f>HYPERLINK("https://klasma.github.io/Logging_2401/kartor_geotiff/A 61867-2024 georefererad karta.tif", "A 61867-2024")</f>
        <v/>
      </c>
      <c r="AA53">
        <f>HYPERLINK("https://klasma.github.io/Logging_2401/klagomål/A 61867-2024 FSC-klagomål.docx", "A 61867-2024")</f>
        <v/>
      </c>
      <c r="AB53">
        <f>HYPERLINK("https://klasma.github.io/Logging_2401/klagomålsmail/A 61867-2024 FSC-klagomål mail.docx", "A 61867-2024")</f>
        <v/>
      </c>
      <c r="AC53">
        <f>HYPERLINK("https://klasma.github.io/Logging_2401/tillsyn/A 61867-2024 tillsynsbegäran.docx", "A 61867-2024")</f>
        <v/>
      </c>
      <c r="AD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46261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63779-2023 artfynd.xlsx", "A 63779-2023")</f>
        <v/>
      </c>
      <c r="X54">
        <f>HYPERLINK("https://klasma.github.io/Logging_2401/kartor/A 63779-2023 karta.png", "A 63779-2023")</f>
        <v/>
      </c>
      <c r="Y54">
        <f>HYPERLINK("https://klasma.github.io/Logging_2401/kartor_geotiff/A 63779-2023 georefererad karta.tif", "A 63779-2023")</f>
        <v/>
      </c>
      <c r="AA54">
        <f>HYPERLINK("https://klasma.github.io/Logging_2401/klagomål/A 63779-2023 FSC-klagomål.docx", "A 63779-2023")</f>
        <v/>
      </c>
      <c r="AB54">
        <f>HYPERLINK("https://klasma.github.io/Logging_2401/klagomålsmail/A 63779-2023 FSC-klagomål mail.docx", "A 63779-2023")</f>
        <v/>
      </c>
      <c r="AC54">
        <f>HYPERLINK("https://klasma.github.io/Logging_2401/tillsyn/A 63779-2023 tillsynsbegäran.docx", "A 63779-2023")</f>
        <v/>
      </c>
      <c r="AD54">
        <f>HYPERLINK("https://klasma.github.io/Logging_2401/tillsynsmail/A 63779-2023 tillsynsbegäran mail.docx", "A 63779-2023")</f>
        <v/>
      </c>
      <c r="AE54">
        <f>HYPERLINK("https://klasma.github.io/Logging_2401/fåglar/A 63779-2023 prioriterade fågelarter.docx", "A 63779-2023")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46261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46261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46261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46261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46261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46261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HYPERLINK("https://klasma.github.io/Logging_2401/artfynd/A 5595-2025 artfynd.xlsx", "A 5595-2025")</f>
        <v/>
      </c>
      <c r="X60">
        <f>HYPERLINK("https://klasma.github.io/Logging_2401/kartor/A 5595-2025 karta.png", "A 5595-2025")</f>
        <v/>
      </c>
      <c r="Y60">
        <f>HYPERLINK("https://klasma.github.io/Logging_2401/kartor_geotiff/A 5595-2025 georefererad karta.tif", "A 5595-2025")</f>
        <v/>
      </c>
      <c r="AA60">
        <f>HYPERLINK("https://klasma.github.io/Logging_2401/klagomål/A 5595-2025 FSC-klagomål.docx", "A 5595-2025")</f>
        <v/>
      </c>
      <c r="AB60">
        <f>HYPERLINK("https://klasma.github.io/Logging_2401/klagomålsmail/A 5595-2025 FSC-klagomål mail.docx", "A 5595-2025")</f>
        <v/>
      </c>
      <c r="AC60">
        <f>HYPERLINK("https://klasma.github.io/Logging_2401/tillsyn/A 5595-2025 tillsynsbegäran.docx", "A 5595-2025")</f>
        <v/>
      </c>
      <c r="AD60">
        <f>HYPERLINK("https://klasma.github.io/Logging_2401/tillsynsmail/A 5595-2025 tillsynsbegäran mail.docx", "A 5595-2025")</f>
        <v/>
      </c>
      <c r="AE60">
        <f>HYPERLINK("https://klasma.github.io/Logging_2401/fåglar/A 5595-2025 prioriterade fågelarter.docx", "A 5595-2025")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46261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46261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46261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46261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46261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46261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46261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46261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46261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46261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46261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46261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46261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46261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46261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46261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46261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46261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46261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46261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46261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46261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46261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46261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46261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46261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46261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46261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46261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46261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46261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46261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46261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46261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30715-2022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44763</v>
      </c>
      <c r="E101" s="1" t="n">
        <v>46261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46261</v>
      </c>
      <c r="F102" t="inlineStr">
        <is>
          <t>VÄSTERBOTTENS LÄN</t>
        </is>
      </c>
      <c r="G102" t="inlineStr">
        <is>
          <t>NORDMALING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46261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46261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46261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45126</v>
      </c>
      <c r="E106" s="1" t="n">
        <v>46261</v>
      </c>
      <c r="F106" t="inlineStr">
        <is>
          <t>VÄSTERBOTTENS LÄN</t>
        </is>
      </c>
      <c r="G106" t="inlineStr">
        <is>
          <t>NORDMALING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46261</v>
      </c>
      <c r="F107" t="inlineStr">
        <is>
          <t>VÄSTERBOTTENS LÄN</t>
        </is>
      </c>
      <c r="G107" t="inlineStr">
        <is>
          <t>NORDMALING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46261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46261</v>
      </c>
      <c r="F109" t="inlineStr">
        <is>
          <t>VÄSTERBOTTENS LÄN</t>
        </is>
      </c>
      <c r="G109" t="inlineStr">
        <is>
          <t>NORDMALING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46261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61793-2023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45265</v>
      </c>
      <c r="E111" s="1" t="n">
        <v>46261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46261</v>
      </c>
      <c r="F112" t="inlineStr">
        <is>
          <t>VÄSTERBOTTENS LÄN</t>
        </is>
      </c>
      <c r="G112" t="inlineStr">
        <is>
          <t>NORDMALING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46261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46261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46018</v>
      </c>
      <c r="E115" s="1" t="n">
        <v>46261</v>
      </c>
      <c r="F115" t="inlineStr">
        <is>
          <t>VÄSTERBOTTENS LÄN</t>
        </is>
      </c>
      <c r="G115" t="inlineStr">
        <is>
          <t>NORDMALING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46018</v>
      </c>
      <c r="E116" s="1" t="n">
        <v>46261</v>
      </c>
      <c r="F116" t="inlineStr">
        <is>
          <t>VÄSTERBOTTENS LÄN</t>
        </is>
      </c>
      <c r="G116" t="inlineStr">
        <is>
          <t>NORDMALING</t>
        </is>
      </c>
      <c r="I116" t="n">
        <v>16.2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46018</v>
      </c>
      <c r="E117" s="1" t="n">
        <v>46261</v>
      </c>
      <c r="F117" t="inlineStr">
        <is>
          <t>VÄSTERBOTTENS LÄN</t>
        </is>
      </c>
      <c r="G117" t="inlineStr">
        <is>
          <t>NORDMALING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46020</v>
      </c>
      <c r="E118" s="1" t="n">
        <v>46261</v>
      </c>
      <c r="F118" t="inlineStr">
        <is>
          <t>VÄSTERBOTTENS LÄN</t>
        </is>
      </c>
      <c r="G118" t="inlineStr">
        <is>
          <t>NORDMALING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46020</v>
      </c>
      <c r="E119" s="1" t="n">
        <v>46261</v>
      </c>
      <c r="F119" t="inlineStr">
        <is>
          <t>VÄSTERBOTTENS LÄN</t>
        </is>
      </c>
      <c r="G119" t="inlineStr">
        <is>
          <t>NORDMALING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46022</v>
      </c>
      <c r="E120" s="1" t="n">
        <v>46261</v>
      </c>
      <c r="F120" t="inlineStr">
        <is>
          <t>VÄSTERBOTTENS LÄN</t>
        </is>
      </c>
      <c r="G120" t="inlineStr">
        <is>
          <t>NORDMALING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46028</v>
      </c>
      <c r="E121" s="1" t="n">
        <v>46261</v>
      </c>
      <c r="F121" t="inlineStr">
        <is>
          <t>VÄSTERBOTTENS LÄN</t>
        </is>
      </c>
      <c r="G121" t="inlineStr">
        <is>
          <t>NORDMALING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46261</v>
      </c>
      <c r="F122" t="inlineStr">
        <is>
          <t>VÄSTERBOTTENS LÄN</t>
        </is>
      </c>
      <c r="G122" t="inlineStr">
        <is>
          <t>NORDMALING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46261</v>
      </c>
      <c r="F123" t="inlineStr">
        <is>
          <t>VÄSTERBOTTENS LÄN</t>
        </is>
      </c>
      <c r="G123" t="inlineStr">
        <is>
          <t>NORDMALING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46261</v>
      </c>
      <c r="F124" t="inlineStr">
        <is>
          <t>VÄSTERBOTTENS LÄN</t>
        </is>
      </c>
      <c r="G124" t="inlineStr">
        <is>
          <t>NORDMALING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46261</v>
      </c>
      <c r="F125" t="inlineStr">
        <is>
          <t>VÄSTERBOTTENS LÄN</t>
        </is>
      </c>
      <c r="G125" t="inlineStr">
        <is>
          <t>NORDMALING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46032</v>
      </c>
      <c r="E126" s="1" t="n">
        <v>46261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Holmen skog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46261</v>
      </c>
      <c r="F127" t="inlineStr">
        <is>
          <t>VÄSTERBOTTENS LÄN</t>
        </is>
      </c>
      <c r="G127" t="inlineStr">
        <is>
          <t>NORDMALING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45443</v>
      </c>
      <c r="E128" s="1" t="n">
        <v>46261</v>
      </c>
      <c r="F128" t="inlineStr">
        <is>
          <t>VÄSTERBOTTENS LÄN</t>
        </is>
      </c>
      <c r="G128" t="inlineStr">
        <is>
          <t>NORDMALING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46261</v>
      </c>
      <c r="F129" t="inlineStr">
        <is>
          <t>VÄSTERBOTTENS LÄN</t>
        </is>
      </c>
      <c r="G129" t="inlineStr">
        <is>
          <t>NORDMALING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46261</v>
      </c>
      <c r="F130" t="inlineStr">
        <is>
          <t>VÄSTERBOTTENS LÄN</t>
        </is>
      </c>
      <c r="G130" t="inlineStr">
        <is>
          <t>NORDMALING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46261</v>
      </c>
      <c r="F131" t="inlineStr">
        <is>
          <t>VÄSTERBOTTENS LÄN</t>
        </is>
      </c>
      <c r="G131" t="inlineStr">
        <is>
          <t>NORDMALING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45525</v>
      </c>
      <c r="E132" s="1" t="n">
        <v>46261</v>
      </c>
      <c r="F132" t="inlineStr">
        <is>
          <t>VÄSTERBOTTENS LÄN</t>
        </is>
      </c>
      <c r="G132" t="inlineStr">
        <is>
          <t>NORDMALING</t>
        </is>
      </c>
      <c r="I132" t="n">
        <v>12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46261</v>
      </c>
      <c r="F133" t="inlineStr">
        <is>
          <t>VÄSTERBOTTENS LÄN</t>
        </is>
      </c>
      <c r="G133" t="inlineStr">
        <is>
          <t>NORDMALING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46261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46261</v>
      </c>
      <c r="F135" t="inlineStr">
        <is>
          <t>VÄSTERBOTTENS LÄN</t>
        </is>
      </c>
      <c r="G135" t="inlineStr">
        <is>
          <t>NORDMALING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46261</v>
      </c>
      <c r="F136" t="inlineStr">
        <is>
          <t>VÄSTERBOTTENS LÄN</t>
        </is>
      </c>
      <c r="G136" t="inlineStr">
        <is>
          <t>NORDMALING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46261</v>
      </c>
      <c r="F137" t="inlineStr">
        <is>
          <t>VÄSTERBOTTENS LÄN</t>
        </is>
      </c>
      <c r="G137" t="inlineStr">
        <is>
          <t>NORDMALING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46261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46261</v>
      </c>
      <c r="F139" t="inlineStr">
        <is>
          <t>VÄSTERBOTTENS LÄN</t>
        </is>
      </c>
      <c r="G139" t="inlineStr">
        <is>
          <t>NORDMALING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46261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46043</v>
      </c>
      <c r="E141" s="1" t="n">
        <v>46261</v>
      </c>
      <c r="F141" t="inlineStr">
        <is>
          <t>VÄSTERBOTTENS LÄN</t>
        </is>
      </c>
      <c r="G141" t="inlineStr">
        <is>
          <t>NORDMALING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45021</v>
      </c>
      <c r="E142" s="1" t="n">
        <v>46261</v>
      </c>
      <c r="F142" t="inlineStr">
        <is>
          <t>VÄSTERBOTTENS LÄN</t>
        </is>
      </c>
      <c r="G142" t="inlineStr">
        <is>
          <t>NORDMALING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4898-2026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46048</v>
      </c>
      <c r="E143" s="1" t="n">
        <v>46261</v>
      </c>
      <c r="F143" t="inlineStr">
        <is>
          <t>VÄSTERBOTTENS LÄN</t>
        </is>
      </c>
      <c r="G143" t="inlineStr">
        <is>
          <t>NORDMALING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46261</v>
      </c>
      <c r="F144" t="inlineStr">
        <is>
          <t>VÄSTERBOTTENS LÄN</t>
        </is>
      </c>
      <c r="G144" t="inlineStr">
        <is>
          <t>NORDMALING</t>
        </is>
      </c>
      <c r="I144" t="n">
        <v>22.4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45688</v>
      </c>
      <c r="E145" s="1" t="n">
        <v>46261</v>
      </c>
      <c r="F145" t="inlineStr">
        <is>
          <t>VÄSTERBOTTENS LÄN</t>
        </is>
      </c>
      <c r="G145" t="inlineStr">
        <is>
          <t>NORDMALING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46261</v>
      </c>
      <c r="F146" t="inlineStr">
        <is>
          <t>VÄSTERBOTTENS LÄN</t>
        </is>
      </c>
      <c r="G146" t="inlineStr">
        <is>
          <t>NORDMALING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46050</v>
      </c>
      <c r="E147" s="1" t="n">
        <v>46261</v>
      </c>
      <c r="F147" t="inlineStr">
        <is>
          <t>VÄSTERBOTTENS LÄN</t>
        </is>
      </c>
      <c r="G147" t="inlineStr">
        <is>
          <t>NORDMALING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46261</v>
      </c>
      <c r="F148" t="inlineStr">
        <is>
          <t>VÄSTERBOTTENS LÄN</t>
        </is>
      </c>
      <c r="G148" t="inlineStr">
        <is>
          <t>NORDMALING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46261</v>
      </c>
      <c r="F149" t="inlineStr">
        <is>
          <t>VÄSTERBOTTENS LÄN</t>
        </is>
      </c>
      <c r="G149" t="inlineStr">
        <is>
          <t>NORDMALING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46261</v>
      </c>
      <c r="F150" t="inlineStr">
        <is>
          <t>VÄSTERBOTTENS LÄN</t>
        </is>
      </c>
      <c r="G150" t="inlineStr">
        <is>
          <t>NORDMALING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46261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46261</v>
      </c>
      <c r="F152" t="inlineStr">
        <is>
          <t>VÄSTERBOTTENS LÄN</t>
        </is>
      </c>
      <c r="G152" t="inlineStr">
        <is>
          <t>NORDMALING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46261</v>
      </c>
      <c r="F153" t="inlineStr">
        <is>
          <t>VÄSTERBOTTENS LÄN</t>
        </is>
      </c>
      <c r="G153" t="inlineStr">
        <is>
          <t>NORDMALING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46261</v>
      </c>
      <c r="F154" t="inlineStr">
        <is>
          <t>VÄSTERBOTTENS LÄN</t>
        </is>
      </c>
      <c r="G154" t="inlineStr">
        <is>
          <t>NORDMALING</t>
        </is>
      </c>
      <c r="I154" t="n">
        <v>12.5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46056</v>
      </c>
      <c r="E155" s="1" t="n">
        <v>46261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46261</v>
      </c>
      <c r="F156" t="inlineStr">
        <is>
          <t>VÄSTERBOTTENS LÄN</t>
        </is>
      </c>
      <c r="G156" t="inlineStr">
        <is>
          <t>NORDMALING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45900</v>
      </c>
      <c r="E157" s="1" t="n">
        <v>46261</v>
      </c>
      <c r="F157" t="inlineStr">
        <is>
          <t>VÄSTERBOTTENS LÄN</t>
        </is>
      </c>
      <c r="G157" t="inlineStr">
        <is>
          <t>NORDMALING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46261</v>
      </c>
      <c r="F158" t="inlineStr">
        <is>
          <t>VÄSTERBOTTENS LÄN</t>
        </is>
      </c>
      <c r="G158" t="inlineStr">
        <is>
          <t>NORDMALING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46261</v>
      </c>
      <c r="F159" t="inlineStr">
        <is>
          <t>VÄSTERBOTTENS LÄN</t>
        </is>
      </c>
      <c r="G159" t="inlineStr">
        <is>
          <t>NORDMALING</t>
        </is>
      </c>
      <c r="I159" t="n">
        <v>19.1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46058</v>
      </c>
      <c r="E160" s="1" t="n">
        <v>46261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46261</v>
      </c>
      <c r="F161" t="inlineStr">
        <is>
          <t>VÄSTERBOTTENS LÄN</t>
        </is>
      </c>
      <c r="G161" t="inlineStr">
        <is>
          <t>NORDMALING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45900</v>
      </c>
      <c r="E162" s="1" t="n">
        <v>46261</v>
      </c>
      <c r="F162" t="inlineStr">
        <is>
          <t>VÄSTERBOTTENS LÄN</t>
        </is>
      </c>
      <c r="G162" t="inlineStr">
        <is>
          <t>NORDMALING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46261</v>
      </c>
      <c r="F163" t="inlineStr">
        <is>
          <t>VÄSTERBOTTENS LÄN</t>
        </is>
      </c>
      <c r="G163" t="inlineStr">
        <is>
          <t>NORDMALING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46261</v>
      </c>
      <c r="F164" t="inlineStr">
        <is>
          <t>VÄSTERBOTTENS LÄN</t>
        </is>
      </c>
      <c r="G164" t="inlineStr">
        <is>
          <t>NORDMALING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46261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29606-2025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45825</v>
      </c>
      <c r="E166" s="1" t="n">
        <v>46261</v>
      </c>
      <c r="F166" t="inlineStr">
        <is>
          <t>VÄSTERBOTTENS LÄN</t>
        </is>
      </c>
      <c r="G166" t="inlineStr">
        <is>
          <t>NORDMALING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46261</v>
      </c>
      <c r="F167" t="inlineStr">
        <is>
          <t>VÄSTERBOTTENS LÄN</t>
        </is>
      </c>
      <c r="G167" t="inlineStr">
        <is>
          <t>NORDMALING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46261</v>
      </c>
      <c r="F168" t="inlineStr">
        <is>
          <t>VÄSTERBOTTENS LÄN</t>
        </is>
      </c>
      <c r="G168" t="inlineStr">
        <is>
          <t>NORDMALING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46261</v>
      </c>
      <c r="F169" t="inlineStr">
        <is>
          <t>VÄSTERBOTTENS LÄN</t>
        </is>
      </c>
      <c r="G169" t="inlineStr">
        <is>
          <t>NORDMALING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46261</v>
      </c>
      <c r="F170" t="inlineStr">
        <is>
          <t>VÄSTERBOTTENS LÄN</t>
        </is>
      </c>
      <c r="G170" t="inlineStr">
        <is>
          <t>NORDMALING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46261</v>
      </c>
      <c r="F171" t="inlineStr">
        <is>
          <t>VÄSTERBOTTENS LÄN</t>
        </is>
      </c>
      <c r="G171" t="inlineStr">
        <is>
          <t>NORDMALING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46261</v>
      </c>
      <c r="F172" t="inlineStr">
        <is>
          <t>VÄSTERBOTTENS LÄN</t>
        </is>
      </c>
      <c r="G172" t="inlineStr">
        <is>
          <t>NORDMALING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46261</v>
      </c>
      <c r="F173" t="inlineStr">
        <is>
          <t>VÄSTERBOTTENS LÄN</t>
        </is>
      </c>
      <c r="G173" t="inlineStr">
        <is>
          <t>NORDMALING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46261</v>
      </c>
      <c r="F174" t="inlineStr">
        <is>
          <t>VÄSTERBOTTENS LÄN</t>
        </is>
      </c>
      <c r="G174" t="inlineStr">
        <is>
          <t>NORDMALING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65688-2021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44515</v>
      </c>
      <c r="E175" s="1" t="n">
        <v>46261</v>
      </c>
      <c r="F175" t="inlineStr">
        <is>
          <t>VÄSTERBOTTENS LÄN</t>
        </is>
      </c>
      <c r="G175" t="inlineStr">
        <is>
          <t>NORDMALING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46072</v>
      </c>
      <c r="E176" s="1" t="n">
        <v>46261</v>
      </c>
      <c r="F176" t="inlineStr">
        <is>
          <t>VÄSTERBOTTENS LÄN</t>
        </is>
      </c>
      <c r="G176" t="inlineStr">
        <is>
          <t>NORDMALING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46261</v>
      </c>
      <c r="F177" t="inlineStr">
        <is>
          <t>VÄSTERBOTTENS LÄN</t>
        </is>
      </c>
      <c r="G177" t="inlineStr">
        <is>
          <t>NORDMALING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46261</v>
      </c>
      <c r="F178" t="inlineStr">
        <is>
          <t>VÄSTERBOTTENS LÄN</t>
        </is>
      </c>
      <c r="G178" t="inlineStr">
        <is>
          <t>NORDMALING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46261</v>
      </c>
      <c r="F179" t="inlineStr">
        <is>
          <t>VÄSTERBOTTENS LÄN</t>
        </is>
      </c>
      <c r="G179" t="inlineStr">
        <is>
          <t>NORDMALING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46072</v>
      </c>
      <c r="E180" s="1" t="n">
        <v>46261</v>
      </c>
      <c r="F180" t="inlineStr">
        <is>
          <t>VÄSTERBOTTENS LÄN</t>
        </is>
      </c>
      <c r="G180" t="inlineStr">
        <is>
          <t>NORDMALING</t>
        </is>
      </c>
      <c r="I180" t="n">
        <v>12.5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46261</v>
      </c>
      <c r="F181" t="inlineStr">
        <is>
          <t>VÄSTERBOTTENS LÄN</t>
        </is>
      </c>
      <c r="G181" t="inlineStr">
        <is>
          <t>NORDMALING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46261</v>
      </c>
      <c r="F182" t="inlineStr">
        <is>
          <t>VÄSTERBOTTENS LÄN</t>
        </is>
      </c>
      <c r="G182" t="inlineStr">
        <is>
          <t>NORDMALING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46261</v>
      </c>
      <c r="F183" t="inlineStr">
        <is>
          <t>VÄSTERBOTTENS LÄN</t>
        </is>
      </c>
      <c r="G183" t="inlineStr">
        <is>
          <t>NORDMALING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46261</v>
      </c>
      <c r="F184" t="inlineStr">
        <is>
          <t>VÄSTERBOTTENS LÄN</t>
        </is>
      </c>
      <c r="G184" t="inlineStr">
        <is>
          <t>NORDMALING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46072</v>
      </c>
      <c r="E185" s="1" t="n">
        <v>46261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44921</v>
      </c>
      <c r="E186" s="1" t="n">
        <v>46261</v>
      </c>
      <c r="F186" t="inlineStr">
        <is>
          <t>VÄSTERBOTTENS LÄN</t>
        </is>
      </c>
      <c r="G186" t="inlineStr">
        <is>
          <t>NORDMALING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46261</v>
      </c>
      <c r="F187" t="inlineStr">
        <is>
          <t>VÄSTERBOTTENS LÄN</t>
        </is>
      </c>
      <c r="G187" t="inlineStr">
        <is>
          <t>NORDMALING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46261</v>
      </c>
      <c r="F188" t="inlineStr">
        <is>
          <t>VÄSTERBOTTENS LÄN</t>
        </is>
      </c>
      <c r="G188" t="inlineStr">
        <is>
          <t>NORDMALING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46261</v>
      </c>
      <c r="F189" t="inlineStr">
        <is>
          <t>VÄSTERBOTTENS LÄN</t>
        </is>
      </c>
      <c r="G189" t="inlineStr">
        <is>
          <t>NORDMALING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46261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46261</v>
      </c>
      <c r="F191" t="inlineStr">
        <is>
          <t>VÄSTERBOTTENS LÄN</t>
        </is>
      </c>
      <c r="G191" t="inlineStr">
        <is>
          <t>NORDMALING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46261</v>
      </c>
      <c r="F192" t="inlineStr">
        <is>
          <t>VÄSTERBOTTENS LÄN</t>
        </is>
      </c>
      <c r="G192" t="inlineStr">
        <is>
          <t>NORDMALING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46261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46261</v>
      </c>
      <c r="F194" t="inlineStr">
        <is>
          <t>VÄSTERBOTTENS LÄN</t>
        </is>
      </c>
      <c r="G194" t="inlineStr">
        <is>
          <t>NORDMALING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44922</v>
      </c>
      <c r="E195" s="1" t="n">
        <v>46261</v>
      </c>
      <c r="F195" t="inlineStr">
        <is>
          <t>VÄSTERBOTTENS LÄN</t>
        </is>
      </c>
      <c r="G195" t="inlineStr">
        <is>
          <t>NORDMALING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46261</v>
      </c>
      <c r="F196" t="inlineStr">
        <is>
          <t>VÄSTERBOTTENS LÄN</t>
        </is>
      </c>
      <c r="G196" t="inlineStr">
        <is>
          <t>NORDMALING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45482</v>
      </c>
      <c r="E197" s="1" t="n">
        <v>46261</v>
      </c>
      <c r="F197" t="inlineStr">
        <is>
          <t>VÄSTERBOTTENS LÄN</t>
        </is>
      </c>
      <c r="G197" t="inlineStr">
        <is>
          <t>NORDMALING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46261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46261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46261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45470</v>
      </c>
      <c r="E201" s="1" t="n">
        <v>46261</v>
      </c>
      <c r="F201" t="inlineStr">
        <is>
          <t>VÄSTERBOTTENS LÄN</t>
        </is>
      </c>
      <c r="G201" t="inlineStr">
        <is>
          <t>NORDMALING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46261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45849</v>
      </c>
      <c r="E203" s="1" t="n">
        <v>46261</v>
      </c>
      <c r="F203" t="inlineStr">
        <is>
          <t>VÄSTERBOTTENS LÄN</t>
        </is>
      </c>
      <c r="G203" t="inlineStr">
        <is>
          <t>NORDMALING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45852</v>
      </c>
      <c r="E204" s="1" t="n">
        <v>46261</v>
      </c>
      <c r="F204" t="inlineStr">
        <is>
          <t>VÄSTERBOTTENS LÄN</t>
        </is>
      </c>
      <c r="G204" t="inlineStr">
        <is>
          <t>NORDMALING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46261</v>
      </c>
      <c r="F205" t="inlineStr">
        <is>
          <t>VÄSTERBOTTENS LÄN</t>
        </is>
      </c>
      <c r="G205" t="inlineStr">
        <is>
          <t>NORDMALING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46261</v>
      </c>
      <c r="F206" t="inlineStr">
        <is>
          <t>VÄSTERBOTTENS LÄN</t>
        </is>
      </c>
      <c r="G206" t="inlineStr">
        <is>
          <t>NORDMALING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46261</v>
      </c>
      <c r="F207" t="inlineStr">
        <is>
          <t>VÄSTERBOTTENS LÄN</t>
        </is>
      </c>
      <c r="G207" t="inlineStr">
        <is>
          <t>NORDMALING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46261</v>
      </c>
      <c r="F208" t="inlineStr">
        <is>
          <t>VÄSTERBOTTENS LÄN</t>
        </is>
      </c>
      <c r="G208" t="inlineStr">
        <is>
          <t>NORDMALING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46261</v>
      </c>
      <c r="F209" t="inlineStr">
        <is>
          <t>VÄSTERBOTTENS LÄN</t>
        </is>
      </c>
      <c r="G209" t="inlineStr">
        <is>
          <t>NORDMALING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46261</v>
      </c>
      <c r="F210" t="inlineStr">
        <is>
          <t>VÄSTERBOTTENS LÄN</t>
        </is>
      </c>
      <c r="G210" t="inlineStr">
        <is>
          <t>NORDMALING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49849-2025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45940</v>
      </c>
      <c r="E211" s="1" t="n">
        <v>46261</v>
      </c>
      <c r="F211" t="inlineStr">
        <is>
          <t>VÄSTERBOTTENS LÄN</t>
        </is>
      </c>
      <c r="G211" t="inlineStr">
        <is>
          <t>NORDMALING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46261</v>
      </c>
      <c r="F212" t="inlineStr">
        <is>
          <t>VÄSTERBOTTENS LÄN</t>
        </is>
      </c>
      <c r="G212" t="inlineStr">
        <is>
          <t>NORDMALING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45866</v>
      </c>
      <c r="E213" s="1" t="n">
        <v>46261</v>
      </c>
      <c r="F213" t="inlineStr">
        <is>
          <t>VÄSTERBOTTENS LÄN</t>
        </is>
      </c>
      <c r="G213" t="inlineStr">
        <is>
          <t>NORDMALING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46261</v>
      </c>
      <c r="F214" t="inlineStr">
        <is>
          <t>VÄSTERBOTTENS LÄN</t>
        </is>
      </c>
      <c r="G214" t="inlineStr">
        <is>
          <t>NORDMALING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45327</v>
      </c>
      <c r="E215" s="1" t="n">
        <v>46261</v>
      </c>
      <c r="F215" t="inlineStr">
        <is>
          <t>VÄSTERBOTTENS LÄN</t>
        </is>
      </c>
      <c r="G215" t="inlineStr">
        <is>
          <t>NORDMALING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46261</v>
      </c>
      <c r="F216" t="inlineStr">
        <is>
          <t>VÄSTERBOTTENS LÄN</t>
        </is>
      </c>
      <c r="G216" t="inlineStr">
        <is>
          <t>NORDMALING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46261</v>
      </c>
      <c r="F217" t="inlineStr">
        <is>
          <t>VÄSTERBOTTENS LÄN</t>
        </is>
      </c>
      <c r="G217" t="inlineStr">
        <is>
          <t>NORDMALING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46261</v>
      </c>
      <c r="F218" t="inlineStr">
        <is>
          <t>VÄSTERBOTTENS LÄN</t>
        </is>
      </c>
      <c r="G218" t="inlineStr">
        <is>
          <t>NORDMALING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46261</v>
      </c>
      <c r="F219" t="inlineStr">
        <is>
          <t>VÄSTERBOTTENS LÄN</t>
        </is>
      </c>
      <c r="G219" t="inlineStr">
        <is>
          <t>NORDMALING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46261</v>
      </c>
      <c r="F220" t="inlineStr">
        <is>
          <t>VÄSTERBOTTENS LÄN</t>
        </is>
      </c>
      <c r="G220" t="inlineStr">
        <is>
          <t>NORDMALING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45950</v>
      </c>
      <c r="E221" s="1" t="n">
        <v>46261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46261</v>
      </c>
      <c r="F222" t="inlineStr">
        <is>
          <t>VÄSTERBOTTENS LÄN</t>
        </is>
      </c>
      <c r="G222" t="inlineStr">
        <is>
          <t>NORDMALING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46261</v>
      </c>
      <c r="F223" t="inlineStr">
        <is>
          <t>VÄSTERBOTTENS LÄN</t>
        </is>
      </c>
      <c r="G223" t="inlineStr">
        <is>
          <t>NORDMALING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46261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46261</v>
      </c>
      <c r="F225" t="inlineStr">
        <is>
          <t>VÄSTERBOTTENS LÄN</t>
        </is>
      </c>
      <c r="G225" t="inlineStr">
        <is>
          <t>NORDMALING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46261</v>
      </c>
      <c r="F226" t="inlineStr">
        <is>
          <t>VÄSTERBOTTENS LÄN</t>
        </is>
      </c>
      <c r="G226" t="inlineStr">
        <is>
          <t>NORDMALING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46261</v>
      </c>
      <c r="F227" t="inlineStr">
        <is>
          <t>VÄSTERBOTTENS LÄN</t>
        </is>
      </c>
      <c r="G227" t="inlineStr">
        <is>
          <t>NORDMALING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45638</v>
      </c>
      <c r="E228" s="1" t="n">
        <v>46261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46261</v>
      </c>
      <c r="F229" t="inlineStr">
        <is>
          <t>VÄSTERBOTTENS LÄN</t>
        </is>
      </c>
      <c r="G229" t="inlineStr">
        <is>
          <t>NORDMALING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36814-2024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45538</v>
      </c>
      <c r="E230" s="1" t="n">
        <v>46261</v>
      </c>
      <c r="F230" t="inlineStr">
        <is>
          <t>VÄSTERBOTTENS LÄN</t>
        </is>
      </c>
      <c r="G230" t="inlineStr">
        <is>
          <t>NORDMALING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46261</v>
      </c>
      <c r="F231" t="inlineStr">
        <is>
          <t>VÄSTERBOTTENS LÄN</t>
        </is>
      </c>
      <c r="G231" t="inlineStr">
        <is>
          <t>NORDMALING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46261</v>
      </c>
      <c r="F232" t="inlineStr">
        <is>
          <t>VÄSTERBOTTENS LÄN</t>
        </is>
      </c>
      <c r="G232" t="inlineStr">
        <is>
          <t>NORDMALING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46261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46261</v>
      </c>
      <c r="F234" t="inlineStr">
        <is>
          <t>VÄSTERBOTTENS LÄN</t>
        </is>
      </c>
      <c r="G234" t="inlineStr">
        <is>
          <t>NORDMALING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45589</v>
      </c>
      <c r="E235" s="1" t="n">
        <v>46261</v>
      </c>
      <c r="F235" t="inlineStr">
        <is>
          <t>VÄSTERBOTTENS LÄN</t>
        </is>
      </c>
      <c r="G235" t="inlineStr">
        <is>
          <t>NORDMALING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34184-2023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45126</v>
      </c>
      <c r="E236" s="1" t="n">
        <v>46261</v>
      </c>
      <c r="F236" t="inlineStr">
        <is>
          <t>VÄSTERBOTTENS LÄN</t>
        </is>
      </c>
      <c r="G236" t="inlineStr">
        <is>
          <t>NORDMALING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46116</v>
      </c>
      <c r="E237" s="1" t="n">
        <v>46261</v>
      </c>
      <c r="F237" t="inlineStr">
        <is>
          <t>VÄSTERBOTTENS LÄN</t>
        </is>
      </c>
      <c r="G237" t="inlineStr">
        <is>
          <t>NORDMALING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46261</v>
      </c>
      <c r="F238" t="inlineStr">
        <is>
          <t>VÄSTERBOTTENS LÄN</t>
        </is>
      </c>
      <c r="G238" t="inlineStr">
        <is>
          <t>NORDMALING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46261</v>
      </c>
      <c r="F239" t="inlineStr">
        <is>
          <t>VÄSTERBOTTENS LÄN</t>
        </is>
      </c>
      <c r="G239" t="inlineStr">
        <is>
          <t>NORDMALING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46261</v>
      </c>
      <c r="F240" t="inlineStr">
        <is>
          <t>VÄSTERBOTTENS LÄN</t>
        </is>
      </c>
      <c r="G240" t="inlineStr">
        <is>
          <t>NORDMALING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46261</v>
      </c>
      <c r="F241" t="inlineStr">
        <is>
          <t>VÄSTERBOTTENS LÄN</t>
        </is>
      </c>
      <c r="G241" t="inlineStr">
        <is>
          <t>NORDMALING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46261</v>
      </c>
      <c r="F242" t="inlineStr">
        <is>
          <t>VÄSTERBOTTENS LÄN</t>
        </is>
      </c>
      <c r="G242" t="inlineStr">
        <is>
          <t>NORDMALING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45491</v>
      </c>
      <c r="E243" s="1" t="n">
        <v>46261</v>
      </c>
      <c r="F243" t="inlineStr">
        <is>
          <t>VÄSTERBOTTENS LÄN</t>
        </is>
      </c>
      <c r="G243" t="inlineStr">
        <is>
          <t>NORDMALING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46261</v>
      </c>
      <c r="F244" t="inlineStr">
        <is>
          <t>VÄSTERBOTTENS LÄN</t>
        </is>
      </c>
      <c r="G244" t="inlineStr">
        <is>
          <t>NORDMALING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46261</v>
      </c>
      <c r="F245" t="inlineStr">
        <is>
          <t>VÄSTERBOTTENS LÄN</t>
        </is>
      </c>
      <c r="G245" t="inlineStr">
        <is>
          <t>NORDMALING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45962</v>
      </c>
      <c r="E246" s="1" t="n">
        <v>46261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46261</v>
      </c>
      <c r="F247" t="inlineStr">
        <is>
          <t>VÄSTERBOTTENS LÄN</t>
        </is>
      </c>
      <c r="G247" t="inlineStr">
        <is>
          <t>NORDMALING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46261</v>
      </c>
      <c r="F248" t="inlineStr">
        <is>
          <t>VÄSTERBOTTENS LÄN</t>
        </is>
      </c>
      <c r="G248" t="inlineStr">
        <is>
          <t>NORDMALING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46261</v>
      </c>
      <c r="F249" t="inlineStr">
        <is>
          <t>VÄSTERBOTTENS LÄN</t>
        </is>
      </c>
      <c r="G249" t="inlineStr">
        <is>
          <t>NORDMALING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46132</v>
      </c>
      <c r="E250" s="1" t="n">
        <v>46261</v>
      </c>
      <c r="F250" t="inlineStr">
        <is>
          <t>VÄSTERBOTTENS LÄN</t>
        </is>
      </c>
      <c r="G250" t="inlineStr">
        <is>
          <t>NORDMALING</t>
        </is>
      </c>
      <c r="I250" t="n">
        <v>8.1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18839-2026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46129</v>
      </c>
      <c r="E251" s="1" t="n">
        <v>46261</v>
      </c>
      <c r="F251" t="inlineStr">
        <is>
          <t>VÄSTERBOTTENS LÄN</t>
        </is>
      </c>
      <c r="G251" t="inlineStr">
        <is>
          <t>NORDMALING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46261</v>
      </c>
      <c r="F252" t="inlineStr">
        <is>
          <t>VÄSTERBOTTENS LÄN</t>
        </is>
      </c>
      <c r="G252" t="inlineStr">
        <is>
          <t>NORDMALING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46261</v>
      </c>
      <c r="F253" t="inlineStr">
        <is>
          <t>VÄSTERBOTTENS LÄN</t>
        </is>
      </c>
      <c r="G253" t="inlineStr">
        <is>
          <t>NORDMALING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46261</v>
      </c>
      <c r="F254" t="inlineStr">
        <is>
          <t>VÄSTERBOTTENS LÄN</t>
        </is>
      </c>
      <c r="G254" t="inlineStr">
        <is>
          <t>NORDMALING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46261</v>
      </c>
      <c r="F255" t="inlineStr">
        <is>
          <t>VÄSTERBOTTENS LÄN</t>
        </is>
      </c>
      <c r="G255" t="inlineStr">
        <is>
          <t>NORDMALING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46261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Kommuner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46261</v>
      </c>
      <c r="F257" t="inlineStr">
        <is>
          <t>VÄSTERBOTTENS LÄN</t>
        </is>
      </c>
      <c r="G257" t="inlineStr">
        <is>
          <t>NORDMALING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46261</v>
      </c>
      <c r="F258" t="inlineStr">
        <is>
          <t>VÄSTERBOTTENS LÄN</t>
        </is>
      </c>
      <c r="G258" t="inlineStr">
        <is>
          <t>NORDMALING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46261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44991</v>
      </c>
      <c r="E260" s="1" t="n">
        <v>46261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46261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46261</v>
      </c>
      <c r="F262" t="inlineStr">
        <is>
          <t>VÄSTERBOTTENS LÄN</t>
        </is>
      </c>
      <c r="G262" t="inlineStr">
        <is>
          <t>NORDMALING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46261</v>
      </c>
      <c r="F263" t="inlineStr">
        <is>
          <t>VÄSTERBOTTENS LÄN</t>
        </is>
      </c>
      <c r="G263" t="inlineStr">
        <is>
          <t>NORDMALING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46261</v>
      </c>
      <c r="F264" t="inlineStr">
        <is>
          <t>VÄSTERBOTTENS LÄN</t>
        </is>
      </c>
      <c r="G264" t="inlineStr">
        <is>
          <t>NORDMALING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46261</v>
      </c>
      <c r="F265" t="inlineStr">
        <is>
          <t>VÄSTERBOTTENS LÄN</t>
        </is>
      </c>
      <c r="G265" t="inlineStr">
        <is>
          <t>NORDMALING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46261</v>
      </c>
      <c r="F266" t="inlineStr">
        <is>
          <t>VÄSTERBOTTENS LÄN</t>
        </is>
      </c>
      <c r="G266" t="inlineStr">
        <is>
          <t>NORDMALING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46135</v>
      </c>
      <c r="E267" s="1" t="n">
        <v>46261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46261</v>
      </c>
      <c r="F268" t="inlineStr">
        <is>
          <t>VÄSTERBOTTENS LÄN</t>
        </is>
      </c>
      <c r="G268" t="inlineStr">
        <is>
          <t>NORDMALING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46261</v>
      </c>
      <c r="F269" t="inlineStr">
        <is>
          <t>VÄSTERBOTTENS LÄN</t>
        </is>
      </c>
      <c r="G269" t="inlineStr">
        <is>
          <t>NORDMALING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46261</v>
      </c>
      <c r="F270" t="inlineStr">
        <is>
          <t>VÄSTERBOTTENS LÄN</t>
        </is>
      </c>
      <c r="G270" t="inlineStr">
        <is>
          <t>NORDMALING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46261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45866</v>
      </c>
      <c r="E272" s="1" t="n">
        <v>46261</v>
      </c>
      <c r="F272" t="inlineStr">
        <is>
          <t>VÄSTERBOTTENS LÄN</t>
        </is>
      </c>
      <c r="G272" t="inlineStr">
        <is>
          <t>NORDMALING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46261</v>
      </c>
      <c r="F273" t="inlineStr">
        <is>
          <t>VÄSTERBOTTENS LÄN</t>
        </is>
      </c>
      <c r="G273" t="inlineStr">
        <is>
          <t>NORDMALING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46261</v>
      </c>
      <c r="F274" t="inlineStr">
        <is>
          <t>VÄSTERBOTTENS LÄN</t>
        </is>
      </c>
      <c r="G274" t="inlineStr">
        <is>
          <t>NORDMALING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46261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46261</v>
      </c>
      <c r="F276" t="inlineStr">
        <is>
          <t>VÄSTERBOTTENS LÄN</t>
        </is>
      </c>
      <c r="G276" t="inlineStr">
        <is>
          <t>NORDMALING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46261</v>
      </c>
      <c r="F277" t="inlineStr">
        <is>
          <t>VÄSTERBOTTENS LÄN</t>
        </is>
      </c>
      <c r="G277" t="inlineStr">
        <is>
          <t>NORDMALING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46261</v>
      </c>
      <c r="F278" t="inlineStr">
        <is>
          <t>VÄSTERBOTTENS LÄN</t>
        </is>
      </c>
      <c r="G278" t="inlineStr">
        <is>
          <t>NORDMALING</t>
        </is>
      </c>
      <c r="I278" t="n">
        <v>16.1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45877</v>
      </c>
      <c r="E279" s="1" t="n">
        <v>46261</v>
      </c>
      <c r="F279" t="inlineStr">
        <is>
          <t>VÄSTERBOTTENS LÄN</t>
        </is>
      </c>
      <c r="G279" t="inlineStr">
        <is>
          <t>NORDMALING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46261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46261</v>
      </c>
      <c r="F281" t="inlineStr">
        <is>
          <t>VÄSTERBOTTENS LÄN</t>
        </is>
      </c>
      <c r="G281" t="inlineStr">
        <is>
          <t>NORDMALING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46261</v>
      </c>
      <c r="F282" t="inlineStr">
        <is>
          <t>VÄSTERBOTTENS LÄN</t>
        </is>
      </c>
      <c r="G282" t="inlineStr">
        <is>
          <t>NORDMALING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58579-2025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46261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46261</v>
      </c>
      <c r="F284" t="inlineStr">
        <is>
          <t>VÄSTERBOTTENS LÄN</t>
        </is>
      </c>
      <c r="G284" t="inlineStr">
        <is>
          <t>NORDMALING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46261</v>
      </c>
      <c r="F285" t="inlineStr">
        <is>
          <t>VÄSTERBOTTENS LÄN</t>
        </is>
      </c>
      <c r="G285" t="inlineStr">
        <is>
          <t>NORDMALING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46139</v>
      </c>
      <c r="E286" s="1" t="n">
        <v>46261</v>
      </c>
      <c r="F286" t="inlineStr">
        <is>
          <t>VÄSTERBOTTENS LÄN</t>
        </is>
      </c>
      <c r="G286" t="inlineStr">
        <is>
          <t>NORDMALING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46261</v>
      </c>
      <c r="F287" t="inlineStr">
        <is>
          <t>VÄSTERBOTTENS LÄN</t>
        </is>
      </c>
      <c r="G287" t="inlineStr">
        <is>
          <t>NORDMALING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46261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46261</v>
      </c>
      <c r="F289" t="inlineStr">
        <is>
          <t>VÄSTERBOTTENS LÄN</t>
        </is>
      </c>
      <c r="G289" t="inlineStr">
        <is>
          <t>NORDMALING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46261</v>
      </c>
      <c r="F290" t="inlineStr">
        <is>
          <t>VÄSTERBOTTENS LÄN</t>
        </is>
      </c>
      <c r="G290" t="inlineStr">
        <is>
          <t>NORDMALING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46261</v>
      </c>
      <c r="F291" t="inlineStr">
        <is>
          <t>VÄSTERBOTTENS LÄN</t>
        </is>
      </c>
      <c r="G291" t="inlineStr">
        <is>
          <t>NORDMALING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46261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46261</v>
      </c>
      <c r="F293" t="inlineStr">
        <is>
          <t>VÄSTERBOTTENS LÄN</t>
        </is>
      </c>
      <c r="G293" t="inlineStr">
        <is>
          <t>NORDMALING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46261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46261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46261</v>
      </c>
      <c r="F296" t="inlineStr">
        <is>
          <t>VÄSTERBOTTENS LÄN</t>
        </is>
      </c>
      <c r="G296" t="inlineStr">
        <is>
          <t>NORDMALING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46261</v>
      </c>
      <c r="F297" t="inlineStr">
        <is>
          <t>VÄSTERBOTTENS LÄN</t>
        </is>
      </c>
      <c r="G297" t="inlineStr">
        <is>
          <t>NORDMALING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45994</v>
      </c>
      <c r="E298" s="1" t="n">
        <v>46261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46261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45618</v>
      </c>
      <c r="E300" s="1" t="n">
        <v>46261</v>
      </c>
      <c r="F300" t="inlineStr">
        <is>
          <t>VÄSTERBOTTENS LÄN</t>
        </is>
      </c>
      <c r="G300" t="inlineStr">
        <is>
          <t>NORDMALING</t>
        </is>
      </c>
      <c r="I300" t="n">
        <v>10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46261</v>
      </c>
      <c r="F301" t="inlineStr">
        <is>
          <t>VÄSTERBOTTENS LÄN</t>
        </is>
      </c>
      <c r="G301" t="inlineStr">
        <is>
          <t>NORDMALING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46261</v>
      </c>
      <c r="F302" t="inlineStr">
        <is>
          <t>VÄSTERBOTTENS LÄN</t>
        </is>
      </c>
      <c r="G302" t="inlineStr">
        <is>
          <t>NORDMALING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46261</v>
      </c>
      <c r="F303" t="inlineStr">
        <is>
          <t>VÄSTERBOTTENS LÄN</t>
        </is>
      </c>
      <c r="G303" t="inlineStr">
        <is>
          <t>NORDMALING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46261</v>
      </c>
      <c r="F304" t="inlineStr">
        <is>
          <t>VÄSTERBOTTENS LÄN</t>
        </is>
      </c>
      <c r="G304" t="inlineStr">
        <is>
          <t>NORDMALING</t>
        </is>
      </c>
      <c r="I304" t="n">
        <v>14.8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46261</v>
      </c>
      <c r="F305" t="inlineStr">
        <is>
          <t>VÄSTERBOTTENS LÄN</t>
        </is>
      </c>
      <c r="G305" t="inlineStr">
        <is>
          <t>NORDMALING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46261</v>
      </c>
      <c r="F306" t="inlineStr">
        <is>
          <t>VÄSTERBOTTENS LÄN</t>
        </is>
      </c>
      <c r="G306" t="inlineStr">
        <is>
          <t>NORDMALING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46261</v>
      </c>
      <c r="F307" t="inlineStr">
        <is>
          <t>VÄSTERBOTTENS LÄN</t>
        </is>
      </c>
      <c r="G307" t="inlineStr">
        <is>
          <t>NORDMALING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46261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46261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46261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46261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46261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46261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62247-2025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46261</v>
      </c>
      <c r="F314" t="inlineStr">
        <is>
          <t>VÄSTERBOTTENS LÄN</t>
        </is>
      </c>
      <c r="G314" t="inlineStr">
        <is>
          <t>NORDMALING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46261</v>
      </c>
      <c r="F315" t="inlineStr">
        <is>
          <t>VÄSTERBOTTENS LÄN</t>
        </is>
      </c>
      <c r="G315" t="inlineStr">
        <is>
          <t>NORDMALING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45996</v>
      </c>
      <c r="E316" s="1" t="n">
        <v>46261</v>
      </c>
      <c r="F316" t="inlineStr">
        <is>
          <t>VÄSTERBOTTENS LÄN</t>
        </is>
      </c>
      <c r="G316" t="inlineStr">
        <is>
          <t>NORDMALING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46261</v>
      </c>
      <c r="F317" t="inlineStr">
        <is>
          <t>VÄSTERBOTTENS LÄN</t>
        </is>
      </c>
      <c r="G317" t="inlineStr">
        <is>
          <t>NORDMALING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46261</v>
      </c>
      <c r="F318" t="inlineStr">
        <is>
          <t>VÄSTERBOTTENS LÄN</t>
        </is>
      </c>
      <c r="G318" t="inlineStr">
        <is>
          <t>NORDMALING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46261</v>
      </c>
      <c r="F319" t="inlineStr">
        <is>
          <t>VÄSTERBOTTENS LÄN</t>
        </is>
      </c>
      <c r="G319" t="inlineStr">
        <is>
          <t>NORDMALING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46261</v>
      </c>
      <c r="F320" t="inlineStr">
        <is>
          <t>VÄSTERBOTTENS LÄN</t>
        </is>
      </c>
      <c r="G320" t="inlineStr">
        <is>
          <t>NORDMALING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46261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46261</v>
      </c>
      <c r="F322" t="inlineStr">
        <is>
          <t>VÄSTERBOTTENS LÄN</t>
        </is>
      </c>
      <c r="G322" t="inlineStr">
        <is>
          <t>NORDMALING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54784-2021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44473</v>
      </c>
      <c r="E323" s="1" t="n">
        <v>46261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46261</v>
      </c>
      <c r="F324" t="inlineStr">
        <is>
          <t>VÄSTERBOTTENS LÄN</t>
        </is>
      </c>
      <c r="G324" t="inlineStr">
        <is>
          <t>NORDMALING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35803-2023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45147</v>
      </c>
      <c r="E325" s="1" t="n">
        <v>46261</v>
      </c>
      <c r="F325" t="inlineStr">
        <is>
          <t>VÄSTERBOTTENS LÄN</t>
        </is>
      </c>
      <c r="G325" t="inlineStr">
        <is>
          <t>NORDMALING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46261</v>
      </c>
      <c r="F326" t="inlineStr">
        <is>
          <t>VÄSTERBOTTENS LÄN</t>
        </is>
      </c>
      <c r="G326" t="inlineStr">
        <is>
          <t>NORDMALING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46261</v>
      </c>
      <c r="F327" t="inlineStr">
        <is>
          <t>VÄSTERBOTTENS LÄN</t>
        </is>
      </c>
      <c r="G327" t="inlineStr">
        <is>
          <t>NORDMALING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46010</v>
      </c>
      <c r="E328" s="1" t="n">
        <v>46261</v>
      </c>
      <c r="F328" t="inlineStr">
        <is>
          <t>VÄSTERBOTTENS LÄN</t>
        </is>
      </c>
      <c r="G328" t="inlineStr">
        <is>
          <t>NORDMALING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46261</v>
      </c>
      <c r="F329" t="inlineStr">
        <is>
          <t>VÄSTERBOTTENS LÄN</t>
        </is>
      </c>
      <c r="G329" t="inlineStr">
        <is>
          <t>NORDMALING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46261</v>
      </c>
      <c r="F330" t="inlineStr">
        <is>
          <t>VÄSTERBOTTENS LÄN</t>
        </is>
      </c>
      <c r="G330" t="inlineStr">
        <is>
          <t>NORDMALING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46261</v>
      </c>
      <c r="F331" t="inlineStr">
        <is>
          <t>VÄSTERBOTTENS LÄN</t>
        </is>
      </c>
      <c r="G331" t="inlineStr">
        <is>
          <t>NORDMALING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46261</v>
      </c>
      <c r="F332" t="inlineStr">
        <is>
          <t>VÄSTERBOTTENS LÄN</t>
        </is>
      </c>
      <c r="G332" t="inlineStr">
        <is>
          <t>NORDMALING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46261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46261</v>
      </c>
      <c r="F334" t="inlineStr">
        <is>
          <t>VÄSTERBOTTENS LÄN</t>
        </is>
      </c>
      <c r="G334" t="inlineStr">
        <is>
          <t>NORDMALING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46261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63037-2025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46261</v>
      </c>
      <c r="F336" t="inlineStr">
        <is>
          <t>VÄSTERBOTTENS LÄN</t>
        </is>
      </c>
      <c r="G336" t="inlineStr">
        <is>
          <t>NORDMALING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44905</v>
      </c>
      <c r="E337" s="1" t="n">
        <v>46261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45344</v>
      </c>
      <c r="E338" s="1" t="n">
        <v>46261</v>
      </c>
      <c r="F338" t="inlineStr">
        <is>
          <t>VÄSTERBOTTENS LÄN</t>
        </is>
      </c>
      <c r="G338" t="inlineStr">
        <is>
          <t>NORDMALING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46261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46261</v>
      </c>
      <c r="F340" t="inlineStr">
        <is>
          <t>VÄSTERBOTTENS LÄN</t>
        </is>
      </c>
      <c r="G340" t="inlineStr">
        <is>
          <t>NORDMALING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44753</v>
      </c>
      <c r="E341" s="1" t="n">
        <v>46261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19300-2023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45049</v>
      </c>
      <c r="E342" s="1" t="n">
        <v>46261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Kyrkan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45569</v>
      </c>
      <c r="E343" s="1" t="n">
        <v>46261</v>
      </c>
      <c r="F343" t="inlineStr">
        <is>
          <t>VÄSTERBOTTENS LÄN</t>
        </is>
      </c>
      <c r="G343" t="inlineStr">
        <is>
          <t>NORDMALING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24010-2022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44722</v>
      </c>
      <c r="E344" s="1" t="n">
        <v>46261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46151</v>
      </c>
      <c r="E345" s="1" t="n">
        <v>46261</v>
      </c>
      <c r="F345" t="inlineStr">
        <is>
          <t>VÄSTERBOTTENS LÄN</t>
        </is>
      </c>
      <c r="G345" t="inlineStr">
        <is>
          <t>NORDMALING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46151</v>
      </c>
      <c r="E346" s="1" t="n">
        <v>46261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46261</v>
      </c>
      <c r="F347" t="inlineStr">
        <is>
          <t>VÄSTERBOTTENS LÄN</t>
        </is>
      </c>
      <c r="G347" t="inlineStr">
        <is>
          <t>NORDMALING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22581-2026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46155</v>
      </c>
      <c r="E348" s="1" t="n">
        <v>46261</v>
      </c>
      <c r="F348" t="inlineStr">
        <is>
          <t>VÄSTERBOTTENS LÄN</t>
        </is>
      </c>
      <c r="G348" t="inlineStr">
        <is>
          <t>NORDMALING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23005-2026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46160</v>
      </c>
      <c r="E349" s="1" t="n">
        <v>46261</v>
      </c>
      <c r="F349" t="inlineStr">
        <is>
          <t>VÄSTERBOTTENS LÄN</t>
        </is>
      </c>
      <c r="G349" t="inlineStr">
        <is>
          <t>NORDMALING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44812</v>
      </c>
      <c r="E350" s="1" t="n">
        <v>46261</v>
      </c>
      <c r="F350" t="inlineStr">
        <is>
          <t>VÄSTERBOTTENS LÄN</t>
        </is>
      </c>
      <c r="G350" t="inlineStr">
        <is>
          <t>NORDMALING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46261</v>
      </c>
      <c r="F351" t="inlineStr">
        <is>
          <t>VÄSTERBOTTENS LÄN</t>
        </is>
      </c>
      <c r="G351" t="inlineStr">
        <is>
          <t>NORDMALING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46261</v>
      </c>
      <c r="F352" t="inlineStr">
        <is>
          <t>VÄSTERBOTTENS LÄN</t>
        </is>
      </c>
      <c r="G352" t="inlineStr">
        <is>
          <t>NORDMALING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51746-2021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44462</v>
      </c>
      <c r="E353" s="1" t="n">
        <v>46261</v>
      </c>
      <c r="F353" t="inlineStr">
        <is>
          <t>VÄSTERBOTTENS LÄN</t>
        </is>
      </c>
      <c r="G353" t="inlineStr">
        <is>
          <t>NORDMALING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46261</v>
      </c>
      <c r="F354" t="inlineStr">
        <is>
          <t>VÄSTERBOTTENS LÄN</t>
        </is>
      </c>
      <c r="G354" t="inlineStr">
        <is>
          <t>NORDMALING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45034</v>
      </c>
      <c r="E355" s="1" t="n">
        <v>46261</v>
      </c>
      <c r="F355" t="inlineStr">
        <is>
          <t>VÄSTERBOTTENS LÄN</t>
        </is>
      </c>
      <c r="G355" t="inlineStr">
        <is>
          <t>NORDMALING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23017-2026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46261</v>
      </c>
      <c r="F356" t="inlineStr">
        <is>
          <t>VÄSTERBOTTENS LÄN</t>
        </is>
      </c>
      <c r="G356" t="inlineStr">
        <is>
          <t>NORDMALING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46261</v>
      </c>
      <c r="F357" t="inlineStr">
        <is>
          <t>VÄSTERBOTTENS LÄN</t>
        </is>
      </c>
      <c r="G357" t="inlineStr">
        <is>
          <t>NORDMALING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46261</v>
      </c>
      <c r="F358" t="inlineStr">
        <is>
          <t>VÄSTERBOTTENS LÄN</t>
        </is>
      </c>
      <c r="G358" t="inlineStr">
        <is>
          <t>NORDMALING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46261</v>
      </c>
      <c r="F359" t="inlineStr">
        <is>
          <t>VÄSTERBOTTENS LÄN</t>
        </is>
      </c>
      <c r="G359" t="inlineStr">
        <is>
          <t>NORDMALING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46261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24712-2023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45075</v>
      </c>
      <c r="E361" s="1" t="n">
        <v>46261</v>
      </c>
      <c r="F361" t="inlineStr">
        <is>
          <t>VÄSTERBOTTENS LÄN</t>
        </is>
      </c>
      <c r="G361" t="inlineStr">
        <is>
          <t>NORDMALING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46261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Holmen skog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46261</v>
      </c>
      <c r="F363" t="inlineStr">
        <is>
          <t>VÄSTERBOTTENS LÄN</t>
        </is>
      </c>
      <c r="G363" t="inlineStr">
        <is>
          <t>NORDMALING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32183-2023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45119</v>
      </c>
      <c r="E364" s="1" t="n">
        <v>46261</v>
      </c>
      <c r="F364" t="inlineStr">
        <is>
          <t>VÄSTERBOTTENS LÄN</t>
        </is>
      </c>
      <c r="G364" t="inlineStr">
        <is>
          <t>NORDMALING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46261</v>
      </c>
      <c r="F365" t="inlineStr">
        <is>
          <t>VÄSTERBOTTENS LÄN</t>
        </is>
      </c>
      <c r="G365" t="inlineStr">
        <is>
          <t>NORDMALING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46261</v>
      </c>
      <c r="F366" t="inlineStr">
        <is>
          <t>VÄSTERBOTTENS LÄN</t>
        </is>
      </c>
      <c r="G366" t="inlineStr">
        <is>
          <t>NORDMALING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25214-2026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46171</v>
      </c>
      <c r="E367" s="1" t="n">
        <v>46261</v>
      </c>
      <c r="F367" t="inlineStr">
        <is>
          <t>VÄSTERBOTTENS LÄN</t>
        </is>
      </c>
      <c r="G367" t="inlineStr">
        <is>
          <t>NORDMALING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45187</v>
      </c>
      <c r="E368" s="1" t="n">
        <v>46261</v>
      </c>
      <c r="F368" t="inlineStr">
        <is>
          <t>VÄSTERBOTTENS LÄN</t>
        </is>
      </c>
      <c r="G368" t="inlineStr">
        <is>
          <t>NORDMALING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46261</v>
      </c>
      <c r="F369" t="inlineStr">
        <is>
          <t>VÄSTERBOTTENS LÄN</t>
        </is>
      </c>
      <c r="G369" t="inlineStr">
        <is>
          <t>NORDMALING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35650-2023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45147</v>
      </c>
      <c r="E370" s="1" t="n">
        <v>46261</v>
      </c>
      <c r="F370" t="inlineStr">
        <is>
          <t>VÄSTERBOTTENS LÄN</t>
        </is>
      </c>
      <c r="G370" t="inlineStr">
        <is>
          <t>NORDMALING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46261</v>
      </c>
      <c r="F371" t="inlineStr">
        <is>
          <t>VÄSTERBOTTENS LÄN</t>
        </is>
      </c>
      <c r="G371" t="inlineStr">
        <is>
          <t>NORDMALING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46261</v>
      </c>
      <c r="F372" t="inlineStr">
        <is>
          <t>VÄSTERBOTTENS LÄN</t>
        </is>
      </c>
      <c r="G372" t="inlineStr">
        <is>
          <t>NORDMALING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46261</v>
      </c>
      <c r="F373" t="inlineStr">
        <is>
          <t>VÄSTERBOTTENS LÄN</t>
        </is>
      </c>
      <c r="G373" t="inlineStr">
        <is>
          <t>NORDMALING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44742</v>
      </c>
      <c r="E374" s="1" t="n">
        <v>46261</v>
      </c>
      <c r="F374" t="inlineStr">
        <is>
          <t>VÄSTERBOTTENS LÄN</t>
        </is>
      </c>
      <c r="G374" t="inlineStr">
        <is>
          <t>NORDMALING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46261</v>
      </c>
      <c r="F375" t="inlineStr">
        <is>
          <t>VÄSTERBOTTENS LÄN</t>
        </is>
      </c>
      <c r="G375" t="inlineStr">
        <is>
          <t>NORDMALING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46261</v>
      </c>
      <c r="F376" t="inlineStr">
        <is>
          <t>VÄSTERBOTTENS LÄN</t>
        </is>
      </c>
      <c r="G376" t="inlineStr">
        <is>
          <t>NORDMALING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46261</v>
      </c>
      <c r="F377" t="inlineStr">
        <is>
          <t>VÄSTERBOTTENS LÄN</t>
        </is>
      </c>
      <c r="G377" t="inlineStr">
        <is>
          <t>NORDMALING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46261</v>
      </c>
      <c r="F378" t="inlineStr">
        <is>
          <t>VÄSTERBOTTENS LÄN</t>
        </is>
      </c>
      <c r="G378" t="inlineStr">
        <is>
          <t>NORDMALING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46261</v>
      </c>
      <c r="F379" t="inlineStr">
        <is>
          <t>VÄSTERBOTTENS LÄN</t>
        </is>
      </c>
      <c r="G379" t="inlineStr">
        <is>
          <t>NORDMALING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46261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45051</v>
      </c>
      <c r="E381" s="1" t="n">
        <v>46261</v>
      </c>
      <c r="F381" t="inlineStr">
        <is>
          <t>VÄSTERBOTTENS LÄN</t>
        </is>
      </c>
      <c r="G381" t="inlineStr">
        <is>
          <t>NORDMALING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26796-2026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46185</v>
      </c>
      <c r="E382" s="1" t="n">
        <v>46261</v>
      </c>
      <c r="F382" t="inlineStr">
        <is>
          <t>VÄSTERBOTTENS LÄN</t>
        </is>
      </c>
      <c r="G382" t="inlineStr">
        <is>
          <t>NORDMALING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45028</v>
      </c>
      <c r="E383" s="1" t="n">
        <v>46261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44907</v>
      </c>
      <c r="E384" s="1" t="n">
        <v>46261</v>
      </c>
      <c r="F384" t="inlineStr">
        <is>
          <t>VÄSTERBOTTENS LÄN</t>
        </is>
      </c>
      <c r="G384" t="inlineStr">
        <is>
          <t>NORDMALING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47063-2024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45586</v>
      </c>
      <c r="E385" s="1" t="n">
        <v>46261</v>
      </c>
      <c r="F385" t="inlineStr">
        <is>
          <t>VÄSTERBOTTENS LÄN</t>
        </is>
      </c>
      <c r="G385" t="inlineStr">
        <is>
          <t>NORDMALING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70028-2021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44533</v>
      </c>
      <c r="E386" s="1" t="n">
        <v>46261</v>
      </c>
      <c r="F386" t="inlineStr">
        <is>
          <t>VÄSTERBOTTENS LÄN</t>
        </is>
      </c>
      <c r="G386" t="inlineStr">
        <is>
          <t>NORDMALING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46261</v>
      </c>
      <c r="F387" t="inlineStr">
        <is>
          <t>VÄSTERBOTTENS LÄN</t>
        </is>
      </c>
      <c r="G387" t="inlineStr">
        <is>
          <t>NORDMALING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45503</v>
      </c>
      <c r="E388" s="1" t="n">
        <v>46261</v>
      </c>
      <c r="F388" t="inlineStr">
        <is>
          <t>VÄSTERBOTTENS LÄN</t>
        </is>
      </c>
      <c r="G388" t="inlineStr">
        <is>
          <t>NORDMALING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46261</v>
      </c>
      <c r="F389" t="inlineStr">
        <is>
          <t>VÄSTERBOTTENS LÄN</t>
        </is>
      </c>
      <c r="G389" t="inlineStr">
        <is>
          <t>NORDMALING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45326-2025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46261</v>
      </c>
      <c r="F390" t="inlineStr">
        <is>
          <t>VÄSTERBOTTENS LÄN</t>
        </is>
      </c>
      <c r="G390" t="inlineStr">
        <is>
          <t>NORDMALING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46261</v>
      </c>
      <c r="F391" t="inlineStr">
        <is>
          <t>VÄSTERBOTTENS LÄN</t>
        </is>
      </c>
      <c r="G391" t="inlineStr">
        <is>
          <t>NORDMALING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45736</v>
      </c>
      <c r="E392" s="1" t="n">
        <v>46261</v>
      </c>
      <c r="F392" t="inlineStr">
        <is>
          <t>VÄSTERBOTTENS LÄN</t>
        </is>
      </c>
      <c r="G392" t="inlineStr">
        <is>
          <t>NORDMALING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46261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46261</v>
      </c>
      <c r="F394" t="inlineStr">
        <is>
          <t>VÄSTERBOTTENS LÄN</t>
        </is>
      </c>
      <c r="G394" t="inlineStr">
        <is>
          <t>NORDMALING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46261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32262-2026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46237</v>
      </c>
      <c r="E396" s="1" t="n">
        <v>46261</v>
      </c>
      <c r="F396" t="inlineStr">
        <is>
          <t>VÄSTERBOTTENS LÄN</t>
        </is>
      </c>
      <c r="G396" t="inlineStr">
        <is>
          <t>NORDMALING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46261</v>
      </c>
      <c r="F397" t="inlineStr">
        <is>
          <t>VÄSTERBOTTENS LÄN</t>
        </is>
      </c>
      <c r="G397" t="inlineStr">
        <is>
          <t>NORDMALING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69516-2021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44531</v>
      </c>
      <c r="E398" s="1" t="n">
        <v>46261</v>
      </c>
      <c r="F398" t="inlineStr">
        <is>
          <t>VÄSTERBOTTENS LÄN</t>
        </is>
      </c>
      <c r="G398" t="inlineStr">
        <is>
          <t>NORDMALING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43367-2022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46261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Holmen skog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46239</v>
      </c>
      <c r="E400" s="1" t="n">
        <v>46261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Kyrkan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45102</v>
      </c>
      <c r="E401" s="1" t="n">
        <v>46261</v>
      </c>
      <c r="F401" t="inlineStr">
        <is>
          <t>VÄSTERBOTTENS LÄN</t>
        </is>
      </c>
      <c r="G401" t="inlineStr">
        <is>
          <t>NORDMALING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46261</v>
      </c>
      <c r="F402" t="inlineStr">
        <is>
          <t>VÄSTERBOTTENS LÄN</t>
        </is>
      </c>
      <c r="G402" t="inlineStr">
        <is>
          <t>NORDMALING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32457-2026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46239</v>
      </c>
      <c r="E403" s="1" t="n">
        <v>46261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Kyrkan</t>
        </is>
      </c>
      <c r="I403" t="n">
        <v>9.699999999999999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46261</v>
      </c>
      <c r="F404" t="inlineStr">
        <is>
          <t>VÄSTERBOTTENS LÄN</t>
        </is>
      </c>
      <c r="G404" t="inlineStr">
        <is>
          <t>NORDMALING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35291-2023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45145</v>
      </c>
      <c r="E405" s="1" t="n">
        <v>46261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46261</v>
      </c>
      <c r="F406" t="inlineStr">
        <is>
          <t>VÄSTERBOTTENS LÄN</t>
        </is>
      </c>
      <c r="G406" t="inlineStr">
        <is>
          <t>NORDMALING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46244</v>
      </c>
      <c r="E407" s="1" t="n">
        <v>46261</v>
      </c>
      <c r="F407" t="inlineStr">
        <is>
          <t>VÄSTERBOTTENS LÄN</t>
        </is>
      </c>
      <c r="G407" t="inlineStr">
        <is>
          <t>NORDMALING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45343</v>
      </c>
      <c r="E408" s="1" t="n">
        <v>46261</v>
      </c>
      <c r="F408" t="inlineStr">
        <is>
          <t>VÄSTERBOTTENS LÄN</t>
        </is>
      </c>
      <c r="G408" t="inlineStr">
        <is>
          <t>NORDMALING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45757</v>
      </c>
      <c r="E409" s="1" t="n">
        <v>46261</v>
      </c>
      <c r="F409" t="inlineStr">
        <is>
          <t>VÄSTERBOTTENS LÄN</t>
        </is>
      </c>
      <c r="G409" t="inlineStr">
        <is>
          <t>NORDMALING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44812</v>
      </c>
      <c r="E410" s="1" t="n">
        <v>46261</v>
      </c>
      <c r="F410" t="inlineStr">
        <is>
          <t>VÄSTERBOTTENS LÄN</t>
        </is>
      </c>
      <c r="G410" t="inlineStr">
        <is>
          <t>NORDMALING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32858-2026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46244</v>
      </c>
      <c r="E411" s="1" t="n">
        <v>46261</v>
      </c>
      <c r="F411" t="inlineStr">
        <is>
          <t>VÄSTERBOTTENS LÄN</t>
        </is>
      </c>
      <c r="G411" t="inlineStr">
        <is>
          <t>NORDMALING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46244</v>
      </c>
      <c r="E412" s="1" t="n">
        <v>46261</v>
      </c>
      <c r="F412" t="inlineStr">
        <is>
          <t>VÄSTERBOTTENS LÄN</t>
        </is>
      </c>
      <c r="G412" t="inlineStr">
        <is>
          <t>NORDMALING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32889-2026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46261</v>
      </c>
      <c r="F413" t="inlineStr">
        <is>
          <t>VÄSTERBOTTENS LÄN</t>
        </is>
      </c>
      <c r="G413" t="inlineStr">
        <is>
          <t>NORDMALING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45378</v>
      </c>
      <c r="E414" s="1" t="n">
        <v>46261</v>
      </c>
      <c r="F414" t="inlineStr">
        <is>
          <t>VÄSTERBOTTENS LÄN</t>
        </is>
      </c>
      <c r="G414" t="inlineStr">
        <is>
          <t>NORDMALING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45419</v>
      </c>
      <c r="E415" s="1" t="n">
        <v>46261</v>
      </c>
      <c r="F415" t="inlineStr">
        <is>
          <t>VÄSTERBOTTENS LÄN</t>
        </is>
      </c>
      <c r="G415" t="inlineStr">
        <is>
          <t>NORDMALING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45096</v>
      </c>
      <c r="E416" s="1" t="n">
        <v>46261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48945-2022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44859</v>
      </c>
      <c r="E417" s="1" t="n">
        <v>46261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46261</v>
      </c>
      <c r="F418" t="inlineStr">
        <is>
          <t>VÄSTERBOTTENS LÄN</t>
        </is>
      </c>
      <c r="G418" t="inlineStr">
        <is>
          <t>NORDMALING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46261</v>
      </c>
      <c r="F419" t="inlineStr">
        <is>
          <t>VÄSTERBOTTENS LÄN</t>
        </is>
      </c>
      <c r="G419" t="inlineStr">
        <is>
          <t>NORDMALING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46244</v>
      </c>
      <c r="E420" s="1" t="n">
        <v>46261</v>
      </c>
      <c r="F420" t="inlineStr">
        <is>
          <t>VÄSTERBOTTENS LÄN</t>
        </is>
      </c>
      <c r="G420" t="inlineStr">
        <is>
          <t>NORDMALING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45105</v>
      </c>
      <c r="E421" s="1" t="n">
        <v>46261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SCA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45491</v>
      </c>
      <c r="E422" s="1" t="n">
        <v>46261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46261</v>
      </c>
      <c r="F423" t="inlineStr">
        <is>
          <t>VÄSTERBOTTENS LÄN</t>
        </is>
      </c>
      <c r="G423" t="inlineStr">
        <is>
          <t>NORDMALING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46261</v>
      </c>
      <c r="F424" t="inlineStr">
        <is>
          <t>VÄSTERBOTTENS LÄN</t>
        </is>
      </c>
      <c r="G424" t="inlineStr">
        <is>
          <t>NORDMALING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32905-2026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46244</v>
      </c>
      <c r="E425" s="1" t="n">
        <v>46261</v>
      </c>
      <c r="F425" t="inlineStr">
        <is>
          <t>VÄSTERBOTTENS LÄN</t>
        </is>
      </c>
      <c r="G425" t="inlineStr">
        <is>
          <t>NORDMALING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46261</v>
      </c>
      <c r="F426" t="inlineStr">
        <is>
          <t>VÄSTERBOTTENS LÄN</t>
        </is>
      </c>
      <c r="G426" t="inlineStr">
        <is>
          <t>NORDMALING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56734-2022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44893</v>
      </c>
      <c r="E427" s="1" t="n">
        <v>46261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46261</v>
      </c>
      <c r="F428" t="inlineStr">
        <is>
          <t>VÄSTERBOTTENS LÄN</t>
        </is>
      </c>
      <c r="G428" t="inlineStr">
        <is>
          <t>NORDMALING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46245</v>
      </c>
      <c r="E429" s="1" t="n">
        <v>46261</v>
      </c>
      <c r="F429" t="inlineStr">
        <is>
          <t>VÄSTERBOTTENS LÄN</t>
        </is>
      </c>
      <c r="G429" t="inlineStr">
        <is>
          <t>NORDMALING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46245</v>
      </c>
      <c r="E430" s="1" t="n">
        <v>46261</v>
      </c>
      <c r="F430" t="inlineStr">
        <is>
          <t>VÄSTERBOTTENS LÄN</t>
        </is>
      </c>
      <c r="G430" t="inlineStr">
        <is>
          <t>NORDMALING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46245</v>
      </c>
      <c r="E431" s="1" t="n">
        <v>46261</v>
      </c>
      <c r="F431" t="inlineStr">
        <is>
          <t>VÄSTERBOTTENS LÄN</t>
        </is>
      </c>
      <c r="G431" t="inlineStr">
        <is>
          <t>NORDMALING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46245</v>
      </c>
      <c r="E432" s="1" t="n">
        <v>46261</v>
      </c>
      <c r="F432" t="inlineStr">
        <is>
          <t>VÄSTERBOTTENS LÄN</t>
        </is>
      </c>
      <c r="G432" t="inlineStr">
        <is>
          <t>NORDMALING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46245</v>
      </c>
      <c r="E433" s="1" t="n">
        <v>46261</v>
      </c>
      <c r="F433" t="inlineStr">
        <is>
          <t>VÄSTERBOTTENS LÄN</t>
        </is>
      </c>
      <c r="G433" t="inlineStr">
        <is>
          <t>NORDMALING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46245</v>
      </c>
      <c r="E434" s="1" t="n">
        <v>46261</v>
      </c>
      <c r="F434" t="inlineStr">
        <is>
          <t>VÄSTERBOTTENS LÄN</t>
        </is>
      </c>
      <c r="G434" t="inlineStr">
        <is>
          <t>NORDMALING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46245</v>
      </c>
      <c r="E435" s="1" t="n">
        <v>46261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46245</v>
      </c>
      <c r="E436" s="1" t="n">
        <v>46261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46246</v>
      </c>
      <c r="E437" s="1" t="n">
        <v>46261</v>
      </c>
      <c r="F437" t="inlineStr">
        <is>
          <t>VÄSTERBOTTENS LÄN</t>
        </is>
      </c>
      <c r="G437" t="inlineStr">
        <is>
          <t>NORDMALING</t>
        </is>
      </c>
      <c r="I437" t="n">
        <v>8.5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46245</v>
      </c>
      <c r="E438" s="1" t="n">
        <v>46261</v>
      </c>
      <c r="F438" t="inlineStr">
        <is>
          <t>VÄSTERBOTTENS LÄN</t>
        </is>
      </c>
      <c r="G438" t="inlineStr">
        <is>
          <t>NORDMALING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46245</v>
      </c>
      <c r="E439" s="1" t="n">
        <v>46261</v>
      </c>
      <c r="F439" t="inlineStr">
        <is>
          <t>VÄSTERBOTTENS LÄN</t>
        </is>
      </c>
      <c r="G439" t="inlineStr">
        <is>
          <t>NORDMALING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46245</v>
      </c>
      <c r="E440" s="1" t="n">
        <v>46261</v>
      </c>
      <c r="F440" t="inlineStr">
        <is>
          <t>VÄSTERBOTTENS LÄN</t>
        </is>
      </c>
      <c r="G440" t="inlineStr">
        <is>
          <t>NORDMALING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29140-2026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46261</v>
      </c>
      <c r="F441" t="inlineStr">
        <is>
          <t>VÄSTERBOTTENS LÄN</t>
        </is>
      </c>
      <c r="G441" t="inlineStr">
        <is>
          <t>NORDMALING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44949</v>
      </c>
      <c r="E442" s="1" t="n">
        <v>46261</v>
      </c>
      <c r="F442" t="inlineStr">
        <is>
          <t>VÄSTERBOTTENS LÄN</t>
        </is>
      </c>
      <c r="G442" t="inlineStr">
        <is>
          <t>NORDMALING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46245</v>
      </c>
      <c r="E443" s="1" t="n">
        <v>46261</v>
      </c>
      <c r="F443" t="inlineStr">
        <is>
          <t>VÄSTERBOTTENS LÄN</t>
        </is>
      </c>
      <c r="G443" t="inlineStr">
        <is>
          <t>NORDMALING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46245</v>
      </c>
      <c r="E444" s="1" t="n">
        <v>46261</v>
      </c>
      <c r="F444" t="inlineStr">
        <is>
          <t>VÄSTERBOTTENS LÄN</t>
        </is>
      </c>
      <c r="G444" t="inlineStr">
        <is>
          <t>NORDMALING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46245</v>
      </c>
      <c r="E445" s="1" t="n">
        <v>46261</v>
      </c>
      <c r="F445" t="inlineStr">
        <is>
          <t>VÄSTERBOTTENS LÄN</t>
        </is>
      </c>
      <c r="G445" t="inlineStr">
        <is>
          <t>NORDMALING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46261</v>
      </c>
      <c r="F446" t="inlineStr">
        <is>
          <t>VÄSTERBOTTENS LÄN</t>
        </is>
      </c>
      <c r="G446" t="inlineStr">
        <is>
          <t>NORDMALING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45139</v>
      </c>
      <c r="E447" s="1" t="n">
        <v>46261</v>
      </c>
      <c r="F447" t="inlineStr">
        <is>
          <t>VÄSTERBOTTENS LÄN</t>
        </is>
      </c>
      <c r="G447" t="inlineStr">
        <is>
          <t>NORDMALING</t>
        </is>
      </c>
      <c r="H447" t="inlineStr">
        <is>
          <t>SCA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46261</v>
      </c>
      <c r="F448" t="inlineStr">
        <is>
          <t>VÄSTERBOTTENS LÄN</t>
        </is>
      </c>
      <c r="G448" t="inlineStr">
        <is>
          <t>NORDMALING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46261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45187</v>
      </c>
      <c r="E450" s="1" t="n">
        <v>46261</v>
      </c>
      <c r="F450" t="inlineStr">
        <is>
          <t>VÄSTERBOTTENS LÄN</t>
        </is>
      </c>
      <c r="G450" t="inlineStr">
        <is>
          <t>NORDMALING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45562</v>
      </c>
      <c r="E451" s="1" t="n">
        <v>46261</v>
      </c>
      <c r="F451" t="inlineStr">
        <is>
          <t>VÄSTERBOTTENS LÄN</t>
        </is>
      </c>
      <c r="G451" t="inlineStr">
        <is>
          <t>NORDMALING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46261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46261</v>
      </c>
      <c r="F453" t="inlineStr">
        <is>
          <t>VÄSTERBOTTENS LÄN</t>
        </is>
      </c>
      <c r="G453" t="inlineStr">
        <is>
          <t>NORDMALING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46261</v>
      </c>
      <c r="F454" t="inlineStr">
        <is>
          <t>VÄSTERBOTTENS LÄN</t>
        </is>
      </c>
      <c r="G454" t="inlineStr">
        <is>
          <t>NORDMALING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46261</v>
      </c>
      <c r="F455" t="inlineStr">
        <is>
          <t>VÄSTERBOTTENS LÄN</t>
        </is>
      </c>
      <c r="G455" t="inlineStr">
        <is>
          <t>NORDMALING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30918-2026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46261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46261</v>
      </c>
      <c r="F457" t="inlineStr">
        <is>
          <t>VÄSTERBOTTENS LÄN</t>
        </is>
      </c>
      <c r="G457" t="inlineStr">
        <is>
          <t>NORDMALING</t>
        </is>
      </c>
      <c r="I457" t="n">
        <v>8.699999999999999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46261</v>
      </c>
      <c r="F458" t="inlineStr">
        <is>
          <t>VÄSTERBOTTENS LÄN</t>
        </is>
      </c>
      <c r="G458" t="inlineStr">
        <is>
          <t>NORDMALING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43541-2024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45569</v>
      </c>
      <c r="E459" s="1" t="n">
        <v>46261</v>
      </c>
      <c r="F459" t="inlineStr">
        <is>
          <t>VÄSTERBOTTENS LÄN</t>
        </is>
      </c>
      <c r="G459" t="inlineStr">
        <is>
          <t>NORDMALING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45575</v>
      </c>
      <c r="E460" s="1" t="n">
        <v>46261</v>
      </c>
      <c r="F460" t="inlineStr">
        <is>
          <t>VÄSTERBOTTENS LÄN</t>
        </is>
      </c>
      <c r="G460" t="inlineStr">
        <is>
          <t>NORDMALING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45344</v>
      </c>
      <c r="E461" s="1" t="n">
        <v>46261</v>
      </c>
      <c r="F461" t="inlineStr">
        <is>
          <t>VÄSTERBOTTENS LÄN</t>
        </is>
      </c>
      <c r="G461" t="inlineStr">
        <is>
          <t>NORDMALING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46261</v>
      </c>
      <c r="F462" t="inlineStr">
        <is>
          <t>VÄSTERBOTTENS LÄN</t>
        </is>
      </c>
      <c r="G462" t="inlineStr">
        <is>
          <t>NORDMALING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21863-2024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45443</v>
      </c>
      <c r="E463" s="1" t="n">
        <v>46261</v>
      </c>
      <c r="F463" t="inlineStr">
        <is>
          <t>VÄSTERBOTTENS LÄN</t>
        </is>
      </c>
      <c r="G463" t="inlineStr">
        <is>
          <t>NORDMALING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45447</v>
      </c>
      <c r="E464" s="1" t="n">
        <v>46261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69519-2021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44531</v>
      </c>
      <c r="E465" s="1" t="n">
        <v>46261</v>
      </c>
      <c r="F465" t="inlineStr">
        <is>
          <t>VÄSTERBOTTENS LÄN</t>
        </is>
      </c>
      <c r="G465" t="inlineStr">
        <is>
          <t>NORDMALING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46261</v>
      </c>
      <c r="F466" t="inlineStr">
        <is>
          <t>VÄSTERBOTTENS LÄN</t>
        </is>
      </c>
      <c r="G466" t="inlineStr">
        <is>
          <t>NORDMALING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46261</v>
      </c>
      <c r="F467" t="inlineStr">
        <is>
          <t>VÄSTERBOTTENS LÄN</t>
        </is>
      </c>
      <c r="G467" t="inlineStr">
        <is>
          <t>NORDMALING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46261</v>
      </c>
      <c r="F468" t="inlineStr">
        <is>
          <t>VÄSTERBOTTENS LÄN</t>
        </is>
      </c>
      <c r="G468" t="inlineStr">
        <is>
          <t>NORDMALING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72018-2021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44540</v>
      </c>
      <c r="E469" s="1" t="n">
        <v>46261</v>
      </c>
      <c r="F469" t="inlineStr">
        <is>
          <t>VÄSTERBOTTENS LÄN</t>
        </is>
      </c>
      <c r="G469" t="inlineStr">
        <is>
          <t>NORDMALING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24415-2024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45457</v>
      </c>
      <c r="E470" s="1" t="n">
        <v>46261</v>
      </c>
      <c r="F470" t="inlineStr">
        <is>
          <t>VÄSTERBOTTENS LÄN</t>
        </is>
      </c>
      <c r="G470" t="inlineStr">
        <is>
          <t>NORDMALING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46261</v>
      </c>
      <c r="F471" t="inlineStr">
        <is>
          <t>VÄSTERBOTTENS LÄN</t>
        </is>
      </c>
      <c r="G471" t="inlineStr">
        <is>
          <t>NORDMALING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46261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46261</v>
      </c>
      <c r="F473" t="inlineStr">
        <is>
          <t>VÄSTERBOTTENS LÄN</t>
        </is>
      </c>
      <c r="G473" t="inlineStr">
        <is>
          <t>NORDMALING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42501-2023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46261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46261</v>
      </c>
      <c r="F475" t="inlineStr">
        <is>
          <t>VÄSTERBOTTENS LÄN</t>
        </is>
      </c>
      <c r="G475" t="inlineStr">
        <is>
          <t>NORDMALING</t>
        </is>
      </c>
      <c r="I475" t="n">
        <v>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46261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Kyrkan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34829-2026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46261</v>
      </c>
      <c r="F477" t="inlineStr">
        <is>
          <t>VÄSTERBOTTENS LÄN</t>
        </is>
      </c>
      <c r="G477" t="inlineStr">
        <is>
          <t>NORDMALING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46261</v>
      </c>
      <c r="F478" t="inlineStr">
        <is>
          <t>VÄSTERBOTTENS LÄN</t>
        </is>
      </c>
      <c r="G478" t="inlineStr">
        <is>
          <t>NORDMALING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46261</v>
      </c>
      <c r="F479" t="inlineStr">
        <is>
          <t>VÄSTERBOTTENS LÄN</t>
        </is>
      </c>
      <c r="G479" t="inlineStr">
        <is>
          <t>NORDMALING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30778-2026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46261</v>
      </c>
      <c r="F480" t="inlineStr">
        <is>
          <t>VÄSTERBOTTENS LÄN</t>
        </is>
      </c>
      <c r="G480" t="inlineStr">
        <is>
          <t>NORDMALING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46261</v>
      </c>
      <c r="F481" t="inlineStr">
        <is>
          <t>VÄSTERBOTTENS LÄN</t>
        </is>
      </c>
      <c r="G481" t="inlineStr">
        <is>
          <t>NORDMALING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45673</v>
      </c>
      <c r="E482" s="1" t="n">
        <v>46261</v>
      </c>
      <c r="F482" t="inlineStr">
        <is>
          <t>VÄSTERBOTTENS LÄN</t>
        </is>
      </c>
      <c r="G482" t="inlineStr">
        <is>
          <t>NORDMALING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45022</v>
      </c>
      <c r="E483" s="1" t="n">
        <v>46261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45593</v>
      </c>
      <c r="E484" s="1" t="n">
        <v>46261</v>
      </c>
      <c r="F484" t="inlineStr">
        <is>
          <t>VÄSTERBOTTENS LÄN</t>
        </is>
      </c>
      <c r="G484" t="inlineStr">
        <is>
          <t>NORDMALING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44981</v>
      </c>
      <c r="E485" s="1" t="n">
        <v>46261</v>
      </c>
      <c r="F485" t="inlineStr">
        <is>
          <t>VÄSTERBOTTENS LÄN</t>
        </is>
      </c>
      <c r="G485" t="inlineStr">
        <is>
          <t>NORDMALING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53889-2024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45615</v>
      </c>
      <c r="E486" s="1" t="n">
        <v>46261</v>
      </c>
      <c r="F486" t="inlineStr">
        <is>
          <t>VÄSTERBOTTENS LÄN</t>
        </is>
      </c>
      <c r="G486" t="inlineStr">
        <is>
          <t>NORDMALING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46261</v>
      </c>
      <c r="F487" t="inlineStr">
        <is>
          <t>VÄSTERBOTTENS LÄN</t>
        </is>
      </c>
      <c r="G487" t="inlineStr">
        <is>
          <t>NORDMALING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47516-2024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45587</v>
      </c>
      <c r="E488" s="1" t="n">
        <v>46261</v>
      </c>
      <c r="F488" t="inlineStr">
        <is>
          <t>VÄSTERBOTTENS LÄN</t>
        </is>
      </c>
      <c r="G488" t="inlineStr">
        <is>
          <t>NORDMALING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45158</v>
      </c>
      <c r="E489" s="1" t="n">
        <v>46261</v>
      </c>
      <c r="F489" t="inlineStr">
        <is>
          <t>VÄSTERBOTTENS LÄN</t>
        </is>
      </c>
      <c r="G489" t="inlineStr">
        <is>
          <t>NORDMALING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45678</v>
      </c>
      <c r="E490" s="1" t="n">
        <v>46261</v>
      </c>
      <c r="F490" t="inlineStr">
        <is>
          <t>VÄSTERBOTTENS LÄN</t>
        </is>
      </c>
      <c r="G490" t="inlineStr">
        <is>
          <t>NORDMALING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44993</v>
      </c>
      <c r="E491" s="1" t="n">
        <v>46261</v>
      </c>
      <c r="F491" t="inlineStr">
        <is>
          <t>VÄSTERBOTTENS LÄN</t>
        </is>
      </c>
      <c r="G491" t="inlineStr">
        <is>
          <t>NORDMALING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45524</v>
      </c>
      <c r="E492" s="1" t="n">
        <v>46261</v>
      </c>
      <c r="F492" t="inlineStr">
        <is>
          <t>VÄSTERBOTTENS LÄN</t>
        </is>
      </c>
      <c r="G492" t="inlineStr">
        <is>
          <t>NORDMALING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45574</v>
      </c>
      <c r="E493" s="1" t="n">
        <v>46261</v>
      </c>
      <c r="F493" t="inlineStr">
        <is>
          <t>VÄSTERBOTTENS LÄN</t>
        </is>
      </c>
      <c r="G493" t="inlineStr">
        <is>
          <t>NORDMALING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5258-2024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45330</v>
      </c>
      <c r="E494" s="1" t="n">
        <v>46261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45525</v>
      </c>
      <c r="E495" s="1" t="n">
        <v>46261</v>
      </c>
      <c r="F495" t="inlineStr">
        <is>
          <t>VÄSTERBOTTENS LÄN</t>
        </is>
      </c>
      <c r="G495" t="inlineStr">
        <is>
          <t>NORDMALING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46261</v>
      </c>
      <c r="F496" t="inlineStr">
        <is>
          <t>VÄSTERBOTTENS LÄN</t>
        </is>
      </c>
      <c r="G496" t="inlineStr">
        <is>
          <t>NORDMALING</t>
        </is>
      </c>
      <c r="I496" t="n">
        <v>20.1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44924-2023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46261</v>
      </c>
      <c r="F497" t="inlineStr">
        <is>
          <t>VÄSTERBOTTENS LÄN</t>
        </is>
      </c>
      <c r="G497" t="inlineStr">
        <is>
          <t>NORDMALING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25344-2024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45462</v>
      </c>
      <c r="E498" s="1" t="n">
        <v>46261</v>
      </c>
      <c r="F498" t="inlineStr">
        <is>
          <t>VÄSTERBOTTENS LÄN</t>
        </is>
      </c>
      <c r="G498" t="inlineStr">
        <is>
          <t>NORDMALING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46261</v>
      </c>
      <c r="F499" t="inlineStr">
        <is>
          <t>VÄSTERBOTTENS LÄN</t>
        </is>
      </c>
      <c r="G499" t="inlineStr">
        <is>
          <t>NORDMALING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59518-2024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45638</v>
      </c>
      <c r="E500" s="1" t="n">
        <v>46261</v>
      </c>
      <c r="F500" t="inlineStr">
        <is>
          <t>VÄSTERBOTTENS LÄN</t>
        </is>
      </c>
      <c r="G500" t="inlineStr">
        <is>
          <t>NORDMALING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45712</v>
      </c>
      <c r="E501" s="1" t="n">
        <v>46261</v>
      </c>
      <c r="F501" t="inlineStr">
        <is>
          <t>VÄSTERBOTTENS LÄN</t>
        </is>
      </c>
      <c r="G501" t="inlineStr">
        <is>
          <t>NORDMALING</t>
        </is>
      </c>
      <c r="I501" t="n">
        <v>11.1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18232-2024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45420</v>
      </c>
      <c r="E502" s="1" t="n">
        <v>46261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46261</v>
      </c>
      <c r="F503" t="inlineStr">
        <is>
          <t>VÄSTERBOTTENS LÄN</t>
        </is>
      </c>
      <c r="G503" t="inlineStr">
        <is>
          <t>NORDMALING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46261</v>
      </c>
      <c r="F504" t="inlineStr">
        <is>
          <t>VÄSTERBOTTENS LÄN</t>
        </is>
      </c>
      <c r="G504" t="inlineStr">
        <is>
          <t>NORDMALING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47777-2022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44854</v>
      </c>
      <c r="E505" s="1" t="n">
        <v>46261</v>
      </c>
      <c r="F505" t="inlineStr">
        <is>
          <t>VÄSTERBOTTENS LÄN</t>
        </is>
      </c>
      <c r="G505" t="inlineStr">
        <is>
          <t>NORDMALING</t>
        </is>
      </c>
      <c r="I505" t="n">
        <v>10.5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48940-2022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44859</v>
      </c>
      <c r="E506" s="1" t="n">
        <v>46261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51832-2024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45607</v>
      </c>
      <c r="E507" s="1" t="n">
        <v>46261</v>
      </c>
      <c r="F507" t="inlineStr">
        <is>
          <t>VÄSTERBOTTENS LÄN</t>
        </is>
      </c>
      <c r="G507" t="inlineStr">
        <is>
          <t>NORDMALING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72841-2021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44547</v>
      </c>
      <c r="E508" s="1" t="n">
        <v>46261</v>
      </c>
      <c r="F508" t="inlineStr">
        <is>
          <t>VÄSTERBOTTENS LÄN</t>
        </is>
      </c>
      <c r="G508" t="inlineStr">
        <is>
          <t>NORDMALING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45638</v>
      </c>
      <c r="E509" s="1" t="n">
        <v>46261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33612-2022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44789</v>
      </c>
      <c r="E510" s="1" t="n">
        <v>46261</v>
      </c>
      <c r="F510" t="inlineStr">
        <is>
          <t>VÄSTERBOTTENS LÄN</t>
        </is>
      </c>
      <c r="G510" t="inlineStr">
        <is>
          <t>NORDMALING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48946-2023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46261</v>
      </c>
      <c r="F511" t="inlineStr">
        <is>
          <t>VÄSTERBOTTENS LÄN</t>
        </is>
      </c>
      <c r="G511" t="inlineStr">
        <is>
          <t>NORDMALING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45140</v>
      </c>
      <c r="E512" s="1" t="n">
        <v>46261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45139</v>
      </c>
      <c r="E513" s="1" t="n">
        <v>46261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45775</v>
      </c>
      <c r="E514" s="1" t="n">
        <v>46261</v>
      </c>
      <c r="F514" t="inlineStr">
        <is>
          <t>VÄSTERBOTTENS LÄN</t>
        </is>
      </c>
      <c r="G514" t="inlineStr">
        <is>
          <t>NORDMALING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45775</v>
      </c>
      <c r="E515" s="1" t="n">
        <v>46261</v>
      </c>
      <c r="F515" t="inlineStr">
        <is>
          <t>VÄSTERBOTTENS LÄN</t>
        </is>
      </c>
      <c r="G515" t="inlineStr">
        <is>
          <t>NORDMALING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55305-2023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45237</v>
      </c>
      <c r="E516" s="1" t="n">
        <v>46261</v>
      </c>
      <c r="F516" t="inlineStr">
        <is>
          <t>VÄSTERBOTTENS LÄN</t>
        </is>
      </c>
      <c r="G516" t="inlineStr">
        <is>
          <t>NORDMALING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39816-2023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46261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44687</v>
      </c>
      <c r="E518" s="1" t="n">
        <v>46261</v>
      </c>
      <c r="F518" t="inlineStr">
        <is>
          <t>VÄSTERBOTTENS LÄN</t>
        </is>
      </c>
      <c r="G518" t="inlineStr">
        <is>
          <t>NORDMALING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45665</v>
      </c>
      <c r="E519" s="1" t="n">
        <v>46261</v>
      </c>
      <c r="F519" t="inlineStr">
        <is>
          <t>VÄSTERBOTTENS LÄN</t>
        </is>
      </c>
      <c r="G519" t="inlineStr">
        <is>
          <t>NORDMALING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55740-2023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45239</v>
      </c>
      <c r="E520" s="1" t="n">
        <v>46261</v>
      </c>
      <c r="F520" t="inlineStr">
        <is>
          <t>VÄSTERBOTTENS LÄN</t>
        </is>
      </c>
      <c r="G520" t="inlineStr">
        <is>
          <t>NORDMALING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37548-2023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45158</v>
      </c>
      <c r="E521" s="1" t="n">
        <v>46261</v>
      </c>
      <c r="F521" t="inlineStr">
        <is>
          <t>VÄSTERBOTTENS LÄN</t>
        </is>
      </c>
      <c r="G521" t="inlineStr">
        <is>
          <t>NORDMALING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46261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30009-2022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44756</v>
      </c>
      <c r="E523" s="1" t="n">
        <v>46261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61795-2023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45265</v>
      </c>
      <c r="E524" s="1" t="n">
        <v>46261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39198-2022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44816</v>
      </c>
      <c r="E525" s="1" t="n">
        <v>46261</v>
      </c>
      <c r="F525" t="inlineStr">
        <is>
          <t>VÄSTERBOTTENS LÄN</t>
        </is>
      </c>
      <c r="G525" t="inlineStr">
        <is>
          <t>NORDMALING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58613-2022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46261</v>
      </c>
      <c r="F526" t="inlineStr">
        <is>
          <t>VÄSTERBOTTENS LÄN</t>
        </is>
      </c>
      <c r="G526" t="inlineStr">
        <is>
          <t>NORDMALING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44938</v>
      </c>
      <c r="E527" s="1" t="n">
        <v>46261</v>
      </c>
      <c r="F527" t="inlineStr">
        <is>
          <t>VÄSTERBOTTENS LÄN</t>
        </is>
      </c>
      <c r="G527" t="inlineStr">
        <is>
          <t>NORDMALING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45736</v>
      </c>
      <c r="E528" s="1" t="n">
        <v>46261</v>
      </c>
      <c r="F528" t="inlineStr">
        <is>
          <t>VÄSTERBOTTENS LÄN</t>
        </is>
      </c>
      <c r="G528" t="inlineStr">
        <is>
          <t>NORDMALING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42823-2024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45566</v>
      </c>
      <c r="E529" s="1" t="n">
        <v>46261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46261</v>
      </c>
      <c r="F530" t="inlineStr">
        <is>
          <t>VÄSTERBOTTENS LÄN</t>
        </is>
      </c>
      <c r="G530" t="inlineStr">
        <is>
          <t>NORDMALING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40008-2023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45167</v>
      </c>
      <c r="E531" s="1" t="n">
        <v>46261</v>
      </c>
      <c r="F531" t="inlineStr">
        <is>
          <t>VÄSTERBOTTENS LÄN</t>
        </is>
      </c>
      <c r="G531" t="inlineStr">
        <is>
          <t>NORDMALING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8103-2025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45707</v>
      </c>
      <c r="E532" s="1" t="n">
        <v>46261</v>
      </c>
      <c r="F532" t="inlineStr">
        <is>
          <t>VÄSTERBOTTENS LÄN</t>
        </is>
      </c>
      <c r="G532" t="inlineStr">
        <is>
          <t>NORDMALING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31486-2024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45505</v>
      </c>
      <c r="E533" s="1" t="n">
        <v>46261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45536</v>
      </c>
      <c r="E534" s="1" t="n">
        <v>46261</v>
      </c>
      <c r="F534" t="inlineStr">
        <is>
          <t>VÄSTERBOTTENS LÄN</t>
        </is>
      </c>
      <c r="G534" t="inlineStr">
        <is>
          <t>NORDMALING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62159-2022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44922</v>
      </c>
      <c r="E535" s="1" t="n">
        <v>46261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19865-2024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45433</v>
      </c>
      <c r="E536" s="1" t="n">
        <v>46261</v>
      </c>
      <c r="F536" t="inlineStr">
        <is>
          <t>VÄSTERBOTTENS LÄN</t>
        </is>
      </c>
      <c r="G536" t="inlineStr">
        <is>
          <t>NORDMALING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46261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61657-2022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44916</v>
      </c>
      <c r="E538" s="1" t="n">
        <v>46261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SCA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44949</v>
      </c>
      <c r="E539" s="1" t="n">
        <v>46261</v>
      </c>
      <c r="F539" t="inlineStr">
        <is>
          <t>VÄSTERBOTTENS LÄN</t>
        </is>
      </c>
      <c r="G539" t="inlineStr">
        <is>
          <t>NORDMALING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44816</v>
      </c>
      <c r="E540" s="1" t="n">
        <v>46261</v>
      </c>
      <c r="F540" t="inlineStr">
        <is>
          <t>VÄSTERBOTTENS LÄN</t>
        </is>
      </c>
      <c r="G540" t="inlineStr">
        <is>
          <t>NORDMALING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21607-2022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44706</v>
      </c>
      <c r="E541" s="1" t="n">
        <v>46261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58655-2023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45247</v>
      </c>
      <c r="E542" s="1" t="n">
        <v>46261</v>
      </c>
      <c r="F542" t="inlineStr">
        <is>
          <t>VÄSTERBOTTENS LÄN</t>
        </is>
      </c>
      <c r="G542" t="inlineStr">
        <is>
          <t>NORDMALING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45251</v>
      </c>
      <c r="E543" s="1" t="n">
        <v>46261</v>
      </c>
      <c r="F543" t="inlineStr">
        <is>
          <t>VÄSTERBOTTENS LÄN</t>
        </is>
      </c>
      <c r="G543" t="inlineStr">
        <is>
          <t>NORDMALING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45348</v>
      </c>
      <c r="E544" s="1" t="n">
        <v>46261</v>
      </c>
      <c r="F544" t="inlineStr">
        <is>
          <t>VÄSTERBOTTENS LÄN</t>
        </is>
      </c>
      <c r="G544" t="inlineStr">
        <is>
          <t>NORDMALING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7007-2024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45343</v>
      </c>
      <c r="E545" s="1" t="n">
        <v>46261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Kommuner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46261</v>
      </c>
      <c r="F546" t="inlineStr">
        <is>
          <t>VÄSTERBOTTENS LÄN</t>
        </is>
      </c>
      <c r="G546" t="inlineStr">
        <is>
          <t>NORDMALING</t>
        </is>
      </c>
      <c r="I546" t="n">
        <v>82.40000000000001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17462-2023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45034</v>
      </c>
      <c r="E547" s="1" t="n">
        <v>46261</v>
      </c>
      <c r="F547" t="inlineStr">
        <is>
          <t>VÄSTERBOTTENS LÄN</t>
        </is>
      </c>
      <c r="G547" t="inlineStr">
        <is>
          <t>NORDMALING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21079-2024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45439</v>
      </c>
      <c r="E548" s="1" t="n">
        <v>46261</v>
      </c>
      <c r="F548" t="inlineStr">
        <is>
          <t>VÄSTERBOTTENS LÄN</t>
        </is>
      </c>
      <c r="G548" t="inlineStr">
        <is>
          <t>NORDMALING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53986-2022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44881</v>
      </c>
      <c r="E549" s="1" t="n">
        <v>46261</v>
      </c>
      <c r="F549" t="inlineStr">
        <is>
          <t>VÄSTERBOTTENS LÄN</t>
        </is>
      </c>
      <c r="G549" t="inlineStr">
        <is>
          <t>NORDMALING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45673</v>
      </c>
      <c r="E550" s="1" t="n">
        <v>46261</v>
      </c>
      <c r="F550" t="inlineStr">
        <is>
          <t>VÄSTERBOTTENS LÄN</t>
        </is>
      </c>
      <c r="G550" t="inlineStr">
        <is>
          <t>NORDMALING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44735</v>
      </c>
      <c r="E551" s="1" t="n">
        <v>46261</v>
      </c>
      <c r="F551" t="inlineStr">
        <is>
          <t>VÄSTERBOTTENS LÄN</t>
        </is>
      </c>
      <c r="G551" t="inlineStr">
        <is>
          <t>NORDMALING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45238</v>
      </c>
      <c r="E552" s="1" t="n">
        <v>46261</v>
      </c>
      <c r="F552" t="inlineStr">
        <is>
          <t>VÄSTERBOTTENS LÄN</t>
        </is>
      </c>
      <c r="G552" t="inlineStr">
        <is>
          <t>NORDMALING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44859</v>
      </c>
      <c r="E553" s="1" t="n">
        <v>46261</v>
      </c>
      <c r="F553" t="inlineStr">
        <is>
          <t>VÄSTERBOTTENS LÄN</t>
        </is>
      </c>
      <c r="G553" t="inlineStr">
        <is>
          <t>NORDMALING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14689-2025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45742</v>
      </c>
      <c r="E554" s="1" t="n">
        <v>46261</v>
      </c>
      <c r="F554" t="inlineStr">
        <is>
          <t>VÄSTERBOTTENS LÄN</t>
        </is>
      </c>
      <c r="G554" t="inlineStr">
        <is>
          <t>NORDMALING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45021</v>
      </c>
      <c r="E555" s="1" t="n">
        <v>46261</v>
      </c>
      <c r="F555" t="inlineStr">
        <is>
          <t>VÄSTERBOTTENS LÄN</t>
        </is>
      </c>
      <c r="G555" t="inlineStr">
        <is>
          <t>NORDMALING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45096</v>
      </c>
      <c r="E556" s="1" t="n">
        <v>46261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44888</v>
      </c>
      <c r="E557" s="1" t="n">
        <v>46261</v>
      </c>
      <c r="F557" t="inlineStr">
        <is>
          <t>VÄSTERBOTTENS LÄN</t>
        </is>
      </c>
      <c r="G557" t="inlineStr">
        <is>
          <t>NORDMALING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46261</v>
      </c>
      <c r="F558" t="inlineStr">
        <is>
          <t>VÄSTERBOTTENS LÄN</t>
        </is>
      </c>
      <c r="G558" t="inlineStr">
        <is>
          <t>NORDMALING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45608</v>
      </c>
      <c r="E559" s="1" t="n">
        <v>46261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32965-2024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45517</v>
      </c>
      <c r="E560" s="1" t="n">
        <v>46261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Holmen skog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45435</v>
      </c>
      <c r="E561" s="1" t="n">
        <v>46261</v>
      </c>
      <c r="F561" t="inlineStr">
        <is>
          <t>VÄSTERBOTTENS LÄN</t>
        </is>
      </c>
      <c r="G561" t="inlineStr">
        <is>
          <t>NORDMALING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45407</v>
      </c>
      <c r="E562" s="1" t="n">
        <v>46261</v>
      </c>
      <c r="F562" t="inlineStr">
        <is>
          <t>VÄSTERBOTTENS LÄN</t>
        </is>
      </c>
      <c r="G562" t="inlineStr">
        <is>
          <t>NORDMALING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46261</v>
      </c>
      <c r="F563" t="inlineStr">
        <is>
          <t>VÄSTERBOTTENS LÄN</t>
        </is>
      </c>
      <c r="G563" t="inlineStr">
        <is>
          <t>NORDMALING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44387-2023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46261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33343-2022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44788</v>
      </c>
      <c r="E565" s="1" t="n">
        <v>46261</v>
      </c>
      <c r="F565" t="inlineStr">
        <is>
          <t>VÄSTERBOTTENS LÄN</t>
        </is>
      </c>
      <c r="G565" t="inlineStr">
        <is>
          <t>NORDMALING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51824-2024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45607</v>
      </c>
      <c r="E566" s="1" t="n">
        <v>46261</v>
      </c>
      <c r="F566" t="inlineStr">
        <is>
          <t>VÄSTERBOTTENS LÄN</t>
        </is>
      </c>
      <c r="G566" t="inlineStr">
        <is>
          <t>NORDMALING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44968</v>
      </c>
      <c r="E567" s="1" t="n">
        <v>46261</v>
      </c>
      <c r="F567" t="inlineStr">
        <is>
          <t>VÄSTERBOTTENS LÄN</t>
        </is>
      </c>
      <c r="G567" t="inlineStr">
        <is>
          <t>NORDMALING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24850-2023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45078</v>
      </c>
      <c r="E568" s="1" t="n">
        <v>46261</v>
      </c>
      <c r="F568" t="inlineStr">
        <is>
          <t>VÄSTERBOTTENS LÄN</t>
        </is>
      </c>
      <c r="G568" t="inlineStr">
        <is>
          <t>NORDMALING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45665</v>
      </c>
      <c r="E569" s="1" t="n">
        <v>46261</v>
      </c>
      <c r="F569" t="inlineStr">
        <is>
          <t>VÄSTERBOTTENS LÄN</t>
        </is>
      </c>
      <c r="G569" t="inlineStr">
        <is>
          <t>NORDMALING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45676</v>
      </c>
      <c r="E570" s="1" t="n">
        <v>46261</v>
      </c>
      <c r="F570" t="inlineStr">
        <is>
          <t>VÄSTERBOTTENS LÄN</t>
        </is>
      </c>
      <c r="G570" t="inlineStr">
        <is>
          <t>NORDMALING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45713</v>
      </c>
      <c r="E571" s="1" t="n">
        <v>46261</v>
      </c>
      <c r="F571" t="inlineStr">
        <is>
          <t>VÄSTERBOTTENS LÄN</t>
        </is>
      </c>
      <c r="G571" t="inlineStr">
        <is>
          <t>NORDMALING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61283-2023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45264</v>
      </c>
      <c r="E572" s="1" t="n">
        <v>46261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Sveaskog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45241</v>
      </c>
      <c r="E573" s="1" t="n">
        <v>46261</v>
      </c>
      <c r="F573" t="inlineStr">
        <is>
          <t>VÄSTERBOTTENS LÄN</t>
        </is>
      </c>
      <c r="G573" t="inlineStr">
        <is>
          <t>NORDMALING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43491-2024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45568</v>
      </c>
      <c r="E574" s="1" t="n">
        <v>46261</v>
      </c>
      <c r="F574" t="inlineStr">
        <is>
          <t>VÄSTERBOTTENS LÄN</t>
        </is>
      </c>
      <c r="G574" t="inlineStr">
        <is>
          <t>NORDMALING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43492-2024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45568</v>
      </c>
      <c r="E575" s="1" t="n">
        <v>46261</v>
      </c>
      <c r="F575" t="inlineStr">
        <is>
          <t>VÄSTERBOTTENS LÄN</t>
        </is>
      </c>
      <c r="G575" t="inlineStr">
        <is>
          <t>NORDMALING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45664</v>
      </c>
      <c r="E576" s="1" t="n">
        <v>46261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SCA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45429</v>
      </c>
      <c r="E577" s="1" t="n">
        <v>46261</v>
      </c>
      <c r="F577" t="inlineStr">
        <is>
          <t>VÄSTERBOTTENS LÄN</t>
        </is>
      </c>
      <c r="G577" t="inlineStr">
        <is>
          <t>NORDMALING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46261</v>
      </c>
      <c r="F578" t="inlineStr">
        <is>
          <t>VÄSTERBOTTENS LÄN</t>
        </is>
      </c>
      <c r="G578" t="inlineStr">
        <is>
          <t>NORDMALING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48932-2023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45204</v>
      </c>
      <c r="E579" s="1" t="n">
        <v>46261</v>
      </c>
      <c r="F579" t="inlineStr">
        <is>
          <t>VÄSTERBOTTENS LÄN</t>
        </is>
      </c>
      <c r="G579" t="inlineStr">
        <is>
          <t>NORDMALING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45030</v>
      </c>
      <c r="E580" s="1" t="n">
        <v>46261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21736-2025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45783</v>
      </c>
      <c r="E581" s="1" t="n">
        <v>46261</v>
      </c>
      <c r="F581" t="inlineStr">
        <is>
          <t>VÄSTERBOTTENS LÄN</t>
        </is>
      </c>
      <c r="G581" t="inlineStr">
        <is>
          <t>NORDMALING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45783</v>
      </c>
      <c r="E582" s="1" t="n">
        <v>46261</v>
      </c>
      <c r="F582" t="inlineStr">
        <is>
          <t>VÄSTERBOTTENS LÄN</t>
        </is>
      </c>
      <c r="G582" t="inlineStr">
        <is>
          <t>NORDMALING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61616-2023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45261</v>
      </c>
      <c r="E583" s="1" t="n">
        <v>46261</v>
      </c>
      <c r="F583" t="inlineStr">
        <is>
          <t>VÄSTERBOTTENS LÄN</t>
        </is>
      </c>
      <c r="G583" t="inlineStr">
        <is>
          <t>NORDMALING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46261</v>
      </c>
      <c r="F584" t="inlineStr">
        <is>
          <t>VÄSTERBOTTENS LÄN</t>
        </is>
      </c>
      <c r="G584" t="inlineStr">
        <is>
          <t>NORDMALING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46261</v>
      </c>
      <c r="F585" t="inlineStr">
        <is>
          <t>VÄSTERBOTTENS LÄN</t>
        </is>
      </c>
      <c r="G585" t="inlineStr">
        <is>
          <t>NORDMALING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23041-2025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46261</v>
      </c>
      <c r="F586" t="inlineStr">
        <is>
          <t>VÄSTERBOTTENS LÄN</t>
        </is>
      </c>
      <c r="G586" t="inlineStr">
        <is>
          <t>NORDMALING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17711-2023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46261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45789</v>
      </c>
      <c r="E588" s="1" t="n">
        <v>46261</v>
      </c>
      <c r="F588" t="inlineStr">
        <is>
          <t>VÄSTERBOTTENS LÄN</t>
        </is>
      </c>
      <c r="G588" t="inlineStr">
        <is>
          <t>NORDMALING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22955-2025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46261</v>
      </c>
      <c r="F589" t="inlineStr">
        <is>
          <t>VÄSTERBOTTENS LÄN</t>
        </is>
      </c>
      <c r="G589" t="inlineStr">
        <is>
          <t>NORDMALING</t>
        </is>
      </c>
      <c r="I589" t="n">
        <v>20.3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23037-2025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46261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46261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44559</v>
      </c>
      <c r="E592" s="1" t="n">
        <v>46261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Holmen skog AB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3963-2024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45567</v>
      </c>
      <c r="E593" s="1" t="n">
        <v>46261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8278-2021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44489</v>
      </c>
      <c r="E594" s="1" t="n">
        <v>46261</v>
      </c>
      <c r="F594" t="inlineStr">
        <is>
          <t>VÄSTERBOTTENS LÄN</t>
        </is>
      </c>
      <c r="G594" t="inlineStr">
        <is>
          <t>NORDMALING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46261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46261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46261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46261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46261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46261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440-2026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46070</v>
      </c>
      <c r="E601" s="1" t="n">
        <v>46261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73.59999999999999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46261</v>
      </c>
      <c r="F602" t="inlineStr">
        <is>
          <t>VÄSTERBOTTENS LÄN</t>
        </is>
      </c>
      <c r="G602" t="inlineStr">
        <is>
          <t>NORDMALING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46261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444-2026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46261</v>
      </c>
      <c r="F604" t="inlineStr">
        <is>
          <t>VÄSTERBOTTENS LÄN</t>
        </is>
      </c>
      <c r="G604" t="inlineStr">
        <is>
          <t>NORDMALING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46261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46261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2026-08-27T01:55:21Z</dcterms:created>
  <dcterms:modified xmlns:dcterms="http://purl.org/dc/terms/" xmlns:xsi="http://www.w3.org/2001/XMLSchema-instance" xsi:type="dcterms:W3CDTF">2026-08-27T01:55:22Z</dcterms:modified>
</cp:coreProperties>
</file>