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46288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46288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46288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46288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46288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46288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46288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46288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46288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46288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46288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46288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46288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46288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46288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46288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46288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46288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46288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46288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46288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46288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46288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46288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46288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46288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46288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46288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46288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46288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46288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5595-2025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45693</v>
      </c>
      <c r="E46" s="1" t="n">
        <v>46288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HYPERLINK("https://klasma.github.io/Logging_2401/artfynd/A 5595-2025 artfynd.xlsx", "A 5595-2025")</f>
        <v/>
      </c>
      <c r="X46">
        <f>HYPERLINK("https://klasma.github.io/Logging_2401/kartor/A 5595-2025 karta.png", "A 5595-2025")</f>
        <v/>
      </c>
      <c r="Y46">
        <f>HYPERLINK("https://klasma.github.io/Logging_2401/kartor_geotiff/A 5595-2025 georefererad karta.tif", "A 5595-2025")</f>
        <v/>
      </c>
      <c r="AA46">
        <f>HYPERLINK("https://klasma.github.io/Logging_2401/klagomål/A 5595-2025 FSC-klagomål.docx", "A 5595-2025")</f>
        <v/>
      </c>
      <c r="AB46">
        <f>HYPERLINK("https://klasma.github.io/Logging_2401/klagomålsmail/A 5595-2025 FSC-klagomål mail.docx", "A 5595-2025")</f>
        <v/>
      </c>
      <c r="AC46">
        <f>HYPERLINK("https://klasma.github.io/Logging_2401/tillsyn/A 5595-2025 tillsynsbegäran.docx", "A 5595-2025")</f>
        <v/>
      </c>
      <c r="AD46">
        <f>HYPERLINK("https://klasma.github.io/Logging_2401/tillsynsmail/A 5595-2025 tillsynsbegäran mail.docx", "A 5595-2025")</f>
        <v/>
      </c>
      <c r="AE46">
        <f>HYPERLINK("https://klasma.github.io/Logging_2401/fåglar/A 5595-2025 prioriterade fågelarter.docx", "A 5595-2025")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46288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Gammelgransskål</t>
        </is>
      </c>
      <c r="W47">
        <f>HYPERLINK("https://klasma.github.io/Logging_2401/artfynd/A 60773-2025 artfynd.xlsx", "A 60773-2025")</f>
        <v/>
      </c>
      <c r="X47">
        <f>HYPERLINK("https://klasma.github.io/Logging_2401/kartor/A 60773-2025 karta.png", "A 60773-2025")</f>
        <v/>
      </c>
      <c r="Y47">
        <f>HYPERLINK("https://klasma.github.io/Logging_2401/kartor_geotiff/A 60773-2025 georefererad karta.tif", "A 60773-2025")</f>
        <v/>
      </c>
      <c r="AA47">
        <f>HYPERLINK("https://klasma.github.io/Logging_2401/klagomål/A 60773-2025 FSC-klagomål.docx", "A 60773-2025")</f>
        <v/>
      </c>
      <c r="AB47">
        <f>HYPERLINK("https://klasma.github.io/Logging_2401/klagomålsmail/A 60773-2025 FSC-klagomål mail.docx", "A 60773-2025")</f>
        <v/>
      </c>
      <c r="AC47">
        <f>HYPERLINK("https://klasma.github.io/Logging_2401/tillsyn/A 60773-2025 tillsynsbegäran.docx", "A 60773-2025")</f>
        <v/>
      </c>
      <c r="AD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46288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61644-2025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46288</v>
      </c>
      <c r="F49" t="inlineStr">
        <is>
          <t>VÄSTERBOTTENS LÄN</t>
        </is>
      </c>
      <c r="G49" t="inlineStr">
        <is>
          <t>NORDMALING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61644-2025 artfynd.xlsx", "A 61644-2025")</f>
        <v/>
      </c>
      <c r="X49">
        <f>HYPERLINK("https://klasma.github.io/Logging_2401/kartor/A 61644-2025 karta.png", "A 61644-2025")</f>
        <v/>
      </c>
      <c r="Y49">
        <f>HYPERLINK("https://klasma.github.io/Logging_2401/kartor_geotiff/A 61644-2025 georefererad karta.tif", "A 61644-2025")</f>
        <v/>
      </c>
      <c r="AA49">
        <f>HYPERLINK("https://klasma.github.io/Logging_2401/klagomål/A 61644-2025 FSC-klagomål.docx", "A 61644-2025")</f>
        <v/>
      </c>
      <c r="AB49">
        <f>HYPERLINK("https://klasma.github.io/Logging_2401/klagomålsmail/A 61644-2025 FSC-klagomål mail.docx", "A 61644-2025")</f>
        <v/>
      </c>
      <c r="AC49">
        <f>HYPERLINK("https://klasma.github.io/Logging_2401/tillsyn/A 61644-2025 tillsynsbegäran.docx", "A 61644-2025")</f>
        <v/>
      </c>
      <c r="AD49">
        <f>HYPERLINK("https://klasma.github.io/Logging_2401/tillsynsmail/A 61644-2025 tillsynsbegäran mail.docx", "A 61644-2025")</f>
        <v/>
      </c>
      <c r="AE49">
        <f>HYPERLINK("https://klasma.github.io/Logging_2401/fåglar/A 61644-2025 prioriterade fågelarter.docx", "A 61644-2025")</f>
        <v/>
      </c>
    </row>
    <row r="50" ht="15" customHeight="1">
      <c r="A50" t="inlineStr">
        <is>
          <t>A 54893-2024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45618</v>
      </c>
      <c r="E50" s="1" t="n">
        <v>46288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Gammelgransskål</t>
        </is>
      </c>
      <c r="W50">
        <f>HYPERLINK("https://klasma.github.io/Logging_2401/artfynd/A 54893-2024 artfynd.xlsx", "A 54893-2024")</f>
        <v/>
      </c>
      <c r="X50">
        <f>HYPERLINK("https://klasma.github.io/Logging_2401/kartor/A 54893-2024 karta.png", "A 54893-2024")</f>
        <v/>
      </c>
      <c r="Y50">
        <f>HYPERLINK("https://klasma.github.io/Logging_2401/kartor_geotiff/A 54893-2024 georefererad karta.tif", "A 54893-2024")</f>
        <v/>
      </c>
      <c r="AA50">
        <f>HYPERLINK("https://klasma.github.io/Logging_2401/klagomål/A 54893-2024 FSC-klagomål.docx", "A 54893-2024")</f>
        <v/>
      </c>
      <c r="AB50">
        <f>HYPERLINK("https://klasma.github.io/Logging_2401/klagomålsmail/A 54893-2024 FSC-klagomål mail.docx", "A 54893-2024")</f>
        <v/>
      </c>
      <c r="AC50">
        <f>HYPERLINK("https://klasma.github.io/Logging_2401/tillsyn/A 54893-2024 tillsynsbegäran.docx", "A 54893-2024")</f>
        <v/>
      </c>
      <c r="AD50">
        <f>HYPERLINK("https://klasma.github.io/Logging_2401/tillsynsmail/A 54893-2024 tillsynsbegäran mail.docx", "A 54893-2024")</f>
        <v/>
      </c>
    </row>
    <row r="51" ht="15" customHeight="1">
      <c r="A51" t="inlineStr">
        <is>
          <t>A 33496-2022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46288</v>
      </c>
      <c r="F51" t="inlineStr">
        <is>
          <t>VÄSTERBOTTENS LÄN</t>
        </is>
      </c>
      <c r="G51" t="inlineStr">
        <is>
          <t>NORDMALING</t>
        </is>
      </c>
      <c r="I51" t="n">
        <v>6.5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Buskskvätta</t>
        </is>
      </c>
      <c r="W51">
        <f>HYPERLINK("https://klasma.github.io/Logging_2401/artfynd/A 33496-2022 artfynd.xlsx", "A 33496-2022")</f>
        <v/>
      </c>
      <c r="X51">
        <f>HYPERLINK("https://klasma.github.io/Logging_2401/kartor/A 33496-2022 karta.png", "A 33496-2022")</f>
        <v/>
      </c>
      <c r="Y51">
        <f>HYPERLINK("https://klasma.github.io/Logging_2401/kartor_geotiff/A 33496-2022 georefererad karta.tif", "A 33496-2022")</f>
        <v/>
      </c>
      <c r="AA51">
        <f>HYPERLINK("https://klasma.github.io/Logging_2401/klagomål/A 33496-2022 FSC-klagomål.docx", "A 33496-2022")</f>
        <v/>
      </c>
      <c r="AB51">
        <f>HYPERLINK("https://klasma.github.io/Logging_2401/klagomålsmail/A 33496-2022 FSC-klagomål mail.docx", "A 33496-2022")</f>
        <v/>
      </c>
      <c r="AC51">
        <f>HYPERLINK("https://klasma.github.io/Logging_2401/tillsyn/A 33496-2022 tillsynsbegäran.docx", "A 33496-2022")</f>
        <v/>
      </c>
      <c r="AD51">
        <f>HYPERLINK("https://klasma.github.io/Logging_2401/tillsynsmail/A 33496-2022 tillsynsbegäran mail.docx", "A 33496-2022")</f>
        <v/>
      </c>
    </row>
    <row r="52" ht="15" customHeight="1">
      <c r="A52" t="inlineStr">
        <is>
          <t>A 39851-2023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46288</v>
      </c>
      <c r="F52" t="inlineStr">
        <is>
          <t>VÄSTERBOTTENS LÄN</t>
        </is>
      </c>
      <c r="G52" t="inlineStr">
        <is>
          <t>NORDMALING</t>
        </is>
      </c>
      <c r="I52" t="n">
        <v>2.2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39851-2023 artfynd.xlsx", "A 39851-2023")</f>
        <v/>
      </c>
      <c r="X52">
        <f>HYPERLINK("https://klasma.github.io/Logging_2401/kartor/A 39851-2023 karta.png", "A 39851-2023")</f>
        <v/>
      </c>
      <c r="Y52">
        <f>HYPERLINK("https://klasma.github.io/Logging_2401/kartor_geotiff/A 39851-2023 georefererad karta.tif", "A 39851-2023")</f>
        <v/>
      </c>
      <c r="AA52">
        <f>HYPERLINK("https://klasma.github.io/Logging_2401/klagomål/A 39851-2023 FSC-klagomål.docx", "A 39851-2023")</f>
        <v/>
      </c>
      <c r="AB52">
        <f>HYPERLINK("https://klasma.github.io/Logging_2401/klagomålsmail/A 39851-2023 FSC-klagomål mail.docx", "A 39851-2023")</f>
        <v/>
      </c>
      <c r="AC52">
        <f>HYPERLINK("https://klasma.github.io/Logging_2401/tillsyn/A 39851-2023 tillsynsbegäran.docx", "A 39851-2023")</f>
        <v/>
      </c>
      <c r="AD52">
        <f>HYPERLINK("https://klasma.github.io/Logging_2401/tillsynsmail/A 39851-2023 tillsynsbegäran mail.docx", "A 39851-2023")</f>
        <v/>
      </c>
      <c r="AE52">
        <f>HYPERLINK("https://klasma.github.io/Logging_2401/fåglar/A 39851-2023 prioriterade fågelarter.docx", "A 39851-2023")</f>
        <v/>
      </c>
    </row>
    <row r="53" ht="15" customHeight="1">
      <c r="A53" t="inlineStr">
        <is>
          <t>A 9717-2026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46072</v>
      </c>
      <c r="E53" s="1" t="n">
        <v>46288</v>
      </c>
      <c r="F53" t="inlineStr">
        <is>
          <t>VÄSTERBOTTENS LÄN</t>
        </is>
      </c>
      <c r="G53" t="inlineStr">
        <is>
          <t>NORDMALING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HYPERLINK("https://klasma.github.io/Logging_2401/artfynd/A 9717-2026 artfynd.xlsx", "A 9717-2026")</f>
        <v/>
      </c>
      <c r="X53">
        <f>HYPERLINK("https://klasma.github.io/Logging_2401/kartor/A 9717-2026 karta.png", "A 9717-2026")</f>
        <v/>
      </c>
      <c r="Y53">
        <f>HYPERLINK("https://klasma.github.io/Logging_2401/kartor_geotiff/A 9717-2026 georefererad karta.tif", "A 9717-2026")</f>
        <v/>
      </c>
      <c r="AA53">
        <f>HYPERLINK("https://klasma.github.io/Logging_2401/klagomål/A 9717-2026 FSC-klagomål.docx", "A 9717-2026")</f>
        <v/>
      </c>
      <c r="AB53">
        <f>HYPERLINK("https://klasma.github.io/Logging_2401/klagomålsmail/A 9717-2026 FSC-klagomål mail.docx", "A 9717-2026")</f>
        <v/>
      </c>
      <c r="AC53">
        <f>HYPERLINK("https://klasma.github.io/Logging_2401/tillsyn/A 9717-2026 tillsynsbegäran.docx", "A 9717-2026")</f>
        <v/>
      </c>
      <c r="AD53">
        <f>HYPERLINK("https://klasma.github.io/Logging_2401/tillsynsmail/A 9717-2026 tillsynsbegäran mail.docx", "A 9717-2026")</f>
        <v/>
      </c>
    </row>
    <row r="54" ht="15" customHeight="1">
      <c r="A54" t="inlineStr">
        <is>
          <t>A 30921-2026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46288</v>
      </c>
      <c r="F54" t="inlineStr">
        <is>
          <t>VÄSTERBOTTENS LÄN</t>
        </is>
      </c>
      <c r="G54" t="inlineStr">
        <is>
          <t>NORDMALING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HYPERLINK("https://klasma.github.io/Logging_2401/artfynd/A 30921-2026 artfynd.xlsx", "A 30921-2026")</f>
        <v/>
      </c>
      <c r="X54">
        <f>HYPERLINK("https://klasma.github.io/Logging_2401/kartor/A 30921-2026 karta.png", "A 30921-2026")</f>
        <v/>
      </c>
      <c r="Y54">
        <f>HYPERLINK("https://klasma.github.io/Logging_2401/kartor_geotiff/A 30921-2026 georefererad karta.tif", "A 30921-2026")</f>
        <v/>
      </c>
      <c r="AA54">
        <f>HYPERLINK("https://klasma.github.io/Logging_2401/klagomål/A 30921-2026 FSC-klagomål.docx", "A 30921-2026")</f>
        <v/>
      </c>
      <c r="AB54">
        <f>HYPERLINK("https://klasma.github.io/Logging_2401/klagomålsmail/A 30921-2026 FSC-klagomål mail.docx", "A 30921-2026")</f>
        <v/>
      </c>
      <c r="AC54">
        <f>HYPERLINK("https://klasma.github.io/Logging_2401/tillsyn/A 30921-2026 tillsynsbegäran.docx", "A 30921-2026")</f>
        <v/>
      </c>
      <c r="AD54">
        <f>HYPERLINK("https://klasma.github.io/Logging_2401/tillsynsmail/A 30921-2026 tillsynsbegäran mail.docx", "A 30921-2026")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46288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HYPERLINK("https://klasma.github.io/Logging_2401/artfynd/A 61149-2022 artfynd.xlsx", "A 61149-2022")</f>
        <v/>
      </c>
      <c r="X55">
        <f>HYPERLINK("https://klasma.github.io/Logging_2401/kartor/A 61149-2022 karta.png", "A 61149-2022")</f>
        <v/>
      </c>
      <c r="Y55">
        <f>HYPERLINK("https://klasma.github.io/Logging_2401/kartor_geotiff/A 61149-2022 georefererad karta.tif", "A 61149-2022")</f>
        <v/>
      </c>
      <c r="AA55">
        <f>HYPERLINK("https://klasma.github.io/Logging_2401/klagomål/A 61149-2022 FSC-klagomål.docx", "A 61149-2022")</f>
        <v/>
      </c>
      <c r="AB55">
        <f>HYPERLINK("https://klasma.github.io/Logging_2401/klagomålsmail/A 61149-2022 FSC-klagomål mail.docx", "A 61149-2022")</f>
        <v/>
      </c>
      <c r="AC55">
        <f>HYPERLINK("https://klasma.github.io/Logging_2401/tillsyn/A 61149-2022 tillsynsbegäran.docx", "A 61149-2022")</f>
        <v/>
      </c>
      <c r="AD55">
        <f>HYPERLINK("https://klasma.github.io/Logging_2401/tillsynsmail/A 61149-2022 tillsynsbegäran mail.docx", "A 61149-2022")</f>
        <v/>
      </c>
      <c r="AE55">
        <f>HYPERLINK("https://klasma.github.io/Logging_2401/fåglar/A 61149-2022 prioriterade fågelarter.docx", "A 61149-2022")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46288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46288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35292-2023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46288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Vedskivlav</t>
        </is>
      </c>
      <c r="W58">
        <f>HYPERLINK("https://klasma.github.io/Logging_2401/artfynd/A 35292-2023 artfynd.xlsx", "A 35292-2023")</f>
        <v/>
      </c>
      <c r="X58">
        <f>HYPERLINK("https://klasma.github.io/Logging_2401/kartor/A 35292-2023 karta.png", "A 35292-2023")</f>
        <v/>
      </c>
      <c r="Y58">
        <f>HYPERLINK("https://klasma.github.io/Logging_2401/kartor_geotiff/A 35292-2023 georefererad karta.tif", "A 35292-2023")</f>
        <v/>
      </c>
      <c r="AA58">
        <f>HYPERLINK("https://klasma.github.io/Logging_2401/klagomål/A 35292-2023 FSC-klagomål.docx", "A 35292-2023")</f>
        <v/>
      </c>
      <c r="AB58">
        <f>HYPERLINK("https://klasma.github.io/Logging_2401/klagomålsmail/A 35292-2023 FSC-klagomål mail.docx", "A 35292-2023")</f>
        <v/>
      </c>
      <c r="AC58">
        <f>HYPERLINK("https://klasma.github.io/Logging_2401/tillsyn/A 35292-2023 tillsynsbegäran.docx", "A 35292-2023")</f>
        <v/>
      </c>
      <c r="AD58">
        <f>HYPERLINK("https://klasma.github.io/Logging_2401/tillsynsmail/A 35292-2023 tillsynsbegäran mail.docx", "A 35292-2023")</f>
        <v/>
      </c>
    </row>
    <row r="59" ht="15" customHeight="1">
      <c r="A59" t="inlineStr">
        <is>
          <t>A 72873-2021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44547</v>
      </c>
      <c r="E59" s="1" t="n">
        <v>46288</v>
      </c>
      <c r="F59" t="inlineStr">
        <is>
          <t>VÄSTERBOTTENS LÄN</t>
        </is>
      </c>
      <c r="G59" t="inlineStr">
        <is>
          <t>NORDMALING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72873-2021 artfynd.xlsx", "A 72873-2021")</f>
        <v/>
      </c>
      <c r="X59">
        <f>HYPERLINK("https://klasma.github.io/Logging_2401/kartor/A 72873-2021 karta.png", "A 72873-2021")</f>
        <v/>
      </c>
      <c r="Y59">
        <f>HYPERLINK("https://klasma.github.io/Logging_2401/kartor_geotiff/A 72873-2021 georefererad karta.tif", "A 72873-2021")</f>
        <v/>
      </c>
      <c r="AA59">
        <f>HYPERLINK("https://klasma.github.io/Logging_2401/klagomål/A 72873-2021 FSC-klagomål.docx", "A 72873-2021")</f>
        <v/>
      </c>
      <c r="AB59">
        <f>HYPERLINK("https://klasma.github.io/Logging_2401/klagomålsmail/A 72873-2021 FSC-klagomål mail.docx", "A 72873-2021")</f>
        <v/>
      </c>
      <c r="AC59">
        <f>HYPERLINK("https://klasma.github.io/Logging_2401/tillsyn/A 72873-2021 tillsynsbegäran.docx", "A 72873-2021")</f>
        <v/>
      </c>
      <c r="AD59">
        <f>HYPERLINK("https://klasma.github.io/Logging_2401/tillsynsmail/A 72873-2021 tillsynsbegäran mail.docx", "A 72873-2021")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46288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46288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46288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46288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46288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46288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46288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46288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46288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46288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46288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46288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46288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46288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46288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46288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46288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46288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46288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46288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46288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46288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46288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46288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46288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46288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46288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46288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46288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46288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46288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46288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46288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46288</v>
      </c>
      <c r="F99" t="inlineStr">
        <is>
          <t>VÄSTERBOTTENS LÄN</t>
        </is>
      </c>
      <c r="G99" t="inlineStr">
        <is>
          <t>NORDMALING</t>
        </is>
      </c>
      <c r="H99" t="inlineStr">
        <is>
          <t>Holmen skog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46288</v>
      </c>
      <c r="F100" t="inlineStr">
        <is>
          <t>VÄSTERBOTTENS LÄN</t>
        </is>
      </c>
      <c r="G100" t="inlineStr">
        <is>
          <t>NORDMALING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46288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46288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45664</v>
      </c>
      <c r="E103" s="1" t="n">
        <v>46288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46288</v>
      </c>
      <c r="F104" t="inlineStr">
        <is>
          <t>VÄSTERBOTTENS LÄN</t>
        </is>
      </c>
      <c r="G104" t="inlineStr">
        <is>
          <t>NORDMALING</t>
        </is>
      </c>
      <c r="I104" t="n">
        <v>20.1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46288</v>
      </c>
      <c r="F105" t="inlineStr">
        <is>
          <t>VÄSTERBOTTENS LÄN</t>
        </is>
      </c>
      <c r="G105" t="inlineStr">
        <is>
          <t>NORDMALING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46288</v>
      </c>
      <c r="F106" t="inlineStr">
        <is>
          <t>VÄSTERBOTTENS LÄN</t>
        </is>
      </c>
      <c r="G106" t="inlineStr">
        <is>
          <t>NORDMALING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46288</v>
      </c>
      <c r="F107" t="inlineStr">
        <is>
          <t>VÄSTERBOTTENS LÄN</t>
        </is>
      </c>
      <c r="G107" t="inlineStr">
        <is>
          <t>NORDMALING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46288</v>
      </c>
      <c r="F108" t="inlineStr">
        <is>
          <t>VÄSTERBOTTENS LÄN</t>
        </is>
      </c>
      <c r="G108" t="inlineStr">
        <is>
          <t>NORDMALING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46288</v>
      </c>
      <c r="F109" t="inlineStr">
        <is>
          <t>VÄSTERBOTTENS LÄN</t>
        </is>
      </c>
      <c r="G109" t="inlineStr">
        <is>
          <t>NORDMALING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46288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45158</v>
      </c>
      <c r="E111" s="1" t="n">
        <v>46288</v>
      </c>
      <c r="F111" t="inlineStr">
        <is>
          <t>VÄSTERBOTTENS LÄN</t>
        </is>
      </c>
      <c r="G111" t="inlineStr">
        <is>
          <t>NORDMALING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46288</v>
      </c>
      <c r="F112" t="inlineStr">
        <is>
          <t>VÄSTERBOTTENS LÄN</t>
        </is>
      </c>
      <c r="G112" t="inlineStr">
        <is>
          <t>NORDMALING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44921</v>
      </c>
      <c r="E113" s="1" t="n">
        <v>46288</v>
      </c>
      <c r="F113" t="inlineStr">
        <is>
          <t>VÄSTERBOTTENS LÄN</t>
        </is>
      </c>
      <c r="G113" t="inlineStr">
        <is>
          <t>NORDMALING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46288</v>
      </c>
      <c r="F114" t="inlineStr">
        <is>
          <t>VÄSTERBOTTENS LÄN</t>
        </is>
      </c>
      <c r="G114" t="inlineStr">
        <is>
          <t>NORDMALING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46288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44968</v>
      </c>
      <c r="E116" s="1" t="n">
        <v>46288</v>
      </c>
      <c r="F116" t="inlineStr">
        <is>
          <t>VÄSTERBOTTENS LÄN</t>
        </is>
      </c>
      <c r="G116" t="inlineStr">
        <is>
          <t>NORDMALING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46288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46288</v>
      </c>
      <c r="F118" t="inlineStr">
        <is>
          <t>VÄSTERBOTTENS LÄN</t>
        </is>
      </c>
      <c r="G118" t="inlineStr">
        <is>
          <t>NORDMALING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46288</v>
      </c>
      <c r="F119" t="inlineStr">
        <is>
          <t>VÄSTERBOTTENS LÄN</t>
        </is>
      </c>
      <c r="G119" t="inlineStr">
        <is>
          <t>NORDMALING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46288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46288</v>
      </c>
      <c r="F121" t="inlineStr">
        <is>
          <t>VÄSTERBOTTENS LÄN</t>
        </is>
      </c>
      <c r="G121" t="inlineStr">
        <is>
          <t>NORDMALING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46288</v>
      </c>
      <c r="F122" t="inlineStr">
        <is>
          <t>VÄSTERBOTTENS LÄN</t>
        </is>
      </c>
      <c r="G122" t="inlineStr">
        <is>
          <t>NORDMALING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45343</v>
      </c>
      <c r="E123" s="1" t="n">
        <v>46288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Kommuner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30715-2022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44763</v>
      </c>
      <c r="E124" s="1" t="n">
        <v>46288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46288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46288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46288</v>
      </c>
      <c r="F127" t="inlineStr">
        <is>
          <t>VÄSTERBOTTENS LÄN</t>
        </is>
      </c>
      <c r="G127" t="inlineStr">
        <is>
          <t>NORDMALING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46288</v>
      </c>
      <c r="F128" t="inlineStr">
        <is>
          <t>VÄSTERBOTTENS LÄN</t>
        </is>
      </c>
      <c r="G128" t="inlineStr">
        <is>
          <t>NORDMALING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46288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46288</v>
      </c>
      <c r="F130" t="inlineStr">
        <is>
          <t>VÄSTERBOTTENS LÄN</t>
        </is>
      </c>
      <c r="G130" t="inlineStr">
        <is>
          <t>NORDMALING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45491</v>
      </c>
      <c r="E131" s="1" t="n">
        <v>46288</v>
      </c>
      <c r="F131" t="inlineStr">
        <is>
          <t>VÄSTERBOTTENS LÄN</t>
        </is>
      </c>
      <c r="G131" t="inlineStr">
        <is>
          <t>NORDMALING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45587</v>
      </c>
      <c r="E132" s="1" t="n">
        <v>46288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46288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46288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46288</v>
      </c>
      <c r="F135" t="inlineStr">
        <is>
          <t>VÄSTERBOTTENS LÄN</t>
        </is>
      </c>
      <c r="G135" t="inlineStr">
        <is>
          <t>NORDMALING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46288</v>
      </c>
      <c r="F136" t="inlineStr">
        <is>
          <t>VÄSTERBOTTENS LÄN</t>
        </is>
      </c>
      <c r="G136" t="inlineStr">
        <is>
          <t>NORDMALING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46288</v>
      </c>
      <c r="F137" t="inlineStr">
        <is>
          <t>VÄSTERBOTTENS LÄN</t>
        </is>
      </c>
      <c r="G137" t="inlineStr">
        <is>
          <t>NORDMALING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46288</v>
      </c>
      <c r="F138" t="inlineStr">
        <is>
          <t>VÄSTERBOTTENS LÄN</t>
        </is>
      </c>
      <c r="G138" t="inlineStr">
        <is>
          <t>NORDMALING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46288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SCA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46288</v>
      </c>
      <c r="F140" t="inlineStr">
        <is>
          <t>VÄSTERBOTTENS LÄN</t>
        </is>
      </c>
      <c r="G140" t="inlineStr">
        <is>
          <t>NORDMALING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46288</v>
      </c>
      <c r="F141" t="inlineStr">
        <is>
          <t>VÄSTERBOTTENS LÄN</t>
        </is>
      </c>
      <c r="G141" t="inlineStr">
        <is>
          <t>NORDMALING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46288</v>
      </c>
      <c r="F142" t="inlineStr">
        <is>
          <t>VÄSTERBOTTENS LÄN</t>
        </is>
      </c>
      <c r="G142" t="inlineStr">
        <is>
          <t>NORDMALING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44905</v>
      </c>
      <c r="E143" s="1" t="n">
        <v>46288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46288</v>
      </c>
      <c r="F144" t="inlineStr">
        <is>
          <t>VÄSTERBOTTENS LÄN</t>
        </is>
      </c>
      <c r="G144" t="inlineStr">
        <is>
          <t>NORDMALING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22004-2024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46288</v>
      </c>
      <c r="F145" t="inlineStr">
        <is>
          <t>VÄSTERBOTTENS LÄN</t>
        </is>
      </c>
      <c r="G145" t="inlineStr">
        <is>
          <t>NORDMALING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44949</v>
      </c>
      <c r="E146" s="1" t="n">
        <v>46288</v>
      </c>
      <c r="F146" t="inlineStr">
        <is>
          <t>VÄSTERBOTTENS LÄN</t>
        </is>
      </c>
      <c r="G146" t="inlineStr">
        <is>
          <t>NORDMALING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46288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46288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65688-2021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46288</v>
      </c>
      <c r="F149" t="inlineStr">
        <is>
          <t>VÄSTERBOTTENS LÄN</t>
        </is>
      </c>
      <c r="G149" t="inlineStr">
        <is>
          <t>NORDMALING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46288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46288</v>
      </c>
      <c r="F151" t="inlineStr">
        <is>
          <t>VÄSTERBOTTENS LÄN</t>
        </is>
      </c>
      <c r="G151" t="inlineStr">
        <is>
          <t>NORDMALING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19300-2023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45049</v>
      </c>
      <c r="E152" s="1" t="n">
        <v>46288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Kyrkan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46288</v>
      </c>
      <c r="F153" t="inlineStr">
        <is>
          <t>VÄSTERBOTTENS LÄN</t>
        </is>
      </c>
      <c r="G153" t="inlineStr">
        <is>
          <t>NORDMALING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44922</v>
      </c>
      <c r="E154" s="1" t="n">
        <v>46288</v>
      </c>
      <c r="F154" t="inlineStr">
        <is>
          <t>VÄSTERBOTTENS LÄN</t>
        </is>
      </c>
      <c r="G154" t="inlineStr">
        <is>
          <t>NORDMALING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46288</v>
      </c>
      <c r="F155" t="inlineStr">
        <is>
          <t>VÄSTERBOTTENS LÄN</t>
        </is>
      </c>
      <c r="G155" t="inlineStr">
        <is>
          <t>NORDMALING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46288</v>
      </c>
      <c r="F156" t="inlineStr">
        <is>
          <t>VÄSTERBOTTENS LÄN</t>
        </is>
      </c>
      <c r="G156" t="inlineStr">
        <is>
          <t>NORDMALING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46288</v>
      </c>
      <c r="F157" t="inlineStr">
        <is>
          <t>VÄSTERBOTTENS LÄN</t>
        </is>
      </c>
      <c r="G157" t="inlineStr">
        <is>
          <t>NORDMALING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46288</v>
      </c>
      <c r="F158" t="inlineStr">
        <is>
          <t>VÄSTERBOTTENS LÄN</t>
        </is>
      </c>
      <c r="G158" t="inlineStr">
        <is>
          <t>NORDMALING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46288</v>
      </c>
      <c r="F159" t="inlineStr">
        <is>
          <t>VÄSTERBOTTENS LÄN</t>
        </is>
      </c>
      <c r="G159" t="inlineStr">
        <is>
          <t>NORDMALING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46288</v>
      </c>
      <c r="F160" t="inlineStr">
        <is>
          <t>VÄSTERBOTTENS LÄN</t>
        </is>
      </c>
      <c r="G160" t="inlineStr">
        <is>
          <t>NORDMALING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46288</v>
      </c>
      <c r="F161" t="inlineStr">
        <is>
          <t>VÄSTERBOTTENS LÄN</t>
        </is>
      </c>
      <c r="G161" t="inlineStr">
        <is>
          <t>NORDMALING</t>
        </is>
      </c>
      <c r="I161" t="n">
        <v>10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46288</v>
      </c>
      <c r="F162" t="inlineStr">
        <is>
          <t>VÄSTERBOTTENS LÄN</t>
        </is>
      </c>
      <c r="G162" t="inlineStr">
        <is>
          <t>NORDMALING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45877</v>
      </c>
      <c r="E163" s="1" t="n">
        <v>46288</v>
      </c>
      <c r="F163" t="inlineStr">
        <is>
          <t>VÄSTERBOTTENS LÄN</t>
        </is>
      </c>
      <c r="G163" t="inlineStr">
        <is>
          <t>NORDMALING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46288</v>
      </c>
      <c r="F164" t="inlineStr">
        <is>
          <t>VÄSTERBOTTENS LÄN</t>
        </is>
      </c>
      <c r="G164" t="inlineStr">
        <is>
          <t>NORDMALING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45866</v>
      </c>
      <c r="E165" s="1" t="n">
        <v>46288</v>
      </c>
      <c r="F165" t="inlineStr">
        <is>
          <t>VÄSTERBOTTENS LÄN</t>
        </is>
      </c>
      <c r="G165" t="inlineStr">
        <is>
          <t>NORDMALING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46288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46288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46288</v>
      </c>
      <c r="F168" t="inlineStr">
        <is>
          <t>VÄSTERBOTTENS LÄN</t>
        </is>
      </c>
      <c r="G168" t="inlineStr">
        <is>
          <t>NORDMALING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46288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46288</v>
      </c>
      <c r="F170" t="inlineStr">
        <is>
          <t>VÄSTERBOTTENS LÄN</t>
        </is>
      </c>
      <c r="G170" t="inlineStr">
        <is>
          <t>NORDMALING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46288</v>
      </c>
      <c r="F171" t="inlineStr">
        <is>
          <t>VÄSTERBOTTENS LÄN</t>
        </is>
      </c>
      <c r="G171" t="inlineStr">
        <is>
          <t>NORDMALING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46288</v>
      </c>
      <c r="F172" t="inlineStr">
        <is>
          <t>VÄSTERBOTTENS LÄN</t>
        </is>
      </c>
      <c r="G172" t="inlineStr">
        <is>
          <t>NORDMALING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46288</v>
      </c>
      <c r="F173" t="inlineStr">
        <is>
          <t>VÄSTERBOTTENS LÄN</t>
        </is>
      </c>
      <c r="G173" t="inlineStr">
        <is>
          <t>NORDMALING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46288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46288</v>
      </c>
      <c r="F175" t="inlineStr">
        <is>
          <t>VÄSTERBOTTENS LÄN</t>
        </is>
      </c>
      <c r="G175" t="inlineStr">
        <is>
          <t>NORDMALING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46288</v>
      </c>
      <c r="F176" t="inlineStr">
        <is>
          <t>VÄSTERBOTTENS LÄN</t>
        </is>
      </c>
      <c r="G176" t="inlineStr">
        <is>
          <t>NORDMALING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46288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46288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46288</v>
      </c>
      <c r="F179" t="inlineStr">
        <is>
          <t>VÄSTERBOTTENS LÄN</t>
        </is>
      </c>
      <c r="G179" t="inlineStr">
        <is>
          <t>NORDMALING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45900</v>
      </c>
      <c r="E180" s="1" t="n">
        <v>46288</v>
      </c>
      <c r="F180" t="inlineStr">
        <is>
          <t>VÄSTERBOTTENS LÄN</t>
        </is>
      </c>
      <c r="G180" t="inlineStr">
        <is>
          <t>NORDMALING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46288</v>
      </c>
      <c r="F181" t="inlineStr">
        <is>
          <t>VÄSTERBOTTENS LÄN</t>
        </is>
      </c>
      <c r="G181" t="inlineStr">
        <is>
          <t>NORDMALING</t>
        </is>
      </c>
      <c r="I181" t="n">
        <v>12.5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46288</v>
      </c>
      <c r="F182" t="inlineStr">
        <is>
          <t>VÄSTERBOTTENS LÄN</t>
        </is>
      </c>
      <c r="G182" t="inlineStr">
        <is>
          <t>NORDMALING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46288</v>
      </c>
      <c r="F183" t="inlineStr">
        <is>
          <t>VÄSTERBOTTENS LÄN</t>
        </is>
      </c>
      <c r="G183" t="inlineStr">
        <is>
          <t>NORDMALING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44687</v>
      </c>
      <c r="E184" s="1" t="n">
        <v>46288</v>
      </c>
      <c r="F184" t="inlineStr">
        <is>
          <t>VÄSTERBOTTENS LÄN</t>
        </is>
      </c>
      <c r="G184" t="inlineStr">
        <is>
          <t>NORDMALING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46288</v>
      </c>
      <c r="F185" t="inlineStr">
        <is>
          <t>VÄSTERBOTTENS LÄN</t>
        </is>
      </c>
      <c r="G185" t="inlineStr">
        <is>
          <t>NORDMALING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46288</v>
      </c>
      <c r="F186" t="inlineStr">
        <is>
          <t>VÄSTERBOTTENS LÄN</t>
        </is>
      </c>
      <c r="G186" t="inlineStr">
        <is>
          <t>NORDMALING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46288</v>
      </c>
      <c r="F187" t="inlineStr">
        <is>
          <t>VÄSTERBOTTENS LÄN</t>
        </is>
      </c>
      <c r="G187" t="inlineStr">
        <is>
          <t>NORDMALING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45126</v>
      </c>
      <c r="E188" s="1" t="n">
        <v>46288</v>
      </c>
      <c r="F188" t="inlineStr">
        <is>
          <t>VÄSTERBOTTENS LÄN</t>
        </is>
      </c>
      <c r="G188" t="inlineStr">
        <is>
          <t>NORDMALING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44547</v>
      </c>
      <c r="E189" s="1" t="n">
        <v>46288</v>
      </c>
      <c r="F189" t="inlineStr">
        <is>
          <t>VÄSTERBOTTENS LÄN</t>
        </is>
      </c>
      <c r="G189" t="inlineStr">
        <is>
          <t>NORDMALING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46288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46288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46288</v>
      </c>
      <c r="F192" t="inlineStr">
        <is>
          <t>VÄSTERBOTTENS LÄN</t>
        </is>
      </c>
      <c r="G192" t="inlineStr">
        <is>
          <t>NORDMALING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45770</v>
      </c>
      <c r="E193" s="1" t="n">
        <v>46288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46288</v>
      </c>
      <c r="F194" t="inlineStr">
        <is>
          <t>VÄSTERBOTTENS LÄN</t>
        </is>
      </c>
      <c r="G194" t="inlineStr">
        <is>
          <t>NORDMALING</t>
        </is>
      </c>
      <c r="I194" t="n">
        <v>16.1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46288</v>
      </c>
      <c r="F195" t="inlineStr">
        <is>
          <t>VÄSTERBOTTENS LÄN</t>
        </is>
      </c>
      <c r="G195" t="inlineStr">
        <is>
          <t>NORDMALING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44540</v>
      </c>
      <c r="E196" s="1" t="n">
        <v>46288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46288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46288</v>
      </c>
      <c r="F198" t="inlineStr">
        <is>
          <t>VÄSTERBOTTENS LÄN</t>
        </is>
      </c>
      <c r="G198" t="inlineStr">
        <is>
          <t>NORDMALING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46288</v>
      </c>
      <c r="F199" t="inlineStr">
        <is>
          <t>VÄSTERBOTTENS LÄN</t>
        </is>
      </c>
      <c r="G199" t="inlineStr">
        <is>
          <t>NORDMALING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46288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46288</v>
      </c>
      <c r="F201" t="inlineStr">
        <is>
          <t>VÄSTERBOTTENS LÄN</t>
        </is>
      </c>
      <c r="G201" t="inlineStr">
        <is>
          <t>NORDMALING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46288</v>
      </c>
      <c r="F202" t="inlineStr">
        <is>
          <t>VÄSTERBOTTENS LÄN</t>
        </is>
      </c>
      <c r="G202" t="inlineStr">
        <is>
          <t>NORDMALING</t>
        </is>
      </c>
      <c r="I202" t="n">
        <v>11.1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46288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46288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46288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46288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46288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46288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46288</v>
      </c>
      <c r="F209" t="inlineStr">
        <is>
          <t>VÄSTERBOTTENS LÄN</t>
        </is>
      </c>
      <c r="G209" t="inlineStr">
        <is>
          <t>NORDMALING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46288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46288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46288</v>
      </c>
      <c r="F212" t="inlineStr">
        <is>
          <t>VÄSTERBOTTENS LÄN</t>
        </is>
      </c>
      <c r="G212" t="inlineStr">
        <is>
          <t>NORDMALING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46288</v>
      </c>
      <c r="F213" t="inlineStr">
        <is>
          <t>VÄSTERBOTTENS LÄN</t>
        </is>
      </c>
      <c r="G213" t="inlineStr">
        <is>
          <t>NORDMALING</t>
        </is>
      </c>
      <c r="I213" t="n">
        <v>14.8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46288</v>
      </c>
      <c r="F214" t="inlineStr">
        <is>
          <t>VÄSTERBOTTENS LÄN</t>
        </is>
      </c>
      <c r="G214" t="inlineStr">
        <is>
          <t>NORDMALING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46288</v>
      </c>
      <c r="F215" t="inlineStr">
        <is>
          <t>VÄSTERBOTTENS LÄN</t>
        </is>
      </c>
      <c r="G215" t="inlineStr">
        <is>
          <t>NORDMALING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44834</v>
      </c>
      <c r="E216" s="1" t="n">
        <v>46288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Holmen skog AB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46288</v>
      </c>
      <c r="F217" t="inlineStr">
        <is>
          <t>VÄSTERBOTTENS LÄN</t>
        </is>
      </c>
      <c r="G217" t="inlineStr">
        <is>
          <t>NORDMALING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46288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45638</v>
      </c>
      <c r="E219" s="1" t="n">
        <v>46288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46151</v>
      </c>
      <c r="E220" s="1" t="n">
        <v>46288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46151</v>
      </c>
      <c r="E221" s="1" t="n">
        <v>46288</v>
      </c>
      <c r="F221" t="inlineStr">
        <is>
          <t>VÄSTERBOTTENS LÄN</t>
        </is>
      </c>
      <c r="G221" t="inlineStr">
        <is>
          <t>NORDMALING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45536</v>
      </c>
      <c r="E222" s="1" t="n">
        <v>46288</v>
      </c>
      <c r="F222" t="inlineStr">
        <is>
          <t>VÄSTERBOTTENS LÄN</t>
        </is>
      </c>
      <c r="G222" t="inlineStr">
        <is>
          <t>NORDMALING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46155</v>
      </c>
      <c r="E223" s="1" t="n">
        <v>46288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46288</v>
      </c>
      <c r="F224" t="inlineStr">
        <is>
          <t>VÄSTERBOTTENS LÄN</t>
        </is>
      </c>
      <c r="G224" t="inlineStr">
        <is>
          <t>NORDMALING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46288</v>
      </c>
      <c r="F225" t="inlineStr">
        <is>
          <t>VÄSTERBOTTENS LÄN</t>
        </is>
      </c>
      <c r="G225" t="inlineStr">
        <is>
          <t>NORDMALING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46155</v>
      </c>
      <c r="E226" s="1" t="n">
        <v>46288</v>
      </c>
      <c r="F226" t="inlineStr">
        <is>
          <t>VÄSTERBOTTENS LÄN</t>
        </is>
      </c>
      <c r="G226" t="inlineStr">
        <is>
          <t>NORDMALING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46288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46288</v>
      </c>
      <c r="F228" t="inlineStr">
        <is>
          <t>VÄSTERBOTTENS LÄN</t>
        </is>
      </c>
      <c r="G228" t="inlineStr">
        <is>
          <t>NORDMALING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46288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69519-2021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46288</v>
      </c>
      <c r="F230" t="inlineStr">
        <is>
          <t>VÄSTERBOTTENS LÄN</t>
        </is>
      </c>
      <c r="G230" t="inlineStr">
        <is>
          <t>NORDMALING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46288</v>
      </c>
      <c r="F231" t="inlineStr">
        <is>
          <t>VÄSTERBOTTENS LÄN</t>
        </is>
      </c>
      <c r="G231" t="inlineStr">
        <is>
          <t>NORDMALING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46288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34176-2023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46288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46288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46288</v>
      </c>
      <c r="F235" t="inlineStr">
        <is>
          <t>VÄSTERBOTTENS LÄN</t>
        </is>
      </c>
      <c r="G235" t="inlineStr">
        <is>
          <t>NORDMALING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46288</v>
      </c>
      <c r="F236" t="inlineStr">
        <is>
          <t>VÄSTERBOTTENS LÄN</t>
        </is>
      </c>
      <c r="G236" t="inlineStr">
        <is>
          <t>NORDMALING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61795-2023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45265</v>
      </c>
      <c r="E237" s="1" t="n">
        <v>46288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46288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46161</v>
      </c>
      <c r="E239" s="1" t="n">
        <v>46288</v>
      </c>
      <c r="F239" t="inlineStr">
        <is>
          <t>VÄSTERBOTTENS LÄN</t>
        </is>
      </c>
      <c r="G239" t="inlineStr">
        <is>
          <t>NORDMALING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23005-2026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46160</v>
      </c>
      <c r="E240" s="1" t="n">
        <v>46288</v>
      </c>
      <c r="F240" t="inlineStr">
        <is>
          <t>VÄSTERBOTTENS LÄN</t>
        </is>
      </c>
      <c r="G240" t="inlineStr">
        <is>
          <t>NORDMALING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46160</v>
      </c>
      <c r="E241" s="1" t="n">
        <v>46288</v>
      </c>
      <c r="F241" t="inlineStr">
        <is>
          <t>VÄSTERBOTTENS LÄN</t>
        </is>
      </c>
      <c r="G241" t="inlineStr">
        <is>
          <t>NORDMALING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61793-2023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45265</v>
      </c>
      <c r="E242" s="1" t="n">
        <v>46288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46288</v>
      </c>
      <c r="F243" t="inlineStr">
        <is>
          <t>VÄSTERBOTTENS LÄN</t>
        </is>
      </c>
      <c r="G243" t="inlineStr">
        <is>
          <t>NORDMALING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46161</v>
      </c>
      <c r="E244" s="1" t="n">
        <v>46288</v>
      </c>
      <c r="F244" t="inlineStr">
        <is>
          <t>VÄSTERBOTTENS LÄN</t>
        </is>
      </c>
      <c r="G244" t="inlineStr">
        <is>
          <t>NORDMALING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46161</v>
      </c>
      <c r="E245" s="1" t="n">
        <v>46288</v>
      </c>
      <c r="F245" t="inlineStr">
        <is>
          <t>VÄSTERBOTTENS LÄN</t>
        </is>
      </c>
      <c r="G245" t="inlineStr">
        <is>
          <t>NORDMALING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46161</v>
      </c>
      <c r="E246" s="1" t="n">
        <v>46288</v>
      </c>
      <c r="F246" t="inlineStr">
        <is>
          <t>VÄSTERBOTTENS LÄN</t>
        </is>
      </c>
      <c r="G246" t="inlineStr">
        <is>
          <t>NORDMALING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45102</v>
      </c>
      <c r="E247" s="1" t="n">
        <v>46288</v>
      </c>
      <c r="F247" t="inlineStr">
        <is>
          <t>VÄSTERBOTTENS LÄN</t>
        </is>
      </c>
      <c r="G247" t="inlineStr">
        <is>
          <t>NORDMALING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46288</v>
      </c>
      <c r="F248" t="inlineStr">
        <is>
          <t>VÄSTERBOTTENS LÄN</t>
        </is>
      </c>
      <c r="G248" t="inlineStr">
        <is>
          <t>NORDMALING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46288</v>
      </c>
      <c r="F249" t="inlineStr">
        <is>
          <t>VÄSTERBOTTENS LÄN</t>
        </is>
      </c>
      <c r="G249" t="inlineStr">
        <is>
          <t>NORDMALING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46288</v>
      </c>
      <c r="F250" t="inlineStr">
        <is>
          <t>VÄSTERBOTTENS LÄN</t>
        </is>
      </c>
      <c r="G250" t="inlineStr">
        <is>
          <t>NORDMALING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46288</v>
      </c>
      <c r="F251" t="inlineStr">
        <is>
          <t>VÄSTERBOTTENS LÄN</t>
        </is>
      </c>
      <c r="G251" t="inlineStr">
        <is>
          <t>NORDMALING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46288</v>
      </c>
      <c r="F252" t="inlineStr">
        <is>
          <t>VÄSTERBOTTENS LÄN</t>
        </is>
      </c>
      <c r="G252" t="inlineStr">
        <is>
          <t>NORDMALING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46288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45962</v>
      </c>
      <c r="E254" s="1" t="n">
        <v>46288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46288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46288</v>
      </c>
      <c r="F256" t="inlineStr">
        <is>
          <t>VÄSTERBOTTENS LÄN</t>
        </is>
      </c>
      <c r="G256" t="inlineStr">
        <is>
          <t>NORDMALING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46288</v>
      </c>
      <c r="F257" t="inlineStr">
        <is>
          <t>VÄSTERBOTTENS LÄN</t>
        </is>
      </c>
      <c r="G257" t="inlineStr">
        <is>
          <t>NORDMALING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46162</v>
      </c>
      <c r="E258" s="1" t="n">
        <v>46288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46288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46288</v>
      </c>
      <c r="F260" t="inlineStr">
        <is>
          <t>VÄSTERBOTTENS LÄN</t>
        </is>
      </c>
      <c r="G260" t="inlineStr">
        <is>
          <t>NORDMALING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46288</v>
      </c>
      <c r="F261" t="inlineStr">
        <is>
          <t>VÄSTERBOTTENS LÄN</t>
        </is>
      </c>
      <c r="G261" t="inlineStr">
        <is>
          <t>NORDMALING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46288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46288</v>
      </c>
      <c r="F263" t="inlineStr">
        <is>
          <t>VÄSTERBOTTENS LÄN</t>
        </is>
      </c>
      <c r="G263" t="inlineStr">
        <is>
          <t>NORDMALING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46288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46288</v>
      </c>
      <c r="F265" t="inlineStr">
        <is>
          <t>VÄSTERBOTTENS LÄN</t>
        </is>
      </c>
      <c r="G265" t="inlineStr">
        <is>
          <t>NORDMALING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46288</v>
      </c>
      <c r="F266" t="inlineStr">
        <is>
          <t>VÄSTERBOTTENS LÄN</t>
        </is>
      </c>
      <c r="G266" t="inlineStr">
        <is>
          <t>NORDMALING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46288</v>
      </c>
      <c r="F267" t="inlineStr">
        <is>
          <t>VÄSTERBOTTENS LÄN</t>
        </is>
      </c>
      <c r="G267" t="inlineStr">
        <is>
          <t>NORDMALING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46288</v>
      </c>
      <c r="F268" t="inlineStr">
        <is>
          <t>VÄSTERBOTTENS LÄN</t>
        </is>
      </c>
      <c r="G268" t="inlineStr">
        <is>
          <t>NORDMALING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46288</v>
      </c>
      <c r="F269" t="inlineStr">
        <is>
          <t>VÄSTERBOTTENS LÄN</t>
        </is>
      </c>
      <c r="G269" t="inlineStr">
        <is>
          <t>NORDMALING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46288</v>
      </c>
      <c r="F270" t="inlineStr">
        <is>
          <t>VÄSTERBOTTENS LÄN</t>
        </is>
      </c>
      <c r="G270" t="inlineStr">
        <is>
          <t>NORDMALING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46288</v>
      </c>
      <c r="F271" t="inlineStr">
        <is>
          <t>VÄSTERBOTTENS LÄN</t>
        </is>
      </c>
      <c r="G271" t="inlineStr">
        <is>
          <t>NORDMALING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46288</v>
      </c>
      <c r="F272" t="inlineStr">
        <is>
          <t>VÄSTERBOTTENS LÄN</t>
        </is>
      </c>
      <c r="G272" t="inlineStr">
        <is>
          <t>NORDMALING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46288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46288</v>
      </c>
      <c r="F274" t="inlineStr">
        <is>
          <t>VÄSTERBOTTENS LÄN</t>
        </is>
      </c>
      <c r="G274" t="inlineStr">
        <is>
          <t>NORDMALING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46288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24850-2023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45078</v>
      </c>
      <c r="E276" s="1" t="n">
        <v>46288</v>
      </c>
      <c r="F276" t="inlineStr">
        <is>
          <t>VÄSTERBOTTENS LÄN</t>
        </is>
      </c>
      <c r="G276" t="inlineStr">
        <is>
          <t>NORDMALING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45982</v>
      </c>
      <c r="E277" s="1" t="n">
        <v>46288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46288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46288</v>
      </c>
      <c r="F279" t="inlineStr">
        <is>
          <t>VÄSTERBOTTENS LÄN</t>
        </is>
      </c>
      <c r="G279" t="inlineStr">
        <is>
          <t>NORDMALING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46288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45525</v>
      </c>
      <c r="E281" s="1" t="n">
        <v>46288</v>
      </c>
      <c r="F281" t="inlineStr">
        <is>
          <t>VÄSTERBOTTENS LÄN</t>
        </is>
      </c>
      <c r="G281" t="inlineStr">
        <is>
          <t>NORDMALING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45021</v>
      </c>
      <c r="E282" s="1" t="n">
        <v>46288</v>
      </c>
      <c r="F282" t="inlineStr">
        <is>
          <t>VÄSTERBOTTENS LÄN</t>
        </is>
      </c>
      <c r="G282" t="inlineStr">
        <is>
          <t>NORDMALING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46288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46288</v>
      </c>
      <c r="F284" t="inlineStr">
        <is>
          <t>VÄSTERBOTTENS LÄN</t>
        </is>
      </c>
      <c r="G284" t="inlineStr">
        <is>
          <t>NORDMALING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46288</v>
      </c>
      <c r="F285" t="inlineStr">
        <is>
          <t>VÄSTERBOTTENS LÄN</t>
        </is>
      </c>
      <c r="G285" t="inlineStr">
        <is>
          <t>NORDMALING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25214-2026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46171</v>
      </c>
      <c r="E286" s="1" t="n">
        <v>46288</v>
      </c>
      <c r="F286" t="inlineStr">
        <is>
          <t>VÄSTERBOTTENS LÄN</t>
        </is>
      </c>
      <c r="G286" t="inlineStr">
        <is>
          <t>NORDMALING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46288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46288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46288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46288</v>
      </c>
      <c r="F290" t="inlineStr">
        <is>
          <t>VÄSTERBOTTENS LÄN</t>
        </is>
      </c>
      <c r="G290" t="inlineStr">
        <is>
          <t>NORDMALING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46288</v>
      </c>
      <c r="F291" t="inlineStr">
        <is>
          <t>VÄSTERBOTTENS LÄN</t>
        </is>
      </c>
      <c r="G291" t="inlineStr">
        <is>
          <t>NORDMALING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46288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60113-2025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45994</v>
      </c>
      <c r="E293" s="1" t="n">
        <v>46288</v>
      </c>
      <c r="F293" t="inlineStr">
        <is>
          <t>VÄSTERBOTTENS LÄN</t>
        </is>
      </c>
      <c r="G293" t="inlineStr">
        <is>
          <t>NORDMALING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46288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46288</v>
      </c>
      <c r="F295" t="inlineStr">
        <is>
          <t>VÄSTERBOTTENS LÄN</t>
        </is>
      </c>
      <c r="G295" t="inlineStr">
        <is>
          <t>NORDMALING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46288</v>
      </c>
      <c r="F296" t="inlineStr">
        <is>
          <t>VÄSTERBOTTENS LÄN</t>
        </is>
      </c>
      <c r="G296" t="inlineStr">
        <is>
          <t>NORDMALING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46288</v>
      </c>
      <c r="F297" t="inlineStr">
        <is>
          <t>VÄSTERBOTTENS LÄN</t>
        </is>
      </c>
      <c r="G297" t="inlineStr">
        <is>
          <t>NORDMALING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46288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46288</v>
      </c>
      <c r="F299" t="inlineStr">
        <is>
          <t>VÄSTERBOTTENS LÄN</t>
        </is>
      </c>
      <c r="G299" t="inlineStr">
        <is>
          <t>NORDMALING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46288</v>
      </c>
      <c r="F300" t="inlineStr">
        <is>
          <t>VÄSTERBOTTENS LÄN</t>
        </is>
      </c>
      <c r="G300" t="inlineStr">
        <is>
          <t>NORDMALING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46288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46288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46288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45158</v>
      </c>
      <c r="E304" s="1" t="n">
        <v>46288</v>
      </c>
      <c r="F304" t="inlineStr">
        <is>
          <t>VÄSTERBOTTENS LÄN</t>
        </is>
      </c>
      <c r="G304" t="inlineStr">
        <is>
          <t>NORDMALING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46288</v>
      </c>
      <c r="F305" t="inlineStr">
        <is>
          <t>VÄSTERBOTTENS LÄN</t>
        </is>
      </c>
      <c r="G305" t="inlineStr">
        <is>
          <t>NORDMALING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46288</v>
      </c>
      <c r="F306" t="inlineStr">
        <is>
          <t>VÄSTERBOTTENS LÄN</t>
        </is>
      </c>
      <c r="G306" t="inlineStr">
        <is>
          <t>NORDMALING</t>
        </is>
      </c>
      <c r="I306" t="n">
        <v>11.3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46288</v>
      </c>
      <c r="F307" t="inlineStr">
        <is>
          <t>VÄSTERBOTTENS LÄN</t>
        </is>
      </c>
      <c r="G307" t="inlineStr">
        <is>
          <t>NORDMALING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46288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46288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Holmen skog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46288</v>
      </c>
      <c r="F310" t="inlineStr">
        <is>
          <t>VÄSTERBOTTENS LÄN</t>
        </is>
      </c>
      <c r="G310" t="inlineStr">
        <is>
          <t>NORDMALING</t>
        </is>
      </c>
      <c r="I310" t="n">
        <v>11.6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46288</v>
      </c>
      <c r="F311" t="inlineStr">
        <is>
          <t>VÄSTERBOTTENS LÄN</t>
        </is>
      </c>
      <c r="G311" t="inlineStr">
        <is>
          <t>NORDMALING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45433</v>
      </c>
      <c r="E312" s="1" t="n">
        <v>46288</v>
      </c>
      <c r="F312" t="inlineStr">
        <is>
          <t>VÄSTERBOTTENS LÄN</t>
        </is>
      </c>
      <c r="G312" t="inlineStr">
        <is>
          <t>NORDMALING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46288</v>
      </c>
      <c r="F313" t="inlineStr">
        <is>
          <t>VÄSTERBOTTENS LÄN</t>
        </is>
      </c>
      <c r="G313" t="inlineStr">
        <is>
          <t>NORDMALING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46288</v>
      </c>
      <c r="F314" t="inlineStr">
        <is>
          <t>VÄSTERBOTTENS LÄN</t>
        </is>
      </c>
      <c r="G314" t="inlineStr">
        <is>
          <t>NORDMALING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46288</v>
      </c>
      <c r="F315" t="inlineStr">
        <is>
          <t>VÄSTERBOTTENS LÄN</t>
        </is>
      </c>
      <c r="G315" t="inlineStr">
        <is>
          <t>NORDMALING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46288</v>
      </c>
      <c r="F316" t="inlineStr">
        <is>
          <t>VÄSTERBOTTENS LÄN</t>
        </is>
      </c>
      <c r="G316" t="inlineStr">
        <is>
          <t>NORDMALING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46288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48940-2022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44859</v>
      </c>
      <c r="E318" s="1" t="n">
        <v>46288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46288</v>
      </c>
      <c r="F319" t="inlineStr">
        <is>
          <t>VÄSTERBOTTENS LÄN</t>
        </is>
      </c>
      <c r="G319" t="inlineStr">
        <is>
          <t>NORDMALING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46288</v>
      </c>
      <c r="F320" t="inlineStr">
        <is>
          <t>VÄSTERBOTTENS LÄN</t>
        </is>
      </c>
      <c r="G320" t="inlineStr">
        <is>
          <t>NORDMALING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46288</v>
      </c>
      <c r="F321" t="inlineStr">
        <is>
          <t>VÄSTERBOTTENS LÄN</t>
        </is>
      </c>
      <c r="G321" t="inlineStr">
        <is>
          <t>NORDMALING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46288</v>
      </c>
      <c r="F322" t="inlineStr">
        <is>
          <t>VÄSTERBOTTENS LÄN</t>
        </is>
      </c>
      <c r="G322" t="inlineStr">
        <is>
          <t>NORDMALING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46288</v>
      </c>
      <c r="F323" t="inlineStr">
        <is>
          <t>VÄSTERBOTTENS LÄN</t>
        </is>
      </c>
      <c r="G323" t="inlineStr">
        <is>
          <t>NORDMALING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46288</v>
      </c>
      <c r="F324" t="inlineStr">
        <is>
          <t>VÄSTERBOTTENS LÄN</t>
        </is>
      </c>
      <c r="G324" t="inlineStr">
        <is>
          <t>NORDMALING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46288</v>
      </c>
      <c r="F325" t="inlineStr">
        <is>
          <t>VÄSTERBOTTENS LÄN</t>
        </is>
      </c>
      <c r="G325" t="inlineStr">
        <is>
          <t>NORDMALING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35803-2023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45147</v>
      </c>
      <c r="E326" s="1" t="n">
        <v>46288</v>
      </c>
      <c r="F326" t="inlineStr">
        <is>
          <t>VÄSTERBOTTENS LÄN</t>
        </is>
      </c>
      <c r="G326" t="inlineStr">
        <is>
          <t>NORDMALING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46288</v>
      </c>
      <c r="F327" t="inlineStr">
        <is>
          <t>VÄSTERBOTTENS LÄN</t>
        </is>
      </c>
      <c r="G327" t="inlineStr">
        <is>
          <t>NORDMALING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46288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46288</v>
      </c>
      <c r="F329" t="inlineStr">
        <is>
          <t>VÄSTERBOTTENS LÄN</t>
        </is>
      </c>
      <c r="G329" t="inlineStr">
        <is>
          <t>NORDMALING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46288</v>
      </c>
      <c r="F330" t="inlineStr">
        <is>
          <t>VÄSTERBOTTENS LÄN</t>
        </is>
      </c>
      <c r="G330" t="inlineStr">
        <is>
          <t>NORDMALING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46020</v>
      </c>
      <c r="E331" s="1" t="n">
        <v>46288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46018</v>
      </c>
      <c r="E332" s="1" t="n">
        <v>46288</v>
      </c>
      <c r="F332" t="inlineStr">
        <is>
          <t>VÄSTERBOTTENS LÄN</t>
        </is>
      </c>
      <c r="G332" t="inlineStr">
        <is>
          <t>NORDMALING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63755-2025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46018</v>
      </c>
      <c r="E333" s="1" t="n">
        <v>46288</v>
      </c>
      <c r="F333" t="inlineStr">
        <is>
          <t>VÄSTERBOTTENS LÄN</t>
        </is>
      </c>
      <c r="G333" t="inlineStr">
        <is>
          <t>NORDMALING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46022</v>
      </c>
      <c r="E334" s="1" t="n">
        <v>46288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46288</v>
      </c>
      <c r="F335" t="inlineStr">
        <is>
          <t>VÄSTERBOTTENS LÄN</t>
        </is>
      </c>
      <c r="G335" t="inlineStr">
        <is>
          <t>NORDMALING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8103-2025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45707</v>
      </c>
      <c r="E336" s="1" t="n">
        <v>46288</v>
      </c>
      <c r="F336" t="inlineStr">
        <is>
          <t>VÄSTERBOTTENS LÄN</t>
        </is>
      </c>
      <c r="G336" t="inlineStr">
        <is>
          <t>NORDMALING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46288</v>
      </c>
      <c r="F337" t="inlineStr">
        <is>
          <t>VÄSTERBOTTENS LÄN</t>
        </is>
      </c>
      <c r="G337" t="inlineStr">
        <is>
          <t>NORDMALING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46288</v>
      </c>
      <c r="F338" t="inlineStr">
        <is>
          <t>VÄSTERBOTTENS LÄN</t>
        </is>
      </c>
      <c r="G338" t="inlineStr">
        <is>
          <t>NORDMALING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59348-2024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45638</v>
      </c>
      <c r="E339" s="1" t="n">
        <v>46288</v>
      </c>
      <c r="F339" t="inlineStr">
        <is>
          <t>VÄSTERBOTTENS LÄN</t>
        </is>
      </c>
      <c r="G339" t="inlineStr">
        <is>
          <t>NORDMALING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46028</v>
      </c>
      <c r="E340" s="1" t="n">
        <v>46288</v>
      </c>
      <c r="F340" t="inlineStr">
        <is>
          <t>VÄSTERBOTTENS LÄN</t>
        </is>
      </c>
      <c r="G340" t="inlineStr">
        <is>
          <t>NORDMALING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36814-2024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45538</v>
      </c>
      <c r="E341" s="1" t="n">
        <v>46288</v>
      </c>
      <c r="F341" t="inlineStr">
        <is>
          <t>VÄSTERBOTTENS LÄN</t>
        </is>
      </c>
      <c r="G341" t="inlineStr">
        <is>
          <t>NORDMALING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46288</v>
      </c>
      <c r="F342" t="inlineStr">
        <is>
          <t>VÄSTERBOTTENS LÄN</t>
        </is>
      </c>
      <c r="G342" t="inlineStr">
        <is>
          <t>NORDMALING</t>
        </is>
      </c>
      <c r="I342" t="n">
        <v>8.9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44993</v>
      </c>
      <c r="E343" s="1" t="n">
        <v>46288</v>
      </c>
      <c r="F343" t="inlineStr">
        <is>
          <t>VÄSTERBOTTENS LÄN</t>
        </is>
      </c>
      <c r="G343" t="inlineStr">
        <is>
          <t>NORDMALING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26796-2026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46185</v>
      </c>
      <c r="E344" s="1" t="n">
        <v>46288</v>
      </c>
      <c r="F344" t="inlineStr">
        <is>
          <t>VÄSTERBOTTENS LÄN</t>
        </is>
      </c>
      <c r="G344" t="inlineStr">
        <is>
          <t>NORDMALING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46032</v>
      </c>
      <c r="E345" s="1" t="n">
        <v>46288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46288</v>
      </c>
      <c r="F346" t="inlineStr">
        <is>
          <t>VÄSTERBOTTENS LÄN</t>
        </is>
      </c>
      <c r="G346" t="inlineStr">
        <is>
          <t>NORDMALING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46288</v>
      </c>
      <c r="F347" t="inlineStr">
        <is>
          <t>VÄSTERBOTTENS LÄN</t>
        </is>
      </c>
      <c r="G347" t="inlineStr">
        <is>
          <t>NORDMALING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46288</v>
      </c>
      <c r="F348" t="inlineStr">
        <is>
          <t>VÄSTERBOTTENS LÄN</t>
        </is>
      </c>
      <c r="G348" t="inlineStr">
        <is>
          <t>NORDMALING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54784-2021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44473</v>
      </c>
      <c r="E349" s="1" t="n">
        <v>46288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46288</v>
      </c>
      <c r="F350" t="inlineStr">
        <is>
          <t>VÄSTERBOTTENS LÄN</t>
        </is>
      </c>
      <c r="G350" t="inlineStr">
        <is>
          <t>NORDMALING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46288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45419</v>
      </c>
      <c r="E352" s="1" t="n">
        <v>46288</v>
      </c>
      <c r="F352" t="inlineStr">
        <is>
          <t>VÄSTERBOTTENS LÄN</t>
        </is>
      </c>
      <c r="G352" t="inlineStr">
        <is>
          <t>NORDMALING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46288</v>
      </c>
      <c r="F353" t="inlineStr">
        <is>
          <t>VÄSTERBOTTENS LÄN</t>
        </is>
      </c>
      <c r="G353" t="inlineStr">
        <is>
          <t>NORDMALING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46288</v>
      </c>
      <c r="F354" t="inlineStr">
        <is>
          <t>VÄSTERBOTTENS LÄN</t>
        </is>
      </c>
      <c r="G354" t="inlineStr">
        <is>
          <t>NORDMALING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45503</v>
      </c>
      <c r="E355" s="1" t="n">
        <v>46288</v>
      </c>
      <c r="F355" t="inlineStr">
        <is>
          <t>VÄSTERBOTTENS LÄN</t>
        </is>
      </c>
      <c r="G355" t="inlineStr">
        <is>
          <t>NORDMALING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46288</v>
      </c>
      <c r="F356" t="inlineStr">
        <is>
          <t>VÄSTERBOTTENS LÄN</t>
        </is>
      </c>
      <c r="G356" t="inlineStr">
        <is>
          <t>NORDMALING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46288</v>
      </c>
      <c r="F357" t="inlineStr">
        <is>
          <t>VÄSTERBOTTENS LÄN</t>
        </is>
      </c>
      <c r="G357" t="inlineStr">
        <is>
          <t>NORDMALING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46288</v>
      </c>
      <c r="F358" t="inlineStr">
        <is>
          <t>VÄSTERBOTTENS LÄN</t>
        </is>
      </c>
      <c r="G358" t="inlineStr">
        <is>
          <t>NORDMALING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46288</v>
      </c>
      <c r="F359" t="inlineStr">
        <is>
          <t>VÄSTERBOTTENS LÄN</t>
        </is>
      </c>
      <c r="G359" t="inlineStr">
        <is>
          <t>NORDMALING</t>
        </is>
      </c>
      <c r="I359" t="n">
        <v>22.4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46288</v>
      </c>
      <c r="F360" t="inlineStr">
        <is>
          <t>VÄSTERBOTTENS LÄN</t>
        </is>
      </c>
      <c r="G360" t="inlineStr">
        <is>
          <t>NORDMALING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4898-2026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46048</v>
      </c>
      <c r="E361" s="1" t="n">
        <v>46288</v>
      </c>
      <c r="F361" t="inlineStr">
        <is>
          <t>VÄSTERBOTTENS LÄN</t>
        </is>
      </c>
      <c r="G361" t="inlineStr">
        <is>
          <t>NORDMALING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45586</v>
      </c>
      <c r="E362" s="1" t="n">
        <v>46288</v>
      </c>
      <c r="F362" t="inlineStr">
        <is>
          <t>VÄSTERBOTTENS LÄN</t>
        </is>
      </c>
      <c r="G362" t="inlineStr">
        <is>
          <t>NORDMALING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46288</v>
      </c>
      <c r="F363" t="inlineStr">
        <is>
          <t>VÄSTERBOTTENS LÄN</t>
        </is>
      </c>
      <c r="G363" t="inlineStr">
        <is>
          <t>NORDMALING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46288</v>
      </c>
      <c r="F364" t="inlineStr">
        <is>
          <t>VÄSTERBOTTENS LÄN</t>
        </is>
      </c>
      <c r="G364" t="inlineStr">
        <is>
          <t>NORDMALING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45021</v>
      </c>
      <c r="E365" s="1" t="n">
        <v>46288</v>
      </c>
      <c r="F365" t="inlineStr">
        <is>
          <t>VÄSTERBOTTENS LÄN</t>
        </is>
      </c>
      <c r="G365" t="inlineStr">
        <is>
          <t>NORDMALING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17462-2023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46288</v>
      </c>
      <c r="F366" t="inlineStr">
        <is>
          <t>VÄSTERBOTTENS LÄN</t>
        </is>
      </c>
      <c r="G366" t="inlineStr">
        <is>
          <t>NORDMALING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64498-2023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45280</v>
      </c>
      <c r="E367" s="1" t="n">
        <v>46288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46288</v>
      </c>
      <c r="F368" t="inlineStr">
        <is>
          <t>VÄSTERBOTTENS LÄN</t>
        </is>
      </c>
      <c r="G368" t="inlineStr">
        <is>
          <t>NORDMALING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46288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46288</v>
      </c>
      <c r="F370" t="inlineStr">
        <is>
          <t>VÄSTERBOTTENS LÄN</t>
        </is>
      </c>
      <c r="G370" t="inlineStr">
        <is>
          <t>NORDMALING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24415-2024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45457</v>
      </c>
      <c r="E371" s="1" t="n">
        <v>46288</v>
      </c>
      <c r="F371" t="inlineStr">
        <is>
          <t>VÄSTERBOTTENS LÄN</t>
        </is>
      </c>
      <c r="G371" t="inlineStr">
        <is>
          <t>NORDMALING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46288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46288</v>
      </c>
      <c r="F373" t="inlineStr">
        <is>
          <t>VÄSTERBOTTENS LÄN</t>
        </is>
      </c>
      <c r="G373" t="inlineStr">
        <is>
          <t>NORDMALING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46288</v>
      </c>
      <c r="F374" t="inlineStr">
        <is>
          <t>VÄSTERBOTTENS LÄN</t>
        </is>
      </c>
      <c r="G374" t="inlineStr">
        <is>
          <t>NORDMALING</t>
        </is>
      </c>
      <c r="I374" t="n">
        <v>19.1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46288</v>
      </c>
      <c r="F375" t="inlineStr">
        <is>
          <t>VÄSTERBOTTENS LÄN</t>
        </is>
      </c>
      <c r="G375" t="inlineStr">
        <is>
          <t>NORDMALING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46288</v>
      </c>
      <c r="F376" t="inlineStr">
        <is>
          <t>VÄSTERBOTTENS LÄN</t>
        </is>
      </c>
      <c r="G376" t="inlineStr">
        <is>
          <t>NORDMALING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46288</v>
      </c>
      <c r="F377" t="inlineStr">
        <is>
          <t>VÄSTERBOTTENS LÄN</t>
        </is>
      </c>
      <c r="G377" t="inlineStr">
        <is>
          <t>NORDMALING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46288</v>
      </c>
      <c r="F378" t="inlineStr">
        <is>
          <t>VÄSTERBOTTENS LÄN</t>
        </is>
      </c>
      <c r="G378" t="inlineStr">
        <is>
          <t>NORDMALING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46288</v>
      </c>
      <c r="F379" t="inlineStr">
        <is>
          <t>VÄSTERBOTTENS LÄN</t>
        </is>
      </c>
      <c r="G379" t="inlineStr">
        <is>
          <t>NORDMALING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46288</v>
      </c>
      <c r="F380" t="inlineStr">
        <is>
          <t>VÄSTERBOTTENS LÄN</t>
        </is>
      </c>
      <c r="G380" t="inlineStr">
        <is>
          <t>NORDMALING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46197</v>
      </c>
      <c r="E381" s="1" t="n">
        <v>46288</v>
      </c>
      <c r="F381" t="inlineStr">
        <is>
          <t>VÄSTERBOTTENS LÄN</t>
        </is>
      </c>
      <c r="G381" t="inlineStr">
        <is>
          <t>NORDMALING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45022</v>
      </c>
      <c r="E382" s="1" t="n">
        <v>46288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46288</v>
      </c>
      <c r="F383" t="inlineStr">
        <is>
          <t>VÄSTERBOTTENS LÄN</t>
        </is>
      </c>
      <c r="G383" t="inlineStr">
        <is>
          <t>NORDMALING</t>
        </is>
      </c>
      <c r="I383" t="n">
        <v>12.5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46288</v>
      </c>
      <c r="F384" t="inlineStr">
        <is>
          <t>VÄSTERBOTTENS LÄN</t>
        </is>
      </c>
      <c r="G384" t="inlineStr">
        <is>
          <t>NORDMALING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46197</v>
      </c>
      <c r="E385" s="1" t="n">
        <v>46288</v>
      </c>
      <c r="F385" t="inlineStr">
        <is>
          <t>VÄSTERBOTTENS LÄN</t>
        </is>
      </c>
      <c r="G385" t="inlineStr">
        <is>
          <t>NORDMALING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46288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46288</v>
      </c>
      <c r="F387" t="inlineStr">
        <is>
          <t>VÄSTERBOTTENS LÄN</t>
        </is>
      </c>
      <c r="G387" t="inlineStr">
        <is>
          <t>NORDMALING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45330</v>
      </c>
      <c r="E388" s="1" t="n">
        <v>46288</v>
      </c>
      <c r="F388" t="inlineStr">
        <is>
          <t>VÄSTERBOTTENS LÄN</t>
        </is>
      </c>
      <c r="G388" t="inlineStr">
        <is>
          <t>NORDMALING</t>
        </is>
      </c>
      <c r="H388" t="inlineStr">
        <is>
          <t>SCA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48945-2022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44859</v>
      </c>
      <c r="E389" s="1" t="n">
        <v>46288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46288</v>
      </c>
      <c r="F390" t="inlineStr">
        <is>
          <t>VÄSTERBOTTENS LÄN</t>
        </is>
      </c>
      <c r="G390" t="inlineStr">
        <is>
          <t>NORDMALING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44609</v>
      </c>
      <c r="E391" s="1" t="n">
        <v>46288</v>
      </c>
      <c r="F391" t="inlineStr">
        <is>
          <t>VÄSTERBOTTENS LÄN</t>
        </is>
      </c>
      <c r="G391" t="inlineStr">
        <is>
          <t>NORDMALING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29140-2026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46288</v>
      </c>
      <c r="F392" t="inlineStr">
        <is>
          <t>VÄSTERBOTTENS LÄN</t>
        </is>
      </c>
      <c r="G392" t="inlineStr">
        <is>
          <t>NORDMALING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45775</v>
      </c>
      <c r="E393" s="1" t="n">
        <v>46288</v>
      </c>
      <c r="F393" t="inlineStr">
        <is>
          <t>VÄSTERBOTTENS LÄN</t>
        </is>
      </c>
      <c r="G393" t="inlineStr">
        <is>
          <t>NORDMALING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46288</v>
      </c>
      <c r="F394" t="inlineStr">
        <is>
          <t>VÄSTERBOTTENS LÄN</t>
        </is>
      </c>
      <c r="G394" t="inlineStr">
        <is>
          <t>NORDMALING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46288</v>
      </c>
      <c r="F395" t="inlineStr">
        <is>
          <t>VÄSTERBOTTENS LÄN</t>
        </is>
      </c>
      <c r="G395" t="inlineStr">
        <is>
          <t>NORDMALING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46288</v>
      </c>
      <c r="F396" t="inlineStr">
        <is>
          <t>VÄSTERBOTTENS LÄN</t>
        </is>
      </c>
      <c r="G396" t="inlineStr">
        <is>
          <t>NORDMALING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46288</v>
      </c>
      <c r="F397" t="inlineStr">
        <is>
          <t>VÄSTERBOTTENS LÄN</t>
        </is>
      </c>
      <c r="G397" t="inlineStr">
        <is>
          <t>NORDMALING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46288</v>
      </c>
      <c r="F398" t="inlineStr">
        <is>
          <t>VÄSTERBOTTENS LÄN</t>
        </is>
      </c>
      <c r="G398" t="inlineStr">
        <is>
          <t>NORDMALING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46288</v>
      </c>
      <c r="F399" t="inlineStr">
        <is>
          <t>VÄSTERBOTTENS LÄN</t>
        </is>
      </c>
      <c r="G399" t="inlineStr">
        <is>
          <t>NORDMALING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46288</v>
      </c>
      <c r="F400" t="inlineStr">
        <is>
          <t>VÄSTERBOTTENS LÄN</t>
        </is>
      </c>
      <c r="G400" t="inlineStr">
        <is>
          <t>NORDMALING</t>
        </is>
      </c>
      <c r="I400" t="n">
        <v>8.699999999999999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46288</v>
      </c>
      <c r="F401" t="inlineStr">
        <is>
          <t>VÄSTERBOTTENS LÄN</t>
        </is>
      </c>
      <c r="G401" t="inlineStr">
        <is>
          <t>NORDMALING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46288</v>
      </c>
      <c r="F402" t="inlineStr">
        <is>
          <t>VÄSTERBOTTENS LÄN</t>
        </is>
      </c>
      <c r="G402" t="inlineStr">
        <is>
          <t>NORDMALING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44812</v>
      </c>
      <c r="E403" s="1" t="n">
        <v>46288</v>
      </c>
      <c r="F403" t="inlineStr">
        <is>
          <t>VÄSTERBOTTENS LÄN</t>
        </is>
      </c>
      <c r="G403" t="inlineStr">
        <is>
          <t>NORDMALING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45453</v>
      </c>
      <c r="E404" s="1" t="n">
        <v>46288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43491-2024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46288</v>
      </c>
      <c r="F405" t="inlineStr">
        <is>
          <t>VÄSTERBOTTENS LÄN</t>
        </is>
      </c>
      <c r="G405" t="inlineStr">
        <is>
          <t>NORDMALING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45568</v>
      </c>
      <c r="E406" s="1" t="n">
        <v>46288</v>
      </c>
      <c r="F406" t="inlineStr">
        <is>
          <t>VÄSTERBOTTENS LÄN</t>
        </is>
      </c>
      <c r="G406" t="inlineStr">
        <is>
          <t>NORDMALING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46288</v>
      </c>
      <c r="F407" t="inlineStr">
        <is>
          <t>VÄSTERBOTTENS LÄN</t>
        </is>
      </c>
      <c r="G407" t="inlineStr">
        <is>
          <t>NORDMALING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46288</v>
      </c>
      <c r="F408" t="inlineStr">
        <is>
          <t>VÄSTERBOTTENS LÄN</t>
        </is>
      </c>
      <c r="G408" t="inlineStr">
        <is>
          <t>NORDMALING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46246</v>
      </c>
      <c r="E409" s="1" t="n">
        <v>46288</v>
      </c>
      <c r="F409" t="inlineStr">
        <is>
          <t>VÄSTERBOTTENS LÄN</t>
        </is>
      </c>
      <c r="G409" t="inlineStr">
        <is>
          <t>NORDMALING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46288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46108</v>
      </c>
      <c r="E411" s="1" t="n">
        <v>46288</v>
      </c>
      <c r="F411" t="inlineStr">
        <is>
          <t>VÄSTERBOTTENS LÄN</t>
        </is>
      </c>
      <c r="G411" t="inlineStr">
        <is>
          <t>NORDMALING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33612-2022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44789</v>
      </c>
      <c r="E412" s="1" t="n">
        <v>46288</v>
      </c>
      <c r="F412" t="inlineStr">
        <is>
          <t>VÄSTERBOTTENS LÄN</t>
        </is>
      </c>
      <c r="G412" t="inlineStr">
        <is>
          <t>NORDMALING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34484-2023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45139</v>
      </c>
      <c r="E413" s="1" t="n">
        <v>46288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46288</v>
      </c>
      <c r="F414" t="inlineStr">
        <is>
          <t>VÄSTERBOTTENS LÄN</t>
        </is>
      </c>
      <c r="G414" t="inlineStr">
        <is>
          <t>NORDMALING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46288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46288</v>
      </c>
      <c r="F416" t="inlineStr">
        <is>
          <t>VÄSTERBOTTENS LÄN</t>
        </is>
      </c>
      <c r="G416" t="inlineStr">
        <is>
          <t>NORDMALING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46288</v>
      </c>
      <c r="F417" t="inlineStr">
        <is>
          <t>VÄSTERBOTTENS LÄN</t>
        </is>
      </c>
      <c r="G417" t="inlineStr">
        <is>
          <t>NORDMALING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45344</v>
      </c>
      <c r="E418" s="1" t="n">
        <v>46288</v>
      </c>
      <c r="F418" t="inlineStr">
        <is>
          <t>VÄSTERBOTTENS LÄN</t>
        </is>
      </c>
      <c r="G418" t="inlineStr">
        <is>
          <t>NORDMALING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48515-2024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46288</v>
      </c>
      <c r="F419" t="inlineStr">
        <is>
          <t>VÄSTERBOTTENS LÄN</t>
        </is>
      </c>
      <c r="G419" t="inlineStr">
        <is>
          <t>NORDMALING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70028-2021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44533</v>
      </c>
      <c r="E420" s="1" t="n">
        <v>46288</v>
      </c>
      <c r="F420" t="inlineStr">
        <is>
          <t>VÄSTERBOTTENS LÄN</t>
        </is>
      </c>
      <c r="G420" t="inlineStr">
        <is>
          <t>NORDMALING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46288</v>
      </c>
      <c r="F421" t="inlineStr">
        <is>
          <t>VÄSTERBOTTENS LÄN</t>
        </is>
      </c>
      <c r="G421" t="inlineStr">
        <is>
          <t>NORDMALING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46288</v>
      </c>
      <c r="F422" t="inlineStr">
        <is>
          <t>VÄSTERBOTTENS LÄN</t>
        </is>
      </c>
      <c r="G422" t="inlineStr">
        <is>
          <t>NORDMALING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46288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46288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45525</v>
      </c>
      <c r="E425" s="1" t="n">
        <v>46288</v>
      </c>
      <c r="F425" t="inlineStr">
        <is>
          <t>VÄSTERBOTTENS LÄN</t>
        </is>
      </c>
      <c r="G425" t="inlineStr">
        <is>
          <t>NORDMALING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24712-2023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45075</v>
      </c>
      <c r="E426" s="1" t="n">
        <v>46288</v>
      </c>
      <c r="F426" t="inlineStr">
        <is>
          <t>VÄSTERBOTTENS LÄN</t>
        </is>
      </c>
      <c r="G426" t="inlineStr">
        <is>
          <t>NORDMALING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45524</v>
      </c>
      <c r="E427" s="1" t="n">
        <v>46288</v>
      </c>
      <c r="F427" t="inlineStr">
        <is>
          <t>VÄSTERBOTTENS LÄN</t>
        </is>
      </c>
      <c r="G427" t="inlineStr">
        <is>
          <t>NORDMALING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18839-2026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46129</v>
      </c>
      <c r="E428" s="1" t="n">
        <v>46288</v>
      </c>
      <c r="F428" t="inlineStr">
        <is>
          <t>VÄSTERBOTTENS LÄN</t>
        </is>
      </c>
      <c r="G428" t="inlineStr">
        <is>
          <t>NORDMALING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44977</v>
      </c>
      <c r="E429" s="1" t="n">
        <v>46288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45482</v>
      </c>
      <c r="E430" s="1" t="n">
        <v>46288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46288</v>
      </c>
      <c r="F431" t="inlineStr">
        <is>
          <t>VÄSTERBOTTENS LÄN</t>
        </is>
      </c>
      <c r="G431" t="inlineStr">
        <is>
          <t>NORDMALING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46288</v>
      </c>
      <c r="F432" t="inlineStr">
        <is>
          <t>VÄSTERBOTTENS LÄN</t>
        </is>
      </c>
      <c r="G432" t="inlineStr">
        <is>
          <t>NORDMALING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46288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45586</v>
      </c>
      <c r="E434" s="1" t="n">
        <v>46288</v>
      </c>
      <c r="F434" t="inlineStr">
        <is>
          <t>VÄSTERBOTTENS LÄN</t>
        </is>
      </c>
      <c r="G434" t="inlineStr">
        <is>
          <t>NORDMALING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59605-2022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44907</v>
      </c>
      <c r="E435" s="1" t="n">
        <v>46288</v>
      </c>
      <c r="F435" t="inlineStr">
        <is>
          <t>VÄSTERBOTTENS LÄN</t>
        </is>
      </c>
      <c r="G435" t="inlineStr">
        <is>
          <t>NORDMALING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46288</v>
      </c>
      <c r="F436" t="inlineStr">
        <is>
          <t>VÄSTERBOTTENS LÄN</t>
        </is>
      </c>
      <c r="G436" t="inlineStr">
        <is>
          <t>NORDMALING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46288</v>
      </c>
      <c r="F437" t="inlineStr">
        <is>
          <t>VÄSTERBOTTENS LÄN</t>
        </is>
      </c>
      <c r="G437" t="inlineStr">
        <is>
          <t>NORDMALING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56674-2021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44480</v>
      </c>
      <c r="E438" s="1" t="n">
        <v>46288</v>
      </c>
      <c r="F438" t="inlineStr">
        <is>
          <t>VÄSTERBOTTENS LÄN</t>
        </is>
      </c>
      <c r="G438" t="inlineStr">
        <is>
          <t>NORDMALING</t>
        </is>
      </c>
      <c r="I438" t="n">
        <v>12.5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46288</v>
      </c>
      <c r="F439" t="inlineStr">
        <is>
          <t>VÄSTERBOTTENS LÄN</t>
        </is>
      </c>
      <c r="G439" t="inlineStr">
        <is>
          <t>NORDMALING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53775-2023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46288</v>
      </c>
      <c r="F440" t="inlineStr">
        <is>
          <t>VÄSTERBOTTENS LÄN</t>
        </is>
      </c>
      <c r="G440" t="inlineStr">
        <is>
          <t>NORDMALING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60175-2022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46288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45105</v>
      </c>
      <c r="E442" s="1" t="n">
        <v>46288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27504-2022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44742</v>
      </c>
      <c r="E443" s="1" t="n">
        <v>46288</v>
      </c>
      <c r="F443" t="inlineStr">
        <is>
          <t>VÄSTERBOTTENS LÄN</t>
        </is>
      </c>
      <c r="G443" t="inlineStr">
        <is>
          <t>NORDMALING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46288</v>
      </c>
      <c r="F444" t="inlineStr">
        <is>
          <t>VÄSTERBOTTENS LÄN</t>
        </is>
      </c>
      <c r="G444" t="inlineStr">
        <is>
          <t>NORDMALING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46288</v>
      </c>
      <c r="F445" t="inlineStr">
        <is>
          <t>VÄSTERBOTTENS LÄN</t>
        </is>
      </c>
      <c r="G445" t="inlineStr">
        <is>
          <t>NORDMALING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45517</v>
      </c>
      <c r="E446" s="1" t="n">
        <v>46288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Holmen skog AB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46288</v>
      </c>
      <c r="F447" t="inlineStr">
        <is>
          <t>VÄSTERBOTTENS LÄN</t>
        </is>
      </c>
      <c r="G447" t="inlineStr">
        <is>
          <t>NORDMALING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46288</v>
      </c>
      <c r="F448" t="inlineStr">
        <is>
          <t>VÄSTERBOTTENS LÄN</t>
        </is>
      </c>
      <c r="G448" t="inlineStr">
        <is>
          <t>NORDMALING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46288</v>
      </c>
      <c r="F449" t="inlineStr">
        <is>
          <t>VÄSTERBOTTENS LÄN</t>
        </is>
      </c>
      <c r="G449" t="inlineStr">
        <is>
          <t>NORDMALING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46288</v>
      </c>
      <c r="F450" t="inlineStr">
        <is>
          <t>VÄSTERBOTTENS LÄN</t>
        </is>
      </c>
      <c r="G450" t="inlineStr">
        <is>
          <t>NORDMALING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43602-2024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45569</v>
      </c>
      <c r="E451" s="1" t="n">
        <v>46288</v>
      </c>
      <c r="F451" t="inlineStr">
        <is>
          <t>VÄSTERBOTTENS LÄN</t>
        </is>
      </c>
      <c r="G451" t="inlineStr">
        <is>
          <t>NORDMALING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46288</v>
      </c>
      <c r="F452" t="inlineStr">
        <is>
          <t>VÄSTERBOTTENS LÄN</t>
        </is>
      </c>
      <c r="G452" t="inlineStr">
        <is>
          <t>NORDMALING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46288</v>
      </c>
      <c r="F453" t="inlineStr">
        <is>
          <t>VÄSTERBOTTENS LÄN</t>
        </is>
      </c>
      <c r="G453" t="inlineStr">
        <is>
          <t>NORDMALING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46288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46288</v>
      </c>
      <c r="F455" t="inlineStr">
        <is>
          <t>VÄSTERBOTTENS LÄN</t>
        </is>
      </c>
      <c r="G455" t="inlineStr">
        <is>
          <t>NORDMALING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46288</v>
      </c>
      <c r="F456" t="inlineStr">
        <is>
          <t>VÄSTERBOTTENS LÄN</t>
        </is>
      </c>
      <c r="G456" t="inlineStr">
        <is>
          <t>NORDMALING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44888</v>
      </c>
      <c r="E457" s="1" t="n">
        <v>46288</v>
      </c>
      <c r="F457" t="inlineStr">
        <is>
          <t>VÄSTERBOTTENS LÄN</t>
        </is>
      </c>
      <c r="G457" t="inlineStr">
        <is>
          <t>NORDMALING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59133-2025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46288</v>
      </c>
      <c r="F458" t="inlineStr">
        <is>
          <t>VÄSTERBOTTENS LÄN</t>
        </is>
      </c>
      <c r="G458" t="inlineStr">
        <is>
          <t>NORDMALING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45378</v>
      </c>
      <c r="E459" s="1" t="n">
        <v>46288</v>
      </c>
      <c r="F459" t="inlineStr">
        <is>
          <t>VÄSTERBOTTENS LÄN</t>
        </is>
      </c>
      <c r="G459" t="inlineStr">
        <is>
          <t>NORDMALING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21607-2022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46288</v>
      </c>
      <c r="F460" t="inlineStr">
        <is>
          <t>VÄSTERBOTTENS LÄN</t>
        </is>
      </c>
      <c r="G460" t="inlineStr">
        <is>
          <t>NORDMALING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45028</v>
      </c>
      <c r="E461" s="1" t="n">
        <v>46288</v>
      </c>
      <c r="F461" t="inlineStr">
        <is>
          <t>VÄSTERBOTTENS LÄN</t>
        </is>
      </c>
      <c r="G461" t="inlineStr">
        <is>
          <t>NORDMALING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35819-2026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46288</v>
      </c>
      <c r="F462" t="inlineStr">
        <is>
          <t>VÄSTERBOTTENS LÄN</t>
        </is>
      </c>
      <c r="G462" t="inlineStr">
        <is>
          <t>NORDMALING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46288</v>
      </c>
      <c r="F463" t="inlineStr">
        <is>
          <t>VÄSTERBOTTENS LÄN</t>
        </is>
      </c>
      <c r="G463" t="inlineStr">
        <is>
          <t>NORDMALING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46288</v>
      </c>
      <c r="F464" t="inlineStr">
        <is>
          <t>VÄSTERBOTTENS LÄN</t>
        </is>
      </c>
      <c r="G464" t="inlineStr">
        <is>
          <t>NORDMALING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46262</v>
      </c>
      <c r="E465" s="1" t="n">
        <v>46288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Kyrkan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46288</v>
      </c>
      <c r="F466" t="inlineStr">
        <is>
          <t>VÄSTERBOTTENS LÄN</t>
        </is>
      </c>
      <c r="G466" t="inlineStr">
        <is>
          <t>NORDMALING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33343-2022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44788</v>
      </c>
      <c r="E467" s="1" t="n">
        <v>46288</v>
      </c>
      <c r="F467" t="inlineStr">
        <is>
          <t>VÄSTERBOTTENS LÄN</t>
        </is>
      </c>
      <c r="G467" t="inlineStr">
        <is>
          <t>NORDMALING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51746-2021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44462</v>
      </c>
      <c r="E468" s="1" t="n">
        <v>46288</v>
      </c>
      <c r="F468" t="inlineStr">
        <is>
          <t>VÄSTERBOTTENS LÄN</t>
        </is>
      </c>
      <c r="G468" t="inlineStr">
        <is>
          <t>NORDMALING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46262</v>
      </c>
      <c r="E469" s="1" t="n">
        <v>46288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Kyrkan</t>
        </is>
      </c>
      <c r="I469" t="n">
        <v>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46288</v>
      </c>
      <c r="F470" t="inlineStr">
        <is>
          <t>VÄSTERBOTTENS LÄN</t>
        </is>
      </c>
      <c r="G470" t="inlineStr">
        <is>
          <t>NORDMALING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46288</v>
      </c>
      <c r="F471" t="inlineStr">
        <is>
          <t>VÄSTERBOTTENS LÄN</t>
        </is>
      </c>
      <c r="G471" t="inlineStr">
        <is>
          <t>NORDMALING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46288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46263</v>
      </c>
      <c r="E473" s="1" t="n">
        <v>46288</v>
      </c>
      <c r="F473" t="inlineStr">
        <is>
          <t>VÄSTERBOTTENS LÄN</t>
        </is>
      </c>
      <c r="G473" t="inlineStr">
        <is>
          <t>NORDMALING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45525</v>
      </c>
      <c r="E474" s="1" t="n">
        <v>46288</v>
      </c>
      <c r="F474" t="inlineStr">
        <is>
          <t>VÄSTERBOTTENS LÄN</t>
        </is>
      </c>
      <c r="G474" t="inlineStr">
        <is>
          <t>NORDMALING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34252-2024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45524</v>
      </c>
      <c r="E475" s="1" t="n">
        <v>46288</v>
      </c>
      <c r="F475" t="inlineStr">
        <is>
          <t>VÄSTERBOTTENS LÄN</t>
        </is>
      </c>
      <c r="G475" t="inlineStr">
        <is>
          <t>NORDMALING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46288</v>
      </c>
      <c r="F476" t="inlineStr">
        <is>
          <t>VÄSTERBOTTENS LÄN</t>
        </is>
      </c>
      <c r="G476" t="inlineStr">
        <is>
          <t>NORDMALING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46288</v>
      </c>
      <c r="F477" t="inlineStr">
        <is>
          <t>VÄSTERBOTTENS LÄN</t>
        </is>
      </c>
      <c r="G477" t="inlineStr">
        <is>
          <t>NORDMALING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46288</v>
      </c>
      <c r="F478" t="inlineStr">
        <is>
          <t>VÄSTERBOTTENS LÄN</t>
        </is>
      </c>
      <c r="G478" t="inlineStr">
        <is>
          <t>NORDMALING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46288</v>
      </c>
      <c r="F479" t="inlineStr">
        <is>
          <t>VÄSTERBOTTENS LÄN</t>
        </is>
      </c>
      <c r="G479" t="inlineStr">
        <is>
          <t>NORDMALING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25349-2024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46288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46288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46288</v>
      </c>
      <c r="F482" t="inlineStr">
        <is>
          <t>VÄSTERBOTTENS LÄN</t>
        </is>
      </c>
      <c r="G482" t="inlineStr">
        <is>
          <t>NORDMALING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44722</v>
      </c>
      <c r="E483" s="1" t="n">
        <v>46288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46288</v>
      </c>
      <c r="F484" t="inlineStr">
        <is>
          <t>VÄSTERBOTTENS LÄN</t>
        </is>
      </c>
      <c r="G484" t="inlineStr">
        <is>
          <t>NORDMALING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7618-2024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45348</v>
      </c>
      <c r="E485" s="1" t="n">
        <v>46288</v>
      </c>
      <c r="F485" t="inlineStr">
        <is>
          <t>VÄSTERBOTTENS LÄN</t>
        </is>
      </c>
      <c r="G485" t="inlineStr">
        <is>
          <t>NORDMALING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46288</v>
      </c>
      <c r="F486" t="inlineStr">
        <is>
          <t>VÄSTERBOTTENS LÄN</t>
        </is>
      </c>
      <c r="G486" t="inlineStr">
        <is>
          <t>NORDMALING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45096</v>
      </c>
      <c r="E487" s="1" t="n">
        <v>46288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47777-2022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44854</v>
      </c>
      <c r="E488" s="1" t="n">
        <v>46288</v>
      </c>
      <c r="F488" t="inlineStr">
        <is>
          <t>VÄSTERBOTTENS LÄN</t>
        </is>
      </c>
      <c r="G488" t="inlineStr">
        <is>
          <t>NORDMALING</t>
        </is>
      </c>
      <c r="I488" t="n">
        <v>10.5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45139</v>
      </c>
      <c r="E489" s="1" t="n">
        <v>46288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SCA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43541-2024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45569</v>
      </c>
      <c r="E490" s="1" t="n">
        <v>46288</v>
      </c>
      <c r="F490" t="inlineStr">
        <is>
          <t>VÄSTERBOTTENS LÄN</t>
        </is>
      </c>
      <c r="G490" t="inlineStr">
        <is>
          <t>NORDMALING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49417-2022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44859</v>
      </c>
      <c r="E491" s="1" t="n">
        <v>46288</v>
      </c>
      <c r="F491" t="inlineStr">
        <is>
          <t>VÄSTERBOTTENS LÄN</t>
        </is>
      </c>
      <c r="G491" t="inlineStr">
        <is>
          <t>NORDMALING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46288</v>
      </c>
      <c r="F492" t="inlineStr">
        <is>
          <t>VÄSTERBOTTENS LÄN</t>
        </is>
      </c>
      <c r="G492" t="inlineStr">
        <is>
          <t>NORDMALING</t>
        </is>
      </c>
      <c r="I492" t="n">
        <v>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56277-2023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45241</v>
      </c>
      <c r="E493" s="1" t="n">
        <v>46288</v>
      </c>
      <c r="F493" t="inlineStr">
        <is>
          <t>VÄSTERBOTTENS LÄN</t>
        </is>
      </c>
      <c r="G493" t="inlineStr">
        <is>
          <t>NORDMALING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35650-2023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45147</v>
      </c>
      <c r="E494" s="1" t="n">
        <v>46288</v>
      </c>
      <c r="F494" t="inlineStr">
        <is>
          <t>VÄSTERBOTTENS LÄN</t>
        </is>
      </c>
      <c r="G494" t="inlineStr">
        <is>
          <t>NORDMALING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14689-2025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45742</v>
      </c>
      <c r="E495" s="1" t="n">
        <v>46288</v>
      </c>
      <c r="F495" t="inlineStr">
        <is>
          <t>VÄSTERBOTTENS LÄN</t>
        </is>
      </c>
      <c r="G495" t="inlineStr">
        <is>
          <t>NORDMALING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45061-2024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45575</v>
      </c>
      <c r="E496" s="1" t="n">
        <v>46288</v>
      </c>
      <c r="F496" t="inlineStr">
        <is>
          <t>VÄSTERBOTTENS LÄN</t>
        </is>
      </c>
      <c r="G496" t="inlineStr">
        <is>
          <t>NORDMALING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46237</v>
      </c>
      <c r="E497" s="1" t="n">
        <v>46288</v>
      </c>
      <c r="F497" t="inlineStr">
        <is>
          <t>VÄSTERBOTTENS LÄN</t>
        </is>
      </c>
      <c r="G497" t="inlineStr">
        <is>
          <t>NORDMALING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32183-2023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45119</v>
      </c>
      <c r="E498" s="1" t="n">
        <v>46288</v>
      </c>
      <c r="F498" t="inlineStr">
        <is>
          <t>VÄSTERBOTTENS LÄN</t>
        </is>
      </c>
      <c r="G498" t="inlineStr">
        <is>
          <t>NORDMALING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46280</v>
      </c>
      <c r="E499" s="1" t="n">
        <v>46288</v>
      </c>
      <c r="F499" t="inlineStr">
        <is>
          <t>VÄSTERBOTTENS LÄN</t>
        </is>
      </c>
      <c r="G499" t="inlineStr">
        <is>
          <t>NORDMALING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45034</v>
      </c>
      <c r="E500" s="1" t="n">
        <v>46288</v>
      </c>
      <c r="F500" t="inlineStr">
        <is>
          <t>VÄSTERBOTTENS LÄN</t>
        </is>
      </c>
      <c r="G500" t="inlineStr">
        <is>
          <t>NORDMALING</t>
        </is>
      </c>
      <c r="I500" t="n">
        <v>13.1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46288</v>
      </c>
      <c r="F501" t="inlineStr">
        <is>
          <t>VÄSTERBOTTENS LÄN</t>
        </is>
      </c>
      <c r="G501" t="inlineStr">
        <is>
          <t>NORDMALING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38274-2022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44812</v>
      </c>
      <c r="E502" s="1" t="n">
        <v>46288</v>
      </c>
      <c r="F502" t="inlineStr">
        <is>
          <t>VÄSTERBOTTENS LÄN</t>
        </is>
      </c>
      <c r="G502" t="inlineStr">
        <is>
          <t>NORDMALING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46288</v>
      </c>
      <c r="F503" t="inlineStr">
        <is>
          <t>VÄSTERBOTTENS LÄN</t>
        </is>
      </c>
      <c r="G503" t="inlineStr">
        <is>
          <t>NORDMALING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46288</v>
      </c>
      <c r="F504" t="inlineStr">
        <is>
          <t>VÄSTERBOTTENS LÄN</t>
        </is>
      </c>
      <c r="G504" t="inlineStr">
        <is>
          <t>NORDMALING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45775</v>
      </c>
      <c r="E505" s="1" t="n">
        <v>46288</v>
      </c>
      <c r="F505" t="inlineStr">
        <is>
          <t>VÄSTERBOTTENS LÄN</t>
        </is>
      </c>
      <c r="G505" t="inlineStr">
        <is>
          <t>NORDMALING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45439</v>
      </c>
      <c r="E506" s="1" t="n">
        <v>46288</v>
      </c>
      <c r="F506" t="inlineStr">
        <is>
          <t>VÄSTERBOTTENS LÄN</t>
        </is>
      </c>
      <c r="G506" t="inlineStr">
        <is>
          <t>NORDMALING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46288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46288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Kyrkan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46239</v>
      </c>
      <c r="E509" s="1" t="n">
        <v>46288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Kyrkan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39104-2022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44816</v>
      </c>
      <c r="E510" s="1" t="n">
        <v>46288</v>
      </c>
      <c r="F510" t="inlineStr">
        <is>
          <t>VÄSTERBOTTENS LÄN</t>
        </is>
      </c>
      <c r="G510" t="inlineStr">
        <is>
          <t>NORDMALING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46288</v>
      </c>
      <c r="F511" t="inlineStr">
        <is>
          <t>VÄSTERBOTTENS LÄN</t>
        </is>
      </c>
      <c r="G511" t="inlineStr">
        <is>
          <t>NORDMALING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9860-2022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46288</v>
      </c>
      <c r="F512" t="inlineStr">
        <is>
          <t>VÄSTERBOTTENS LÄN</t>
        </is>
      </c>
      <c r="G512" t="inlineStr">
        <is>
          <t>NORDMALING</t>
        </is>
      </c>
      <c r="I512" t="n">
        <v>82.40000000000001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19029-2025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45764</v>
      </c>
      <c r="E513" s="1" t="n">
        <v>46288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45764</v>
      </c>
      <c r="E514" s="1" t="n">
        <v>46288</v>
      </c>
      <c r="F514" t="inlineStr">
        <is>
          <t>VÄSTERBOTTENS LÄN</t>
        </is>
      </c>
      <c r="G514" t="inlineStr">
        <is>
          <t>NORDMALING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18232-2024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45420</v>
      </c>
      <c r="E515" s="1" t="n">
        <v>46288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38871-2026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46288</v>
      </c>
      <c r="F516" t="inlineStr">
        <is>
          <t>VÄSTERBOTTENS LÄN</t>
        </is>
      </c>
      <c r="G516" t="inlineStr">
        <is>
          <t>NORDMALING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46288</v>
      </c>
      <c r="F517" t="inlineStr">
        <is>
          <t>VÄSTERBOTTENS LÄN</t>
        </is>
      </c>
      <c r="G517" t="inlineStr">
        <is>
          <t>NORDMALING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46288</v>
      </c>
      <c r="F518" t="inlineStr">
        <is>
          <t>VÄSTERBOTTENS LÄN</t>
        </is>
      </c>
      <c r="G518" t="inlineStr">
        <is>
          <t>NORDMALING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46288</v>
      </c>
      <c r="F519" t="inlineStr">
        <is>
          <t>VÄSTERBOTTENS LÄN</t>
        </is>
      </c>
      <c r="G519" t="inlineStr">
        <is>
          <t>NORDMALING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18649-2025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45763</v>
      </c>
      <c r="E520" s="1" t="n">
        <v>46288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SCA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46288</v>
      </c>
      <c r="F521" t="inlineStr">
        <is>
          <t>VÄSTERBOTTENS LÄN</t>
        </is>
      </c>
      <c r="G521" t="inlineStr">
        <is>
          <t>NORDMALING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46288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46288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32901-2026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46244</v>
      </c>
      <c r="E524" s="1" t="n">
        <v>46288</v>
      </c>
      <c r="F524" t="inlineStr">
        <is>
          <t>VÄSTERBOTTENS LÄN</t>
        </is>
      </c>
      <c r="G524" t="inlineStr">
        <is>
          <t>NORDMALING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46288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46288</v>
      </c>
      <c r="F526" t="inlineStr">
        <is>
          <t>VÄSTERBOTTENS LÄN</t>
        </is>
      </c>
      <c r="G526" t="inlineStr">
        <is>
          <t>NORDMALING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46288</v>
      </c>
      <c r="F527" t="inlineStr">
        <is>
          <t>VÄSTERBOTTENS LÄN</t>
        </is>
      </c>
      <c r="G527" t="inlineStr">
        <is>
          <t>NORDMALING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46288</v>
      </c>
      <c r="F528" t="inlineStr">
        <is>
          <t>VÄSTERBOTTENS LÄN</t>
        </is>
      </c>
      <c r="G528" t="inlineStr">
        <is>
          <t>NORDMALING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45237</v>
      </c>
      <c r="E529" s="1" t="n">
        <v>46288</v>
      </c>
      <c r="F529" t="inlineStr">
        <is>
          <t>VÄSTERBOTTENS LÄN</t>
        </is>
      </c>
      <c r="G529" t="inlineStr">
        <is>
          <t>NORDMALING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46288</v>
      </c>
      <c r="F530" t="inlineStr">
        <is>
          <t>VÄSTERBOTTENS LÄN</t>
        </is>
      </c>
      <c r="G530" t="inlineStr">
        <is>
          <t>NORDMALING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62247-2025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46288</v>
      </c>
      <c r="F531" t="inlineStr">
        <is>
          <t>VÄSTERBOTTENS LÄN</t>
        </is>
      </c>
      <c r="G531" t="inlineStr">
        <is>
          <t>NORDMALING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35291-2023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45145</v>
      </c>
      <c r="E532" s="1" t="n">
        <v>46288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SCA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46288</v>
      </c>
      <c r="F533" t="inlineStr">
        <is>
          <t>VÄSTERBOTTENS LÄN</t>
        </is>
      </c>
      <c r="G533" t="inlineStr">
        <is>
          <t>NORDMALING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46288</v>
      </c>
      <c r="F534" t="inlineStr">
        <is>
          <t>VÄSTERBOTTENS LÄN</t>
        </is>
      </c>
      <c r="G534" t="inlineStr">
        <is>
          <t>NORDMALING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46288</v>
      </c>
      <c r="F535" t="inlineStr">
        <is>
          <t>VÄSTERBOTTENS LÄN</t>
        </is>
      </c>
      <c r="G535" t="inlineStr">
        <is>
          <t>NORDMALING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46288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46288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32905-2026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46288</v>
      </c>
      <c r="F538" t="inlineStr">
        <is>
          <t>VÄSTERBOTTENS LÄN</t>
        </is>
      </c>
      <c r="G538" t="inlineStr">
        <is>
          <t>NORDMALING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39165-2026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46287</v>
      </c>
      <c r="E539" s="1" t="n">
        <v>46288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46288</v>
      </c>
      <c r="F540" t="inlineStr">
        <is>
          <t>VÄSTERBOTTENS LÄN</t>
        </is>
      </c>
      <c r="G540" t="inlineStr">
        <is>
          <t>NORDMALING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46245</v>
      </c>
      <c r="E541" s="1" t="n">
        <v>46288</v>
      </c>
      <c r="F541" t="inlineStr">
        <is>
          <t>VÄSTERBOTTENS LÄN</t>
        </is>
      </c>
      <c r="G541" t="inlineStr">
        <is>
          <t>NORDMALING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46288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69516-2021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44531</v>
      </c>
      <c r="E543" s="1" t="n">
        <v>46288</v>
      </c>
      <c r="F543" t="inlineStr">
        <is>
          <t>VÄSTERBOTTENS LÄN</t>
        </is>
      </c>
      <c r="G543" t="inlineStr">
        <is>
          <t>NORDMALING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45147</v>
      </c>
      <c r="E544" s="1" t="n">
        <v>46288</v>
      </c>
      <c r="F544" t="inlineStr">
        <is>
          <t>VÄSTERBOTTENS LÄN</t>
        </is>
      </c>
      <c r="G544" t="inlineStr">
        <is>
          <t>NORDMALING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46288</v>
      </c>
      <c r="F545" t="inlineStr">
        <is>
          <t>VÄSTERBOTTENS LÄN</t>
        </is>
      </c>
      <c r="G545" t="inlineStr">
        <is>
          <t>NORDMALING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46288</v>
      </c>
      <c r="F546" t="inlineStr">
        <is>
          <t>VÄSTERBOTTENS LÄN</t>
        </is>
      </c>
      <c r="G546" t="inlineStr">
        <is>
          <t>NORDMALING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46288</v>
      </c>
      <c r="F547" t="inlineStr">
        <is>
          <t>VÄSTERBOTTENS LÄN</t>
        </is>
      </c>
      <c r="G547" t="inlineStr">
        <is>
          <t>NORDMALING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46288</v>
      </c>
      <c r="F548" t="inlineStr">
        <is>
          <t>VÄSTERBOTTENS LÄN</t>
        </is>
      </c>
      <c r="G548" t="inlineStr">
        <is>
          <t>NORDMALING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46288</v>
      </c>
      <c r="F549" t="inlineStr">
        <is>
          <t>VÄSTERBOTTENS LÄN</t>
        </is>
      </c>
      <c r="G549" t="inlineStr">
        <is>
          <t>NORDMALING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45676</v>
      </c>
      <c r="E550" s="1" t="n">
        <v>46288</v>
      </c>
      <c r="F550" t="inlineStr">
        <is>
          <t>VÄSTERBOTTENS LÄN</t>
        </is>
      </c>
      <c r="G550" t="inlineStr">
        <is>
          <t>NORDMALING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46288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46288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46288</v>
      </c>
      <c r="F553" t="inlineStr">
        <is>
          <t>VÄSTERBOTTENS LÄN</t>
        </is>
      </c>
      <c r="G553" t="inlineStr">
        <is>
          <t>NORDMALING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46288</v>
      </c>
      <c r="F554" t="inlineStr">
        <is>
          <t>VÄSTERBOTTENS LÄN</t>
        </is>
      </c>
      <c r="G554" t="inlineStr">
        <is>
          <t>NORDMALING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46288</v>
      </c>
      <c r="F555" t="inlineStr">
        <is>
          <t>VÄSTERBOTTENS LÄN</t>
        </is>
      </c>
      <c r="G555" t="inlineStr">
        <is>
          <t>NORDMALING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46288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46288</v>
      </c>
      <c r="F557" t="inlineStr">
        <is>
          <t>VÄSTERBOTTENS LÄN</t>
        </is>
      </c>
      <c r="G557" t="inlineStr">
        <is>
          <t>NORDMALING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20008-2025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45772</v>
      </c>
      <c r="E558" s="1" t="n">
        <v>46288</v>
      </c>
      <c r="F558" t="inlineStr">
        <is>
          <t>VÄSTERBOTTENS LÄN</t>
        </is>
      </c>
      <c r="G558" t="inlineStr">
        <is>
          <t>NORDMALING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45187</v>
      </c>
      <c r="E559" s="1" t="n">
        <v>46288</v>
      </c>
      <c r="F559" t="inlineStr">
        <is>
          <t>VÄSTERBOTTENS LÄN</t>
        </is>
      </c>
      <c r="G559" t="inlineStr">
        <is>
          <t>NORDMALING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54169-2024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45616</v>
      </c>
      <c r="E560" s="1" t="n">
        <v>46288</v>
      </c>
      <c r="F560" t="inlineStr">
        <is>
          <t>VÄSTERBOTTENS LÄN</t>
        </is>
      </c>
      <c r="G560" t="inlineStr">
        <is>
          <t>NORDMALING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45665</v>
      </c>
      <c r="E561" s="1" t="n">
        <v>46288</v>
      </c>
      <c r="F561" t="inlineStr">
        <is>
          <t>VÄSTERBOTTENS LÄN</t>
        </is>
      </c>
      <c r="G561" t="inlineStr">
        <is>
          <t>NORDMALING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59518-2024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45638</v>
      </c>
      <c r="E562" s="1" t="n">
        <v>46288</v>
      </c>
      <c r="F562" t="inlineStr">
        <is>
          <t>VÄSTERBOTTENS LÄN</t>
        </is>
      </c>
      <c r="G562" t="inlineStr">
        <is>
          <t>NORDMALING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45030</v>
      </c>
      <c r="E563" s="1" t="n">
        <v>46288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SCA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45783</v>
      </c>
      <c r="E564" s="1" t="n">
        <v>46288</v>
      </c>
      <c r="F564" t="inlineStr">
        <is>
          <t>VÄSTERBOTTENS LÄN</t>
        </is>
      </c>
      <c r="G564" t="inlineStr">
        <is>
          <t>NORDMALING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21736-2025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45783</v>
      </c>
      <c r="E565" s="1" t="n">
        <v>46288</v>
      </c>
      <c r="F565" t="inlineStr">
        <is>
          <t>VÄSTERBOTTENS LÄN</t>
        </is>
      </c>
      <c r="G565" t="inlineStr">
        <is>
          <t>NORDMALING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50969-2024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46288</v>
      </c>
      <c r="F566" t="inlineStr">
        <is>
          <t>VÄSTERBOTTENS LÄN</t>
        </is>
      </c>
      <c r="G566" t="inlineStr">
        <is>
          <t>NORDMALING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61616-2023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45261</v>
      </c>
      <c r="E567" s="1" t="n">
        <v>46288</v>
      </c>
      <c r="F567" t="inlineStr">
        <is>
          <t>VÄSTERBOTTENS LÄN</t>
        </is>
      </c>
      <c r="G567" t="inlineStr">
        <is>
          <t>NORDMALING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46288</v>
      </c>
      <c r="F568" t="inlineStr">
        <is>
          <t>VÄSTERBOTTENS LÄN</t>
        </is>
      </c>
      <c r="G568" t="inlineStr">
        <is>
          <t>NORDMALING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45790</v>
      </c>
      <c r="E569" s="1" t="n">
        <v>46288</v>
      </c>
      <c r="F569" t="inlineStr">
        <is>
          <t>VÄSTERBOTTENS LÄN</t>
        </is>
      </c>
      <c r="G569" t="inlineStr">
        <is>
          <t>NORDMALING</t>
        </is>
      </c>
      <c r="I569" t="n">
        <v>20.3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46288</v>
      </c>
      <c r="F570" t="inlineStr">
        <is>
          <t>VÄSTERBOTTENS LÄN</t>
        </is>
      </c>
      <c r="G570" t="inlineStr">
        <is>
          <t>NORDMALING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45790</v>
      </c>
      <c r="E571" s="1" t="n">
        <v>46288</v>
      </c>
      <c r="F571" t="inlineStr">
        <is>
          <t>VÄSTERBOTTENS LÄN</t>
        </is>
      </c>
      <c r="G571" t="inlineStr">
        <is>
          <t>NORDMALING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46288</v>
      </c>
      <c r="F572" t="inlineStr">
        <is>
          <t>VÄSTERBOTTENS LÄN</t>
        </is>
      </c>
      <c r="G572" t="inlineStr">
        <is>
          <t>NORDMALING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17711-2023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45036</v>
      </c>
      <c r="E573" s="1" t="n">
        <v>46288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46288</v>
      </c>
      <c r="F574" t="inlineStr">
        <is>
          <t>VÄSTERBOTTENS LÄN</t>
        </is>
      </c>
      <c r="G574" t="inlineStr">
        <is>
          <t>NORDMALING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6402-2025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46288</v>
      </c>
      <c r="F575" t="inlineStr">
        <is>
          <t>VÄSTERBOTTENS LÄN</t>
        </is>
      </c>
      <c r="G575" t="inlineStr">
        <is>
          <t>NORDMALING</t>
        </is>
      </c>
      <c r="I575" t="n">
        <v>7.4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25074-2025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46288</v>
      </c>
      <c r="F576" t="inlineStr">
        <is>
          <t>VÄSTERBOTTENS LÄN</t>
        </is>
      </c>
      <c r="G576" t="inlineStr">
        <is>
          <t>NORDMALING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46288</v>
      </c>
      <c r="F577" t="inlineStr">
        <is>
          <t>VÄSTERBOTTENS LÄN</t>
        </is>
      </c>
      <c r="G577" t="inlineStr">
        <is>
          <t>NORDMALING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45607</v>
      </c>
      <c r="E578" s="1" t="n">
        <v>46288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45688</v>
      </c>
      <c r="E579" s="1" t="n">
        <v>46288</v>
      </c>
      <c r="F579" t="inlineStr">
        <is>
          <t>VÄSTERBOTTENS LÄN</t>
        </is>
      </c>
      <c r="G579" t="inlineStr">
        <is>
          <t>NORDMALING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46288</v>
      </c>
      <c r="F580" t="inlineStr">
        <is>
          <t>VÄSTERBOTTENS LÄN</t>
        </is>
      </c>
      <c r="G580" t="inlineStr">
        <is>
          <t>NORDMALING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29573-2025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46288</v>
      </c>
      <c r="F581" t="inlineStr">
        <is>
          <t>VÄSTERBOTTENS LÄN</t>
        </is>
      </c>
      <c r="G581" t="inlineStr">
        <is>
          <t>NORDMALING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46288</v>
      </c>
      <c r="F582" t="inlineStr">
        <is>
          <t>VÄSTERBOTTENS LÄN</t>
        </is>
      </c>
      <c r="G582" t="inlineStr">
        <is>
          <t>NORDMALING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29606-2025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45825</v>
      </c>
      <c r="E583" s="1" t="n">
        <v>46288</v>
      </c>
      <c r="F583" t="inlineStr">
        <is>
          <t>VÄSTERBOTTENS LÄN</t>
        </is>
      </c>
      <c r="G583" t="inlineStr">
        <is>
          <t>NORDMALING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46288</v>
      </c>
      <c r="F584" t="inlineStr">
        <is>
          <t>VÄSTERBOTTENS LÄN</t>
        </is>
      </c>
      <c r="G584" t="inlineStr">
        <is>
          <t>NORDMALING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46288</v>
      </c>
      <c r="F585" t="inlineStr">
        <is>
          <t>VÄSTERBOTTENS LÄN</t>
        </is>
      </c>
      <c r="G585" t="inlineStr">
        <is>
          <t>NORDMALING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45838</v>
      </c>
      <c r="E586" s="1" t="n">
        <v>46288</v>
      </c>
      <c r="F586" t="inlineStr">
        <is>
          <t>VÄSTERBOTTENS LÄN</t>
        </is>
      </c>
      <c r="G586" t="inlineStr">
        <is>
          <t>NORDMALING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45841</v>
      </c>
      <c r="E587" s="1" t="n">
        <v>46288</v>
      </c>
      <c r="F587" t="inlineStr">
        <is>
          <t>VÄSTERBOTTENS LÄN</t>
        </is>
      </c>
      <c r="G587" t="inlineStr">
        <is>
          <t>NORDMALING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33938-2025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45842</v>
      </c>
      <c r="E588" s="1" t="n">
        <v>46288</v>
      </c>
      <c r="F588" t="inlineStr">
        <is>
          <t>VÄSTERBOTTENS LÄN</t>
        </is>
      </c>
      <c r="G588" t="inlineStr">
        <is>
          <t>NORDMALING</t>
        </is>
      </c>
      <c r="H588" t="inlineStr">
        <is>
          <t>SCA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45846</v>
      </c>
      <c r="E589" s="1" t="n">
        <v>46288</v>
      </c>
      <c r="F589" t="inlineStr">
        <is>
          <t>VÄSTERBOTTENS LÄN</t>
        </is>
      </c>
      <c r="G589" t="inlineStr">
        <is>
          <t>NORDMALING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45849</v>
      </c>
      <c r="E590" s="1" t="n">
        <v>46288</v>
      </c>
      <c r="F590" t="inlineStr">
        <is>
          <t>VÄSTERBOTTENS LÄN</t>
        </is>
      </c>
      <c r="G590" t="inlineStr">
        <is>
          <t>NORDMALING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45852</v>
      </c>
      <c r="E591" s="1" t="n">
        <v>46288</v>
      </c>
      <c r="F591" t="inlineStr">
        <is>
          <t>VÄSTERBOTTENS LÄN</t>
        </is>
      </c>
      <c r="G591" t="inlineStr">
        <is>
          <t>NORDMALING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26927-2024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45470</v>
      </c>
      <c r="E592" s="1" t="n">
        <v>46288</v>
      </c>
      <c r="F592" t="inlineStr">
        <is>
          <t>VÄSTERBOTTENS LÄN</t>
        </is>
      </c>
      <c r="G592" t="inlineStr">
        <is>
          <t>NORDMALING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36281-2025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46288</v>
      </c>
      <c r="F593" t="inlineStr">
        <is>
          <t>VÄSTERBOTTENS LÄN</t>
        </is>
      </c>
      <c r="G593" t="inlineStr">
        <is>
          <t>NORDMALING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45866</v>
      </c>
      <c r="E594" s="1" t="n">
        <v>46288</v>
      </c>
      <c r="F594" t="inlineStr">
        <is>
          <t>VÄSTERBOTTENS LÄN</t>
        </is>
      </c>
      <c r="G594" t="inlineStr">
        <is>
          <t>NORDMALING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830-2022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44603</v>
      </c>
      <c r="E595" s="1" t="n">
        <v>46288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183.1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46288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46288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46288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73-2025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45667</v>
      </c>
      <c r="E599" s="1" t="n">
        <v>46288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9259-2021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44517</v>
      </c>
      <c r="E600" s="1" t="n">
        <v>46288</v>
      </c>
      <c r="F600" t="inlineStr">
        <is>
          <t>VÄSTERBOTTENS LÄN</t>
        </is>
      </c>
      <c r="G600" t="inlineStr">
        <is>
          <t>NORDMALING</t>
        </is>
      </c>
      <c r="I600" t="n">
        <v>17.8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4194-2023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45250</v>
      </c>
      <c r="E601" s="1" t="n">
        <v>46288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27.6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5071-2024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45638</v>
      </c>
      <c r="E602" s="1" t="n">
        <v>46288</v>
      </c>
      <c r="F602" t="inlineStr">
        <is>
          <t>VÄSTERBOTTENS LÄN</t>
        </is>
      </c>
      <c r="G602" t="inlineStr">
        <is>
          <t>NORDMALING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1247-2025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46288</v>
      </c>
      <c r="F603" t="inlineStr">
        <is>
          <t>VÄSTERBOTTENS LÄN</t>
        </is>
      </c>
      <c r="G603" t="inlineStr">
        <is>
          <t>NORDMALING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1248-2025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46288</v>
      </c>
      <c r="F604" t="inlineStr">
        <is>
          <t>VÄSTERBOTTENS LÄN</t>
        </is>
      </c>
      <c r="G604" t="inlineStr">
        <is>
          <t>NORDMALING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46288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46288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46288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46288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1170-2026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46135</v>
      </c>
      <c r="E609" s="1" t="n">
        <v>46288</v>
      </c>
      <c r="F609" t="inlineStr">
        <is>
          <t>VÄSTERBOTTENS LÄN</t>
        </is>
      </c>
      <c r="G609" t="inlineStr">
        <is>
          <t>NORDMALING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1299-2026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46148</v>
      </c>
      <c r="E610" s="1" t="n">
        <v>46288</v>
      </c>
      <c r="F610" t="inlineStr">
        <is>
          <t>VÄSTERBOTTENS LÄN</t>
        </is>
      </c>
      <c r="G610" t="inlineStr">
        <is>
          <t>NORDMALING</t>
        </is>
      </c>
      <c r="I610" t="n">
        <v>17.6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2026-09-23T01:55:16Z</dcterms:created>
  <dcterms:modified xmlns:dcterms="http://purl.org/dc/terms/" xmlns:xsi="http://www.w3.org/2001/XMLSchema-instance" xsi:type="dcterms:W3CDTF">2026-09-23T01:55:16Z</dcterms:modified>
</cp:coreProperties>
</file>