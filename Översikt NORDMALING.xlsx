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46312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46312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46312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46312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46312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46312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46312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46312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46312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46312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46312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46312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46312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46312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46312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46312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46312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46312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46312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46312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46312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46312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46312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46312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46312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46312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46312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46312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46312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46312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46312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46312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46312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46312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55632-2023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46312</v>
      </c>
      <c r="F36" t="inlineStr">
        <is>
          <t>VÄSTERBOTTENS LÄN</t>
        </is>
      </c>
      <c r="G36" t="inlineStr">
        <is>
          <t>NORDMALING</t>
        </is>
      </c>
      <c r="I36" t="n">
        <v>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Skinnlav</t>
        </is>
      </c>
      <c r="W36">
        <f>HYPERLINK("https://klasma.github.io/Logging_2401/artfynd/A 55632-2023 artfynd.xlsx", "A 55632-2023")</f>
        <v/>
      </c>
      <c r="X36">
        <f>HYPERLINK("https://klasma.github.io/Logging_2401/kartor/A 55632-2023 karta.png", "A 55632-2023")</f>
        <v/>
      </c>
      <c r="Y36">
        <f>HYPERLINK("https://klasma.github.io/Logging_2401/kartor_geotiff/A 55632-2023 georefererad karta.tif", "A 55632-2023")</f>
        <v/>
      </c>
      <c r="AA36">
        <f>HYPERLINK("https://klasma.github.io/Logging_2401/klagomål/A 55632-2023 FSC-klagomål.docx", "A 55632-2023")</f>
        <v/>
      </c>
      <c r="AB36">
        <f>HYPERLINK("https://klasma.github.io/Logging_2401/klagomålsmail/A 55632-2023 FSC-klagomål mail.docx", "A 55632-2023")</f>
        <v/>
      </c>
      <c r="AC36">
        <f>HYPERLINK("https://klasma.github.io/Logging_2401/tillsyn/A 55632-2023 tillsynsbegäran.docx", "A 55632-2023")</f>
        <v/>
      </c>
      <c r="AD36">
        <f>HYPERLINK("https://klasma.github.io/Logging_2401/tillsynsmail/A 55632-2023 tillsynsbegäran mail.docx", "A 55632-2023")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46312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46312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46312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46312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46312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46312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46312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46312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HYPERLINK("https://klasma.github.io/Logging_2401/artfynd/A 6993-2024 artfynd.xlsx", "A 6993-2024")</f>
        <v/>
      </c>
      <c r="X46">
        <f>HYPERLINK("https://klasma.github.io/Logging_2401/kartor/A 6993-2024 karta.png", "A 6993-2024")</f>
        <v/>
      </c>
      <c r="Y46">
        <f>HYPERLINK("https://klasma.github.io/Logging_2401/kartor_geotiff/A 6993-2024 georefererad karta.tif", "A 6993-2024")</f>
        <v/>
      </c>
      <c r="AA46">
        <f>HYPERLINK("https://klasma.github.io/Logging_2401/klagomål/A 6993-2024 FSC-klagomål.docx", "A 6993-2024")</f>
        <v/>
      </c>
      <c r="AB46">
        <f>HYPERLINK("https://klasma.github.io/Logging_2401/klagomålsmail/A 6993-2024 FSC-klagomål mail.docx", "A 6993-2024")</f>
        <v/>
      </c>
      <c r="AC46">
        <f>HYPERLINK("https://klasma.github.io/Logging_2401/tillsyn/A 6993-2024 tillsynsbegäran.docx", "A 6993-2024")</f>
        <v/>
      </c>
      <c r="AD46">
        <f>HYPERLINK("https://klasma.github.io/Logging_2401/tillsynsmail/A 6993-2024 tillsynsbegäran mail.docx", "A 6993-2024")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46312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46312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46312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46312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46312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46312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33496-2022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44788</v>
      </c>
      <c r="E53" s="1" t="n">
        <v>46312</v>
      </c>
      <c r="F53" t="inlineStr">
        <is>
          <t>VÄSTERBOTTENS LÄN</t>
        </is>
      </c>
      <c r="G53" t="inlineStr">
        <is>
          <t>NORDMALING</t>
        </is>
      </c>
      <c r="I53" t="n">
        <v>6.5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Buskskvätta</t>
        </is>
      </c>
      <c r="W53">
        <f>HYPERLINK("https://klasma.github.io/Logging_2401/artfynd/A 33496-2022 artfynd.xlsx", "A 33496-2022")</f>
        <v/>
      </c>
      <c r="X53">
        <f>HYPERLINK("https://klasma.github.io/Logging_2401/kartor/A 33496-2022 karta.png", "A 33496-2022")</f>
        <v/>
      </c>
      <c r="Y53">
        <f>HYPERLINK("https://klasma.github.io/Logging_2401/kartor_geotiff/A 33496-2022 georefererad karta.tif", "A 33496-2022")</f>
        <v/>
      </c>
      <c r="AA53">
        <f>HYPERLINK("https://klasma.github.io/Logging_2401/klagomål/A 33496-2022 FSC-klagomål.docx", "A 33496-2022")</f>
        <v/>
      </c>
      <c r="AB53">
        <f>HYPERLINK("https://klasma.github.io/Logging_2401/klagomålsmail/A 33496-2022 FSC-klagomål mail.docx", "A 33496-2022")</f>
        <v/>
      </c>
      <c r="AC53">
        <f>HYPERLINK("https://klasma.github.io/Logging_2401/tillsyn/A 33496-2022 tillsynsbegäran.docx", "A 33496-2022")</f>
        <v/>
      </c>
      <c r="AD53">
        <f>HYPERLINK("https://klasma.github.io/Logging_2401/tillsynsmail/A 33496-2022 tillsynsbegäran mail.docx", "A 33496-2022")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46312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46312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46312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46312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46312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46312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46312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46312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46312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A 29323-2025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46312</v>
      </c>
      <c r="F63" t="inlineStr">
        <is>
          <t>VÄSTERBOTTENS LÄN</t>
        </is>
      </c>
      <c r="G63" t="inlineStr">
        <is>
          <t>NORDMALING</t>
        </is>
      </c>
      <c r="I63" t="n">
        <v>2.9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HYPERLINK("https://klasma.github.io/Logging_2401/artfynd/A 29323-2025 artfynd.xlsx", "A 29323-2025")</f>
        <v/>
      </c>
      <c r="X63">
        <f>HYPERLINK("https://klasma.github.io/Logging_2401/kartor/A 29323-2025 karta.png", "A 29323-2025")</f>
        <v/>
      </c>
      <c r="Y63">
        <f>HYPERLINK("https://klasma.github.io/Logging_2401/kartor_geotiff/A 29323-2025 georefererad karta.tif", "A 29323-2025")</f>
        <v/>
      </c>
      <c r="AA63">
        <f>HYPERLINK("https://klasma.github.io/Logging_2401/klagomål/A 29323-2025 FSC-klagomål.docx", "A 29323-2025")</f>
        <v/>
      </c>
      <c r="AB63">
        <f>HYPERLINK("https://klasma.github.io/Logging_2401/klagomålsmail/A 29323-2025 FSC-klagomål mail.docx", "A 29323-2025")</f>
        <v/>
      </c>
      <c r="AC63">
        <f>HYPERLINK("https://klasma.github.io/Logging_2401/tillsyn/A 29323-2025 tillsynsbegäran.docx", "A 29323-2025")</f>
        <v/>
      </c>
      <c r="AD63">
        <f>HYPERLINK("https://klasma.github.io/Logging_2401/tillsynsmail/A 29323-2025 tillsynsbegäran mail.docx", "A 29323-2025")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46312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46312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46312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46312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46312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46312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46312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46312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46312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46312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46312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46312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46312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46312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46312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46312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46312</v>
      </c>
      <c r="F85" t="inlineStr">
        <is>
          <t>VÄSTERBOTTENS LÄN</t>
        </is>
      </c>
      <c r="G85" t="inlineStr">
        <is>
          <t>NORDMALING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46312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46312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46312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46312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46312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46312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46312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46312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46312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46312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46312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46312</v>
      </c>
      <c r="F99" t="inlineStr">
        <is>
          <t>VÄSTERBOTTENS LÄN</t>
        </is>
      </c>
      <c r="G99" t="inlineStr">
        <is>
          <t>NORDMALING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46312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46312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46312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46312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46312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46312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46312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46312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46312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46312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46312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46312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46312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46312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46312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46312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46312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46312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46312</v>
      </c>
      <c r="F118" t="inlineStr">
        <is>
          <t>VÄSTERBOTTENS LÄN</t>
        </is>
      </c>
      <c r="G118" t="inlineStr">
        <is>
          <t>NORDMALING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46312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46312</v>
      </c>
      <c r="F120" t="inlineStr">
        <is>
          <t>VÄSTERBOTTENS LÄN</t>
        </is>
      </c>
      <c r="G120" t="inlineStr">
        <is>
          <t>NORDMALING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46312</v>
      </c>
      <c r="F121" t="inlineStr">
        <is>
          <t>VÄSTERBOTTENS LÄN</t>
        </is>
      </c>
      <c r="G121" t="inlineStr">
        <is>
          <t>NORDMALING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45343</v>
      </c>
      <c r="E122" s="1" t="n">
        <v>46312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Kommuner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30715-2022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44763</v>
      </c>
      <c r="E123" s="1" t="n">
        <v>46312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46312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46312</v>
      </c>
      <c r="F125" t="inlineStr">
        <is>
          <t>VÄSTERBOTTENS LÄN</t>
        </is>
      </c>
      <c r="G125" t="inlineStr">
        <is>
          <t>NORDMALING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46312</v>
      </c>
      <c r="F126" t="inlineStr">
        <is>
          <t>VÄSTERBOTTENS LÄN</t>
        </is>
      </c>
      <c r="G126" t="inlineStr">
        <is>
          <t>NORDMALING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46312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46312</v>
      </c>
      <c r="F128" t="inlineStr">
        <is>
          <t>VÄSTERBOTTENS LÄN</t>
        </is>
      </c>
      <c r="G128" t="inlineStr">
        <is>
          <t>NORDMALING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46312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46312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46312</v>
      </c>
      <c r="F131" t="inlineStr">
        <is>
          <t>VÄSTERBOTTENS LÄN</t>
        </is>
      </c>
      <c r="G131" t="inlineStr">
        <is>
          <t>NORDMALING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45587</v>
      </c>
      <c r="E132" s="1" t="n">
        <v>46312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46312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46312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46312</v>
      </c>
      <c r="F135" t="inlineStr">
        <is>
          <t>VÄSTERBOTTENS LÄN</t>
        </is>
      </c>
      <c r="G135" t="inlineStr">
        <is>
          <t>NORDMALING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46312</v>
      </c>
      <c r="F136" t="inlineStr">
        <is>
          <t>VÄSTERBOTTENS LÄN</t>
        </is>
      </c>
      <c r="G136" t="inlineStr">
        <is>
          <t>NORDMALING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46312</v>
      </c>
      <c r="F137" t="inlineStr">
        <is>
          <t>VÄSTERBOTTENS LÄN</t>
        </is>
      </c>
      <c r="G137" t="inlineStr">
        <is>
          <t>NORDMALING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46312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45419</v>
      </c>
      <c r="E139" s="1" t="n">
        <v>46312</v>
      </c>
      <c r="F139" t="inlineStr">
        <is>
          <t>VÄSTERBOTTENS LÄN</t>
        </is>
      </c>
      <c r="G139" t="inlineStr">
        <is>
          <t>NORDMALING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46312</v>
      </c>
      <c r="F140" t="inlineStr">
        <is>
          <t>VÄSTERBOTTENS LÄN</t>
        </is>
      </c>
      <c r="G140" t="inlineStr">
        <is>
          <t>NORDMALING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46312</v>
      </c>
      <c r="F141" t="inlineStr">
        <is>
          <t>VÄSTERBOTTENS LÄN</t>
        </is>
      </c>
      <c r="G141" t="inlineStr">
        <is>
          <t>NORDMALING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46312</v>
      </c>
      <c r="F142" t="inlineStr">
        <is>
          <t>VÄSTERBOTTENS LÄN</t>
        </is>
      </c>
      <c r="G142" t="inlineStr">
        <is>
          <t>NORDMALING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44905</v>
      </c>
      <c r="E143" s="1" t="n">
        <v>46312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46312</v>
      </c>
      <c r="F144" t="inlineStr">
        <is>
          <t>VÄSTERBOTTENS LÄN</t>
        </is>
      </c>
      <c r="G144" t="inlineStr">
        <is>
          <t>NORDMALING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46312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46312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46312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46312</v>
      </c>
      <c r="F148" t="inlineStr">
        <is>
          <t>VÄSTERBOTTENS LÄN</t>
        </is>
      </c>
      <c r="G148" t="inlineStr">
        <is>
          <t>NORDMALING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46312</v>
      </c>
      <c r="F149" t="inlineStr">
        <is>
          <t>VÄSTERBOTTENS LÄN</t>
        </is>
      </c>
      <c r="G149" t="inlineStr">
        <is>
          <t>NORDMALING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46312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46312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46312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46312</v>
      </c>
      <c r="F153" t="inlineStr">
        <is>
          <t>VÄSTERBOTTENS LÄN</t>
        </is>
      </c>
      <c r="G153" t="inlineStr">
        <is>
          <t>NORDMALING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46312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46312</v>
      </c>
      <c r="F155" t="inlineStr">
        <is>
          <t>VÄSTERBOTTENS LÄN</t>
        </is>
      </c>
      <c r="G155" t="inlineStr">
        <is>
          <t>NORDMALING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46312</v>
      </c>
      <c r="F156" t="inlineStr">
        <is>
          <t>VÄSTERBOTTENS LÄN</t>
        </is>
      </c>
      <c r="G156" t="inlineStr">
        <is>
          <t>NORDMALING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46312</v>
      </c>
      <c r="F157" t="inlineStr">
        <is>
          <t>VÄSTERBOTTENS LÄN</t>
        </is>
      </c>
      <c r="G157" t="inlineStr">
        <is>
          <t>NORDMALING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46312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46312</v>
      </c>
      <c r="F159" t="inlineStr">
        <is>
          <t>VÄSTERBOTTENS LÄN</t>
        </is>
      </c>
      <c r="G159" t="inlineStr">
        <is>
          <t>NORDMALING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46312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46312</v>
      </c>
      <c r="F161" t="inlineStr">
        <is>
          <t>VÄSTERBOTTENS LÄN</t>
        </is>
      </c>
      <c r="G161" t="inlineStr">
        <is>
          <t>NORDMALING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46312</v>
      </c>
      <c r="F162" t="inlineStr">
        <is>
          <t>VÄSTERBOTTENS LÄN</t>
        </is>
      </c>
      <c r="G162" t="inlineStr">
        <is>
          <t>NORDMALING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46312</v>
      </c>
      <c r="F163" t="inlineStr">
        <is>
          <t>VÄSTERBOTTENS LÄN</t>
        </is>
      </c>
      <c r="G163" t="inlineStr">
        <is>
          <t>NORDMALING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46312</v>
      </c>
      <c r="F164" t="inlineStr">
        <is>
          <t>VÄSTERBOTTENS LÄN</t>
        </is>
      </c>
      <c r="G164" t="inlineStr">
        <is>
          <t>NORDMALING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46312</v>
      </c>
      <c r="F165" t="inlineStr">
        <is>
          <t>VÄSTERBOTTENS LÄN</t>
        </is>
      </c>
      <c r="G165" t="inlineStr">
        <is>
          <t>NORDMALING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46312</v>
      </c>
      <c r="F166" t="inlineStr">
        <is>
          <t>VÄSTERBOTTENS LÄN</t>
        </is>
      </c>
      <c r="G166" t="inlineStr">
        <is>
          <t>NORDMALING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46312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34184-2023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45126</v>
      </c>
      <c r="E168" s="1" t="n">
        <v>46312</v>
      </c>
      <c r="F168" t="inlineStr">
        <is>
          <t>VÄSTERBOTTENS LÄN</t>
        </is>
      </c>
      <c r="G168" t="inlineStr">
        <is>
          <t>NORDMALING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72841-2021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44547</v>
      </c>
      <c r="E169" s="1" t="n">
        <v>46312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46312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46312</v>
      </c>
      <c r="F171" t="inlineStr">
        <is>
          <t>VÄSTERBOTTENS LÄN</t>
        </is>
      </c>
      <c r="G171" t="inlineStr">
        <is>
          <t>NORDMALING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46312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45770</v>
      </c>
      <c r="E173" s="1" t="n">
        <v>46312</v>
      </c>
      <c r="F173" t="inlineStr">
        <is>
          <t>VÄSTERBOTTENS LÄN</t>
        </is>
      </c>
      <c r="G173" t="inlineStr">
        <is>
          <t>NORDMALING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46312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46312</v>
      </c>
      <c r="F175" t="inlineStr">
        <is>
          <t>VÄSTERBOTTENS LÄN</t>
        </is>
      </c>
      <c r="G175" t="inlineStr">
        <is>
          <t>NORDMALING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72018-2021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44540</v>
      </c>
      <c r="E176" s="1" t="n">
        <v>46312</v>
      </c>
      <c r="F176" t="inlineStr">
        <is>
          <t>VÄSTERBOTTENS LÄN</t>
        </is>
      </c>
      <c r="G176" t="inlineStr">
        <is>
          <t>NORDMALING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46312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46312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46312</v>
      </c>
      <c r="F179" t="inlineStr">
        <is>
          <t>VÄSTERBOTTENS LÄN</t>
        </is>
      </c>
      <c r="G179" t="inlineStr">
        <is>
          <t>NORDMALING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46312</v>
      </c>
      <c r="F180" t="inlineStr">
        <is>
          <t>VÄSTERBOTTENS LÄN</t>
        </is>
      </c>
      <c r="G180" t="inlineStr">
        <is>
          <t>NORDMALING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46312</v>
      </c>
      <c r="F181" t="inlineStr">
        <is>
          <t>VÄSTERBOTTENS LÄN</t>
        </is>
      </c>
      <c r="G181" t="inlineStr">
        <is>
          <t>NORDMALING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46312</v>
      </c>
      <c r="F182" t="inlineStr">
        <is>
          <t>VÄSTERBOTTENS LÄN</t>
        </is>
      </c>
      <c r="G182" t="inlineStr">
        <is>
          <t>NORDMALING</t>
        </is>
      </c>
      <c r="I182" t="n">
        <v>16.1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46312</v>
      </c>
      <c r="F183" t="inlineStr">
        <is>
          <t>VÄSTERBOTTENS LÄN</t>
        </is>
      </c>
      <c r="G183" t="inlineStr">
        <is>
          <t>NORDMALING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46312</v>
      </c>
      <c r="F184" t="inlineStr">
        <is>
          <t>VÄSTERBOTTENS LÄN</t>
        </is>
      </c>
      <c r="G184" t="inlineStr">
        <is>
          <t>NORDMALING</t>
        </is>
      </c>
      <c r="I184" t="n">
        <v>11.1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46312</v>
      </c>
      <c r="F185" t="inlineStr">
        <is>
          <t>VÄSTERBOTTENS LÄN</t>
        </is>
      </c>
      <c r="G185" t="inlineStr">
        <is>
          <t>NORDMALING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46312</v>
      </c>
      <c r="F186" t="inlineStr">
        <is>
          <t>VÄSTERBOTTENS LÄN</t>
        </is>
      </c>
      <c r="G186" t="inlineStr">
        <is>
          <t>NORDMALING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46312</v>
      </c>
      <c r="F187" t="inlineStr">
        <is>
          <t>VÄSTERBOTTENS LÄN</t>
        </is>
      </c>
      <c r="G187" t="inlineStr">
        <is>
          <t>NORDMALING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46312</v>
      </c>
      <c r="F188" t="inlineStr">
        <is>
          <t>VÄSTERBOTTENS LÄN</t>
        </is>
      </c>
      <c r="G188" t="inlineStr">
        <is>
          <t>NORDMALING</t>
        </is>
      </c>
      <c r="I188" t="n">
        <v>14.8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46312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46312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Kommuner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46312</v>
      </c>
      <c r="F191" t="inlineStr">
        <is>
          <t>VÄSTERBOTTENS LÄN</t>
        </is>
      </c>
      <c r="G191" t="inlineStr">
        <is>
          <t>NORDMALING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46312</v>
      </c>
      <c r="F192" t="inlineStr">
        <is>
          <t>VÄSTERBOTTENS LÄN</t>
        </is>
      </c>
      <c r="G192" t="inlineStr">
        <is>
          <t>NORDMALING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46312</v>
      </c>
      <c r="F193" t="inlineStr">
        <is>
          <t>VÄSTERBOTTENS LÄN</t>
        </is>
      </c>
      <c r="G193" t="inlineStr">
        <is>
          <t>NORDMALING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46312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46312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44834</v>
      </c>
      <c r="E196" s="1" t="n">
        <v>46312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46312</v>
      </c>
      <c r="F197" t="inlineStr">
        <is>
          <t>VÄSTERBOTTENS LÄN</t>
        </is>
      </c>
      <c r="G197" t="inlineStr">
        <is>
          <t>NORDMALING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46312</v>
      </c>
      <c r="F198" t="inlineStr">
        <is>
          <t>VÄSTERBOTTENS LÄN</t>
        </is>
      </c>
      <c r="G198" t="inlineStr">
        <is>
          <t>NORDMALING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46312</v>
      </c>
      <c r="F199" t="inlineStr">
        <is>
          <t>VÄSTERBOTTENS LÄN</t>
        </is>
      </c>
      <c r="G199" t="inlineStr">
        <is>
          <t>NORDMALING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46312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46312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45536</v>
      </c>
      <c r="E202" s="1" t="n">
        <v>46312</v>
      </c>
      <c r="F202" t="inlineStr">
        <is>
          <t>VÄSTERBOTTENS LÄN</t>
        </is>
      </c>
      <c r="G202" t="inlineStr">
        <is>
          <t>NORDMALING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46312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46312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46312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46312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46312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46312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69519-2021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46312</v>
      </c>
      <c r="F209" t="inlineStr">
        <is>
          <t>VÄSTERBOTTENS LÄN</t>
        </is>
      </c>
      <c r="G209" t="inlineStr">
        <is>
          <t>NORDMALING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46151</v>
      </c>
      <c r="E210" s="1" t="n">
        <v>46312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46151</v>
      </c>
      <c r="E211" s="1" t="n">
        <v>46312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46312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46312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46312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61795-2023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45265</v>
      </c>
      <c r="E215" s="1" t="n">
        <v>46312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46312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46312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61793-2023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45265</v>
      </c>
      <c r="E218" s="1" t="n">
        <v>46312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46312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45102</v>
      </c>
      <c r="E220" s="1" t="n">
        <v>46312</v>
      </c>
      <c r="F220" t="inlineStr">
        <is>
          <t>VÄSTERBOTTENS LÄN</t>
        </is>
      </c>
      <c r="G220" t="inlineStr">
        <is>
          <t>NORDMALING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46312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46312</v>
      </c>
      <c r="F222" t="inlineStr">
        <is>
          <t>VÄSTERBOTTENS LÄN</t>
        </is>
      </c>
      <c r="G222" t="inlineStr">
        <is>
          <t>NORDMALING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46312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46312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46312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46312</v>
      </c>
      <c r="F226" t="inlineStr">
        <is>
          <t>VÄSTERBOTTENS LÄN</t>
        </is>
      </c>
      <c r="G226" t="inlineStr">
        <is>
          <t>NORDMALING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44938</v>
      </c>
      <c r="E227" s="1" t="n">
        <v>46312</v>
      </c>
      <c r="F227" t="inlineStr">
        <is>
          <t>VÄSTERBOTTENS LÄN</t>
        </is>
      </c>
      <c r="G227" t="inlineStr">
        <is>
          <t>NORDMALING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46312</v>
      </c>
      <c r="F228" t="inlineStr">
        <is>
          <t>VÄSTERBOTTENS LÄN</t>
        </is>
      </c>
      <c r="G228" t="inlineStr">
        <is>
          <t>NORDMALING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46312</v>
      </c>
      <c r="F229" t="inlineStr">
        <is>
          <t>VÄSTERBOTTENS LÄN</t>
        </is>
      </c>
      <c r="G229" t="inlineStr">
        <is>
          <t>NORDMALING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51542-2025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45950</v>
      </c>
      <c r="E230" s="1" t="n">
        <v>46312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46312</v>
      </c>
      <c r="F231" t="inlineStr">
        <is>
          <t>VÄSTERBOTTENS LÄN</t>
        </is>
      </c>
      <c r="G231" t="inlineStr">
        <is>
          <t>NORDMALING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46312</v>
      </c>
      <c r="F232" t="inlineStr">
        <is>
          <t>VÄSTERBOTTENS LÄN</t>
        </is>
      </c>
      <c r="G232" t="inlineStr">
        <is>
          <t>NORDMALING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46312</v>
      </c>
      <c r="F233" t="inlineStr">
        <is>
          <t>VÄSTERBOTTENS LÄN</t>
        </is>
      </c>
      <c r="G233" t="inlineStr">
        <is>
          <t>NORDMALING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46312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46312</v>
      </c>
      <c r="F235" t="inlineStr">
        <is>
          <t>VÄSTERBOTTENS LÄN</t>
        </is>
      </c>
      <c r="G235" t="inlineStr">
        <is>
          <t>NORDMALING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46312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46312</v>
      </c>
      <c r="F237" t="inlineStr">
        <is>
          <t>VÄSTERBOTTENS LÄN</t>
        </is>
      </c>
      <c r="G237" t="inlineStr">
        <is>
          <t>NORDMALING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46312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46312</v>
      </c>
      <c r="F239" t="inlineStr">
        <is>
          <t>VÄSTERBOTTENS LÄN</t>
        </is>
      </c>
      <c r="G239" t="inlineStr">
        <is>
          <t>NORDMALING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46312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23005-2026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46160</v>
      </c>
      <c r="E241" s="1" t="n">
        <v>46312</v>
      </c>
      <c r="F241" t="inlineStr">
        <is>
          <t>VÄSTERBOTTENS LÄN</t>
        </is>
      </c>
      <c r="G241" t="inlineStr">
        <is>
          <t>NORDMALING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46160</v>
      </c>
      <c r="E242" s="1" t="n">
        <v>46312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46312</v>
      </c>
      <c r="F243" t="inlineStr">
        <is>
          <t>VÄSTERBOTTENS LÄN</t>
        </is>
      </c>
      <c r="G243" t="inlineStr">
        <is>
          <t>NORDMALING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45962</v>
      </c>
      <c r="E244" s="1" t="n">
        <v>46312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46312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46312</v>
      </c>
      <c r="F246" t="inlineStr">
        <is>
          <t>VÄSTERBOTTENS LÄN</t>
        </is>
      </c>
      <c r="G246" t="inlineStr">
        <is>
          <t>NORDMALING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46312</v>
      </c>
      <c r="F247" t="inlineStr">
        <is>
          <t>VÄSTERBOTTENS LÄN</t>
        </is>
      </c>
      <c r="G247" t="inlineStr">
        <is>
          <t>NORDMALING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46312</v>
      </c>
      <c r="F248" t="inlineStr">
        <is>
          <t>VÄSTERBOTTENS LÄN</t>
        </is>
      </c>
      <c r="G248" t="inlineStr">
        <is>
          <t>NORDMALING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24850-2023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45078</v>
      </c>
      <c r="E249" s="1" t="n">
        <v>46312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46312</v>
      </c>
      <c r="F250" t="inlineStr">
        <is>
          <t>VÄSTERBOTTENS LÄN</t>
        </is>
      </c>
      <c r="G250" t="inlineStr">
        <is>
          <t>NORDMALING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46312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46312</v>
      </c>
      <c r="F252" t="inlineStr">
        <is>
          <t>VÄSTERBOTTENS LÄN</t>
        </is>
      </c>
      <c r="G252" t="inlineStr">
        <is>
          <t>NORDMALING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46312</v>
      </c>
      <c r="F253" t="inlineStr">
        <is>
          <t>VÄSTERBOTTENS LÄN</t>
        </is>
      </c>
      <c r="G253" t="inlineStr">
        <is>
          <t>NORDMALING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46312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46312</v>
      </c>
      <c r="F255" t="inlineStr">
        <is>
          <t>VÄSTERBOTTENS LÄN</t>
        </is>
      </c>
      <c r="G255" t="inlineStr">
        <is>
          <t>NORDMALING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46312</v>
      </c>
      <c r="F256" t="inlineStr">
        <is>
          <t>VÄSTERBOTTENS LÄN</t>
        </is>
      </c>
      <c r="G256" t="inlineStr">
        <is>
          <t>NORDMALING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46312</v>
      </c>
      <c r="F257" t="inlineStr">
        <is>
          <t>VÄSTERBOTTENS LÄN</t>
        </is>
      </c>
      <c r="G257" t="inlineStr">
        <is>
          <t>NORDMALING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46312</v>
      </c>
      <c r="F258" t="inlineStr">
        <is>
          <t>VÄSTERBOTTENS LÄN</t>
        </is>
      </c>
      <c r="G258" t="inlineStr">
        <is>
          <t>NORDMALING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46312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46312</v>
      </c>
      <c r="F260" t="inlineStr">
        <is>
          <t>VÄSTERBOTTENS LÄN</t>
        </is>
      </c>
      <c r="G260" t="inlineStr">
        <is>
          <t>NORDMALING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46312</v>
      </c>
      <c r="F261" t="inlineStr">
        <is>
          <t>VÄSTERBOTTENS LÄN</t>
        </is>
      </c>
      <c r="G261" t="inlineStr">
        <is>
          <t>NORDMALING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46312</v>
      </c>
      <c r="F262" t="inlineStr">
        <is>
          <t>VÄSTERBOTTENS LÄN</t>
        </is>
      </c>
      <c r="G262" t="inlineStr">
        <is>
          <t>NORDMALING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46312</v>
      </c>
      <c r="F263" t="inlineStr">
        <is>
          <t>VÄSTERBOTTENS LÄN</t>
        </is>
      </c>
      <c r="G263" t="inlineStr">
        <is>
          <t>NORDMALING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46312</v>
      </c>
      <c r="F264" t="inlineStr">
        <is>
          <t>VÄSTERBOTTENS LÄN</t>
        </is>
      </c>
      <c r="G264" t="inlineStr">
        <is>
          <t>NORDMALING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46312</v>
      </c>
      <c r="F265" t="inlineStr">
        <is>
          <t>VÄSTERBOTTENS LÄN</t>
        </is>
      </c>
      <c r="G265" t="inlineStr">
        <is>
          <t>NORDMALING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46312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45607</v>
      </c>
      <c r="E267" s="1" t="n">
        <v>46312</v>
      </c>
      <c r="F267" t="inlineStr">
        <is>
          <t>VÄSTERBOTTENS LÄN</t>
        </is>
      </c>
      <c r="G267" t="inlineStr">
        <is>
          <t>NORDMALING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46312</v>
      </c>
      <c r="F268" t="inlineStr">
        <is>
          <t>VÄSTERBOTTENS LÄN</t>
        </is>
      </c>
      <c r="G268" t="inlineStr">
        <is>
          <t>NORDMALING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46312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45691</v>
      </c>
      <c r="E270" s="1" t="n">
        <v>46312</v>
      </c>
      <c r="F270" t="inlineStr">
        <is>
          <t>VÄSTERBOTTENS LÄN</t>
        </is>
      </c>
      <c r="G270" t="inlineStr">
        <is>
          <t>NORDMALING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46312</v>
      </c>
      <c r="F271" t="inlineStr">
        <is>
          <t>VÄSTERBOTTENS LÄN</t>
        </is>
      </c>
      <c r="G271" t="inlineStr">
        <is>
          <t>NORDMALING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58579-2025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46312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46312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46312</v>
      </c>
      <c r="F274" t="inlineStr">
        <is>
          <t>VÄSTERBOTTENS LÄN</t>
        </is>
      </c>
      <c r="G274" t="inlineStr">
        <is>
          <t>NORDMALING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45433</v>
      </c>
      <c r="E275" s="1" t="n">
        <v>46312</v>
      </c>
      <c r="F275" t="inlineStr">
        <is>
          <t>VÄSTERBOTTENS LÄN</t>
        </is>
      </c>
      <c r="G275" t="inlineStr">
        <is>
          <t>NORDMALING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46312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46312</v>
      </c>
      <c r="F277" t="inlineStr">
        <is>
          <t>VÄSTERBOTTENS LÄN</t>
        </is>
      </c>
      <c r="G277" t="inlineStr">
        <is>
          <t>NORDMALING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46312</v>
      </c>
      <c r="F278" t="inlineStr">
        <is>
          <t>VÄSTERBOTTENS LÄN</t>
        </is>
      </c>
      <c r="G278" t="inlineStr">
        <is>
          <t>NORDMALING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46312</v>
      </c>
      <c r="F279" t="inlineStr">
        <is>
          <t>VÄSTERBOTTENS LÄN</t>
        </is>
      </c>
      <c r="G279" t="inlineStr">
        <is>
          <t>NORDMALING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48940-2022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44859</v>
      </c>
      <c r="E280" s="1" t="n">
        <v>46312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46312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46312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46312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46312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45994</v>
      </c>
      <c r="E285" s="1" t="n">
        <v>46312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46312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46312</v>
      </c>
      <c r="F287" t="inlineStr">
        <is>
          <t>VÄSTERBOTTENS LÄN</t>
        </is>
      </c>
      <c r="G287" t="inlineStr">
        <is>
          <t>NORDMALING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46312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46312</v>
      </c>
      <c r="F289" t="inlineStr">
        <is>
          <t>VÄSTERBOTTENS LÄN</t>
        </is>
      </c>
      <c r="G289" t="inlineStr">
        <is>
          <t>NORDMALING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8103-2025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45707</v>
      </c>
      <c r="E290" s="1" t="n">
        <v>46312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46312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46312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46312</v>
      </c>
      <c r="F293" t="inlineStr">
        <is>
          <t>VÄSTERBOTTENS LÄN</t>
        </is>
      </c>
      <c r="G293" t="inlineStr">
        <is>
          <t>NORDMALING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25214-2026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46171</v>
      </c>
      <c r="E294" s="1" t="n">
        <v>46312</v>
      </c>
      <c r="F294" t="inlineStr">
        <is>
          <t>VÄSTERBOTTENS LÄN</t>
        </is>
      </c>
      <c r="G294" t="inlineStr">
        <is>
          <t>NORDMALING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46312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36814-2024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45538</v>
      </c>
      <c r="E297" s="1" t="n">
        <v>46312</v>
      </c>
      <c r="F297" t="inlineStr">
        <is>
          <t>VÄSTERBOTTENS LÄN</t>
        </is>
      </c>
      <c r="G297" t="inlineStr">
        <is>
          <t>NORDMALING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46312</v>
      </c>
      <c r="F298" t="inlineStr">
        <is>
          <t>VÄSTERBOTTENS LÄN</t>
        </is>
      </c>
      <c r="G298" t="inlineStr">
        <is>
          <t>NORDMALING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46312</v>
      </c>
      <c r="F299" t="inlineStr">
        <is>
          <t>VÄSTERBOTTENS LÄN</t>
        </is>
      </c>
      <c r="G299" t="inlineStr">
        <is>
          <t>NORDMALING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46312</v>
      </c>
      <c r="F300" t="inlineStr">
        <is>
          <t>VÄSTERBOTTENS LÄN</t>
        </is>
      </c>
      <c r="G300" t="inlineStr">
        <is>
          <t>NORDMALING</t>
        </is>
      </c>
      <c r="I300" t="n">
        <v>11.3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46312</v>
      </c>
      <c r="F301" t="inlineStr">
        <is>
          <t>VÄSTERBOTTENS LÄN</t>
        </is>
      </c>
      <c r="G301" t="inlineStr">
        <is>
          <t>NORDMALING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46312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45344</v>
      </c>
      <c r="E303" s="1" t="n">
        <v>46312</v>
      </c>
      <c r="F303" t="inlineStr">
        <is>
          <t>VÄSTERBOTTENS LÄN</t>
        </is>
      </c>
      <c r="G303" t="inlineStr">
        <is>
          <t>NORDMALING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46312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46312</v>
      </c>
      <c r="F305" t="inlineStr">
        <is>
          <t>VÄSTERBOTTENS LÄN</t>
        </is>
      </c>
      <c r="G305" t="inlineStr">
        <is>
          <t>NORDMALING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46312</v>
      </c>
      <c r="F306" t="inlineStr">
        <is>
          <t>VÄSTERBOTTENS LÄN</t>
        </is>
      </c>
      <c r="G306" t="inlineStr">
        <is>
          <t>NORDMALING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46312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46312</v>
      </c>
      <c r="F308" t="inlineStr">
        <is>
          <t>VÄSTERBOTTENS LÄN</t>
        </is>
      </c>
      <c r="G308" t="inlineStr">
        <is>
          <t>NORDMALING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46312</v>
      </c>
      <c r="F309" t="inlineStr">
        <is>
          <t>VÄSTERBOTTENS LÄN</t>
        </is>
      </c>
      <c r="G309" t="inlineStr">
        <is>
          <t>NORDMALING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46312</v>
      </c>
      <c r="F310" t="inlineStr">
        <is>
          <t>VÄSTERBOTTENS LÄN</t>
        </is>
      </c>
      <c r="G310" t="inlineStr">
        <is>
          <t>NORDMALING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46312</v>
      </c>
      <c r="F311" t="inlineStr">
        <is>
          <t>VÄSTERBOTTENS LÄN</t>
        </is>
      </c>
      <c r="G311" t="inlineStr">
        <is>
          <t>NORDMALING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46312</v>
      </c>
      <c r="F312" t="inlineStr">
        <is>
          <t>VÄSTERBOTTENS LÄN</t>
        </is>
      </c>
      <c r="G312" t="inlineStr">
        <is>
          <t>NORDMALING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46312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46312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46312</v>
      </c>
      <c r="F315" t="inlineStr">
        <is>
          <t>VÄSTERBOTTENS LÄN</t>
        </is>
      </c>
      <c r="G315" t="inlineStr">
        <is>
          <t>NORDMALING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46312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46312</v>
      </c>
      <c r="F317" t="inlineStr">
        <is>
          <t>VÄSTERBOTTENS LÄN</t>
        </is>
      </c>
      <c r="G317" t="inlineStr">
        <is>
          <t>NORDMALING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46312</v>
      </c>
      <c r="F318" t="inlineStr">
        <is>
          <t>VÄSTERBOTTENS LÄN</t>
        </is>
      </c>
      <c r="G318" t="inlineStr">
        <is>
          <t>NORDMALING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46312</v>
      </c>
      <c r="F319" t="inlineStr">
        <is>
          <t>VÄSTERBOTTENS LÄN</t>
        </is>
      </c>
      <c r="G319" t="inlineStr">
        <is>
          <t>NORDMALING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45419</v>
      </c>
      <c r="E320" s="1" t="n">
        <v>46312</v>
      </c>
      <c r="F320" t="inlineStr">
        <is>
          <t>VÄSTERBOTTENS LÄN</t>
        </is>
      </c>
      <c r="G320" t="inlineStr">
        <is>
          <t>NORDMALING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46312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45503</v>
      </c>
      <c r="E322" s="1" t="n">
        <v>46312</v>
      </c>
      <c r="F322" t="inlineStr">
        <is>
          <t>VÄSTERBOTTENS LÄN</t>
        </is>
      </c>
      <c r="G322" t="inlineStr">
        <is>
          <t>NORDMALING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46312</v>
      </c>
      <c r="F323" t="inlineStr">
        <is>
          <t>VÄSTERBOTTENS LÄN</t>
        </is>
      </c>
      <c r="G323" t="inlineStr">
        <is>
          <t>NORDMALING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35803-2023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45147</v>
      </c>
      <c r="E324" s="1" t="n">
        <v>46312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46020</v>
      </c>
      <c r="E325" s="1" t="n">
        <v>46312</v>
      </c>
      <c r="F325" t="inlineStr">
        <is>
          <t>VÄSTERBOTTENS LÄN</t>
        </is>
      </c>
      <c r="G325" t="inlineStr">
        <is>
          <t>NORDMALING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46312</v>
      </c>
      <c r="F326" t="inlineStr">
        <is>
          <t>VÄSTERBOTTENS LÄN</t>
        </is>
      </c>
      <c r="G326" t="inlineStr">
        <is>
          <t>NORDMALING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45586</v>
      </c>
      <c r="E327" s="1" t="n">
        <v>46312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46312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46312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46312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46022</v>
      </c>
      <c r="E331" s="1" t="n">
        <v>46312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46312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46312</v>
      </c>
      <c r="F333" t="inlineStr">
        <is>
          <t>VÄSTERBOTTENS LÄN</t>
        </is>
      </c>
      <c r="G333" t="inlineStr">
        <is>
          <t>NORDMALING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45034</v>
      </c>
      <c r="E334" s="1" t="n">
        <v>46312</v>
      </c>
      <c r="F334" t="inlineStr">
        <is>
          <t>VÄSTERBOTTENS LÄN</t>
        </is>
      </c>
      <c r="G334" t="inlineStr">
        <is>
          <t>NORDMALING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46312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46312</v>
      </c>
      <c r="F336" t="inlineStr">
        <is>
          <t>VÄSTERBOTTENS LÄN</t>
        </is>
      </c>
      <c r="G336" t="inlineStr">
        <is>
          <t>NORDMALING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64498-2023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45280</v>
      </c>
      <c r="E337" s="1" t="n">
        <v>46312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46312</v>
      </c>
      <c r="F338" t="inlineStr">
        <is>
          <t>VÄSTERBOTTENS LÄN</t>
        </is>
      </c>
      <c r="G338" t="inlineStr">
        <is>
          <t>NORDMALING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24415-2024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45457</v>
      </c>
      <c r="E339" s="1" t="n">
        <v>46312</v>
      </c>
      <c r="F339" t="inlineStr">
        <is>
          <t>VÄSTERBOTTENS LÄN</t>
        </is>
      </c>
      <c r="G339" t="inlineStr">
        <is>
          <t>NORDMALING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46032</v>
      </c>
      <c r="E340" s="1" t="n">
        <v>46312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46312</v>
      </c>
      <c r="F341" t="inlineStr">
        <is>
          <t>VÄSTERBOTTENS LÄN</t>
        </is>
      </c>
      <c r="G341" t="inlineStr">
        <is>
          <t>NORDMALING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46312</v>
      </c>
      <c r="F342" t="inlineStr">
        <is>
          <t>VÄSTERBOTTENS LÄN</t>
        </is>
      </c>
      <c r="G342" t="inlineStr">
        <is>
          <t>NORDMALING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46312</v>
      </c>
      <c r="F343" t="inlineStr">
        <is>
          <t>VÄSTERBOTTENS LÄN</t>
        </is>
      </c>
      <c r="G343" t="inlineStr">
        <is>
          <t>NORDMALING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45327</v>
      </c>
      <c r="E344" s="1" t="n">
        <v>46312</v>
      </c>
      <c r="F344" t="inlineStr">
        <is>
          <t>VÄSTERBOTTENS LÄN</t>
        </is>
      </c>
      <c r="G344" t="inlineStr">
        <is>
          <t>NORDMALING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46312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46312</v>
      </c>
      <c r="F346" t="inlineStr">
        <is>
          <t>VÄSTERBOTTENS LÄN</t>
        </is>
      </c>
      <c r="G346" t="inlineStr">
        <is>
          <t>NORDMALING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46312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46312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46312</v>
      </c>
      <c r="F349" t="inlineStr">
        <is>
          <t>VÄSTERBOTTENS LÄN</t>
        </is>
      </c>
      <c r="G349" t="inlineStr">
        <is>
          <t>NORDMALING</t>
        </is>
      </c>
      <c r="I349" t="n">
        <v>22.4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46312</v>
      </c>
      <c r="F350" t="inlineStr">
        <is>
          <t>VÄSTERBOTTENS LÄN</t>
        </is>
      </c>
      <c r="G350" t="inlineStr">
        <is>
          <t>NORDMALING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46312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46048</v>
      </c>
      <c r="E352" s="1" t="n">
        <v>46312</v>
      </c>
      <c r="F352" t="inlineStr">
        <is>
          <t>VÄSTERBOTTENS LÄN</t>
        </is>
      </c>
      <c r="G352" t="inlineStr">
        <is>
          <t>NORDMALING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46312</v>
      </c>
      <c r="F353" t="inlineStr">
        <is>
          <t>VÄSTERBOTTENS LÄN</t>
        </is>
      </c>
      <c r="G353" t="inlineStr">
        <is>
          <t>NORDMALING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46312</v>
      </c>
      <c r="F354" t="inlineStr">
        <is>
          <t>VÄSTERBOTTENS LÄN</t>
        </is>
      </c>
      <c r="G354" t="inlineStr">
        <is>
          <t>NORDMALING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46312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45330</v>
      </c>
      <c r="E356" s="1" t="n">
        <v>46312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48945-2022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44859</v>
      </c>
      <c r="E357" s="1" t="n">
        <v>46312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46312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46312</v>
      </c>
      <c r="F359" t="inlineStr">
        <is>
          <t>VÄSTERBOTTENS LÄN</t>
        </is>
      </c>
      <c r="G359" t="inlineStr">
        <is>
          <t>NORDMALING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26796-2026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46185</v>
      </c>
      <c r="E360" s="1" t="n">
        <v>46312</v>
      </c>
      <c r="F360" t="inlineStr">
        <is>
          <t>VÄSTERBOTTENS LÄN</t>
        </is>
      </c>
      <c r="G360" t="inlineStr">
        <is>
          <t>NORDMALING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46312</v>
      </c>
      <c r="F361" t="inlineStr">
        <is>
          <t>VÄSTERBOTTENS LÄN</t>
        </is>
      </c>
      <c r="G361" t="inlineStr">
        <is>
          <t>NORDMALING</t>
        </is>
      </c>
      <c r="I361" t="n">
        <v>19.1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46312</v>
      </c>
      <c r="F362" t="inlineStr">
        <is>
          <t>VÄSTERBOTTENS LÄN</t>
        </is>
      </c>
      <c r="G362" t="inlineStr">
        <is>
          <t>NORDMALING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8173-2022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46312</v>
      </c>
      <c r="F363" t="inlineStr">
        <is>
          <t>VÄSTERBOTTENS LÄN</t>
        </is>
      </c>
      <c r="G363" t="inlineStr">
        <is>
          <t>NORDMALING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46312</v>
      </c>
      <c r="F364" t="inlineStr">
        <is>
          <t>VÄSTERBOTTENS LÄN</t>
        </is>
      </c>
      <c r="G364" t="inlineStr">
        <is>
          <t>NORDMALING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46312</v>
      </c>
      <c r="F365" t="inlineStr">
        <is>
          <t>VÄSTERBOTTENS LÄN</t>
        </is>
      </c>
      <c r="G365" t="inlineStr">
        <is>
          <t>NORDMALING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46312</v>
      </c>
      <c r="F366" t="inlineStr">
        <is>
          <t>VÄSTERBOTTENS LÄN</t>
        </is>
      </c>
      <c r="G366" t="inlineStr">
        <is>
          <t>NORDMALING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46312</v>
      </c>
      <c r="F367" t="inlineStr">
        <is>
          <t>VÄSTERBOTTENS LÄN</t>
        </is>
      </c>
      <c r="G367" t="inlineStr">
        <is>
          <t>NORDMALING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46312</v>
      </c>
      <c r="F368" t="inlineStr">
        <is>
          <t>VÄSTERBOTTENS LÄN</t>
        </is>
      </c>
      <c r="G368" t="inlineStr">
        <is>
          <t>NORDMALING</t>
        </is>
      </c>
      <c r="I368" t="n">
        <v>12.5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46312</v>
      </c>
      <c r="F369" t="inlineStr">
        <is>
          <t>VÄSTERBOTTENS LÄN</t>
        </is>
      </c>
      <c r="G369" t="inlineStr">
        <is>
          <t>NORDMALING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46312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46312</v>
      </c>
      <c r="F371" t="inlineStr">
        <is>
          <t>VÄSTERBOTTENS LÄN</t>
        </is>
      </c>
      <c r="G371" t="inlineStr">
        <is>
          <t>NORDMALING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45775</v>
      </c>
      <c r="E372" s="1" t="n">
        <v>46312</v>
      </c>
      <c r="F372" t="inlineStr">
        <is>
          <t>VÄSTERBOTTENS LÄN</t>
        </is>
      </c>
      <c r="G372" t="inlineStr">
        <is>
          <t>NORDMALING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46312</v>
      </c>
      <c r="F373" t="inlineStr">
        <is>
          <t>VÄSTERBOTTENS LÄN</t>
        </is>
      </c>
      <c r="G373" t="inlineStr">
        <is>
          <t>NORDMALING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45349</v>
      </c>
      <c r="E374" s="1" t="n">
        <v>46312</v>
      </c>
      <c r="F374" t="inlineStr">
        <is>
          <t>VÄSTERBOTTENS LÄN</t>
        </is>
      </c>
      <c r="G374" t="inlineStr">
        <is>
          <t>NORDMALING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46312</v>
      </c>
      <c r="F375" t="inlineStr">
        <is>
          <t>VÄSTERBOTTENS LÄN</t>
        </is>
      </c>
      <c r="G375" t="inlineStr">
        <is>
          <t>NORDMALING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45453</v>
      </c>
      <c r="E376" s="1" t="n">
        <v>46312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46312</v>
      </c>
      <c r="F377" t="inlineStr">
        <is>
          <t>VÄSTERBOTTENS LÄN</t>
        </is>
      </c>
      <c r="G377" t="inlineStr">
        <is>
          <t>NORDMALING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46312</v>
      </c>
      <c r="F378" t="inlineStr">
        <is>
          <t>VÄSTERBOTTENS LÄN</t>
        </is>
      </c>
      <c r="G378" t="inlineStr">
        <is>
          <t>NORDMALING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46312</v>
      </c>
      <c r="F379" t="inlineStr">
        <is>
          <t>VÄSTERBOTTENS LÄN</t>
        </is>
      </c>
      <c r="G379" t="inlineStr">
        <is>
          <t>NORDMALING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46312</v>
      </c>
      <c r="F380" t="inlineStr">
        <is>
          <t>VÄSTERBOTTENS LÄN</t>
        </is>
      </c>
      <c r="G380" t="inlineStr">
        <is>
          <t>NORDMALING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46312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46312</v>
      </c>
      <c r="F382" t="inlineStr">
        <is>
          <t>VÄSTERBOTTENS LÄN</t>
        </is>
      </c>
      <c r="G382" t="inlineStr">
        <is>
          <t>NORDMALING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33612-2022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44789</v>
      </c>
      <c r="E383" s="1" t="n">
        <v>46312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45139</v>
      </c>
      <c r="E384" s="1" t="n">
        <v>46312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46312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46312</v>
      </c>
      <c r="F386" t="inlineStr">
        <is>
          <t>VÄSTERBOTTENS LÄN</t>
        </is>
      </c>
      <c r="G386" t="inlineStr">
        <is>
          <t>NORDMALING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46312</v>
      </c>
      <c r="F387" t="inlineStr">
        <is>
          <t>VÄSTERBOTTENS LÄN</t>
        </is>
      </c>
      <c r="G387" t="inlineStr">
        <is>
          <t>NORDMALING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46312</v>
      </c>
      <c r="F388" t="inlineStr">
        <is>
          <t>VÄSTERBOTTENS LÄN</t>
        </is>
      </c>
      <c r="G388" t="inlineStr">
        <is>
          <t>NORDMALING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46312</v>
      </c>
      <c r="F389" t="inlineStr">
        <is>
          <t>VÄSTERBOTTENS LÄN</t>
        </is>
      </c>
      <c r="G389" t="inlineStr">
        <is>
          <t>NORDMALING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70028-2021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44533</v>
      </c>
      <c r="E390" s="1" t="n">
        <v>46312</v>
      </c>
      <c r="F390" t="inlineStr">
        <is>
          <t>VÄSTERBOTTENS LÄN</t>
        </is>
      </c>
      <c r="G390" t="inlineStr">
        <is>
          <t>NORDMALING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44812</v>
      </c>
      <c r="E391" s="1" t="n">
        <v>46312</v>
      </c>
      <c r="F391" t="inlineStr">
        <is>
          <t>VÄSTERBOTTENS LÄN</t>
        </is>
      </c>
      <c r="G391" t="inlineStr">
        <is>
          <t>NORDMALING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46312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46312</v>
      </c>
      <c r="F393" t="inlineStr">
        <is>
          <t>VÄSTERBOTTENS LÄN</t>
        </is>
      </c>
      <c r="G393" t="inlineStr">
        <is>
          <t>NORDMALING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46312</v>
      </c>
      <c r="F394" t="inlineStr">
        <is>
          <t>VÄSTERBOTTENS LÄN</t>
        </is>
      </c>
      <c r="G394" t="inlineStr">
        <is>
          <t>NORDMALING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46312</v>
      </c>
      <c r="F395" t="inlineStr">
        <is>
          <t>VÄSTERBOTTENS LÄN</t>
        </is>
      </c>
      <c r="G395" t="inlineStr">
        <is>
          <t>NORDMALING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46312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46312</v>
      </c>
      <c r="F397" t="inlineStr">
        <is>
          <t>VÄSTERBOTTENS LÄN</t>
        </is>
      </c>
      <c r="G397" t="inlineStr">
        <is>
          <t>NORDMALING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46312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24712-2023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45075</v>
      </c>
      <c r="E399" s="1" t="n">
        <v>46312</v>
      </c>
      <c r="F399" t="inlineStr">
        <is>
          <t>VÄSTERBOTTENS LÄN</t>
        </is>
      </c>
      <c r="G399" t="inlineStr">
        <is>
          <t>NORDMALING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46197</v>
      </c>
      <c r="E400" s="1" t="n">
        <v>46312</v>
      </c>
      <c r="F400" t="inlineStr">
        <is>
          <t>VÄSTERBOTTENS LÄN</t>
        </is>
      </c>
      <c r="G400" t="inlineStr">
        <is>
          <t>NORDMALING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45524</v>
      </c>
      <c r="E401" s="1" t="n">
        <v>46312</v>
      </c>
      <c r="F401" t="inlineStr">
        <is>
          <t>VÄSTERBOTTENS LÄN</t>
        </is>
      </c>
      <c r="G401" t="inlineStr">
        <is>
          <t>NORDMALING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46312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46312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46312</v>
      </c>
      <c r="F404" t="inlineStr">
        <is>
          <t>VÄSTERBOTTENS LÄN</t>
        </is>
      </c>
      <c r="G404" t="inlineStr">
        <is>
          <t>NORDMALING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46312</v>
      </c>
      <c r="F405" t="inlineStr">
        <is>
          <t>VÄSTERBOTTENS LÄN</t>
        </is>
      </c>
      <c r="G405" t="inlineStr">
        <is>
          <t>NORDMALING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46312</v>
      </c>
      <c r="F406" t="inlineStr">
        <is>
          <t>VÄSTERBOTTENS LÄN</t>
        </is>
      </c>
      <c r="G406" t="inlineStr">
        <is>
          <t>NORDMALING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46312</v>
      </c>
      <c r="F407" t="inlineStr">
        <is>
          <t>VÄSTERBOTTENS LÄN</t>
        </is>
      </c>
      <c r="G407" t="inlineStr">
        <is>
          <t>NORDMALING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46312</v>
      </c>
      <c r="F408" t="inlineStr">
        <is>
          <t>VÄSTERBOTTENS LÄN</t>
        </is>
      </c>
      <c r="G408" t="inlineStr">
        <is>
          <t>NORDMALING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46312</v>
      </c>
      <c r="F409" t="inlineStr">
        <is>
          <t>VÄSTERBOTTENS LÄN</t>
        </is>
      </c>
      <c r="G409" t="inlineStr">
        <is>
          <t>NORDMALING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44907</v>
      </c>
      <c r="E410" s="1" t="n">
        <v>46312</v>
      </c>
      <c r="F410" t="inlineStr">
        <is>
          <t>VÄSTERBOTTENS LÄN</t>
        </is>
      </c>
      <c r="G410" t="inlineStr">
        <is>
          <t>NORDMALING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18839-2026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46129</v>
      </c>
      <c r="E411" s="1" t="n">
        <v>46312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46312</v>
      </c>
      <c r="F412" t="inlineStr">
        <is>
          <t>VÄSTERBOTTENS LÄN</t>
        </is>
      </c>
      <c r="G412" t="inlineStr">
        <is>
          <t>NORDMALING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46312</v>
      </c>
      <c r="F413" t="inlineStr">
        <is>
          <t>VÄSTERBOTTENS LÄN</t>
        </is>
      </c>
      <c r="G413" t="inlineStr">
        <is>
          <t>NORDMALING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46312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46312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46312</v>
      </c>
      <c r="F416" t="inlineStr">
        <is>
          <t>VÄSTERBOTTENS LÄN</t>
        </is>
      </c>
      <c r="G416" t="inlineStr">
        <is>
          <t>NORDMALING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46312</v>
      </c>
      <c r="F417" t="inlineStr">
        <is>
          <t>VÄSTERBOTTENS LÄN</t>
        </is>
      </c>
      <c r="G417" t="inlineStr">
        <is>
          <t>NORDMALING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46312</v>
      </c>
      <c r="F418" t="inlineStr">
        <is>
          <t>VÄSTERBOTTENS LÄN</t>
        </is>
      </c>
      <c r="G418" t="inlineStr">
        <is>
          <t>NORDMALING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46312</v>
      </c>
      <c r="F419" t="inlineStr">
        <is>
          <t>VÄSTERBOTTENS LÄN</t>
        </is>
      </c>
      <c r="G419" t="inlineStr">
        <is>
          <t>NORDMALING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46312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46312</v>
      </c>
      <c r="F421" t="inlineStr">
        <is>
          <t>VÄSTERBOTTENS LÄN</t>
        </is>
      </c>
      <c r="G421" t="inlineStr">
        <is>
          <t>NORDMALING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46312</v>
      </c>
      <c r="F422" t="inlineStr">
        <is>
          <t>VÄSTERBOTTENS LÄN</t>
        </is>
      </c>
      <c r="G422" t="inlineStr">
        <is>
          <t>NORDMALING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46312</v>
      </c>
      <c r="F423" t="inlineStr">
        <is>
          <t>VÄSTERBOTTENS LÄN</t>
        </is>
      </c>
      <c r="G423" t="inlineStr">
        <is>
          <t>NORDMALING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46312</v>
      </c>
      <c r="F424" t="inlineStr">
        <is>
          <t>VÄSTERBOTTENS LÄN</t>
        </is>
      </c>
      <c r="G424" t="inlineStr">
        <is>
          <t>NORDMALING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46312</v>
      </c>
      <c r="F425" t="inlineStr">
        <is>
          <t>VÄSTERBOTTENS LÄN</t>
        </is>
      </c>
      <c r="G425" t="inlineStr">
        <is>
          <t>NORDMALING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39573-2025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45890</v>
      </c>
      <c r="E426" s="1" t="n">
        <v>46312</v>
      </c>
      <c r="F426" t="inlineStr">
        <is>
          <t>VÄSTERBOTTENS LÄN</t>
        </is>
      </c>
      <c r="G426" t="inlineStr">
        <is>
          <t>NORDMALING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46312</v>
      </c>
      <c r="F427" t="inlineStr">
        <is>
          <t>VÄSTERBOTTENS LÄN</t>
        </is>
      </c>
      <c r="G427" t="inlineStr">
        <is>
          <t>NORDMALING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46312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46312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45866</v>
      </c>
      <c r="E430" s="1" t="n">
        <v>46312</v>
      </c>
      <c r="F430" t="inlineStr">
        <is>
          <t>VÄSTERBOTTENS LÄN</t>
        </is>
      </c>
      <c r="G430" t="inlineStr">
        <is>
          <t>NORDMALING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44742</v>
      </c>
      <c r="E431" s="1" t="n">
        <v>46312</v>
      </c>
      <c r="F431" t="inlineStr">
        <is>
          <t>VÄSTERBOTTENS LÄN</t>
        </is>
      </c>
      <c r="G431" t="inlineStr">
        <is>
          <t>NORDMALING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45517</v>
      </c>
      <c r="E432" s="1" t="n">
        <v>46312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Holmen skog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45569</v>
      </c>
      <c r="E433" s="1" t="n">
        <v>46312</v>
      </c>
      <c r="F433" t="inlineStr">
        <is>
          <t>VÄSTERBOTTENS LÄN</t>
        </is>
      </c>
      <c r="G433" t="inlineStr">
        <is>
          <t>NORDMALING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30778-2026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46312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46312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44475-2024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46312</v>
      </c>
      <c r="F436" t="inlineStr">
        <is>
          <t>VÄSTERBOTTENS LÄN</t>
        </is>
      </c>
      <c r="G436" t="inlineStr">
        <is>
          <t>NORDMALING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46312</v>
      </c>
      <c r="F437" t="inlineStr">
        <is>
          <t>VÄSTERBOTTENS LÄN</t>
        </is>
      </c>
      <c r="G437" t="inlineStr">
        <is>
          <t>NORDMALING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46312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46312</v>
      </c>
      <c r="F439" t="inlineStr">
        <is>
          <t>VÄSTERBOTTENS LÄN</t>
        </is>
      </c>
      <c r="G439" t="inlineStr">
        <is>
          <t>NORDMALING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45378</v>
      </c>
      <c r="E440" s="1" t="n">
        <v>46312</v>
      </c>
      <c r="F440" t="inlineStr">
        <is>
          <t>VÄSTERBOTTENS LÄN</t>
        </is>
      </c>
      <c r="G440" t="inlineStr">
        <is>
          <t>NORDMALING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44706</v>
      </c>
      <c r="E441" s="1" t="n">
        <v>46312</v>
      </c>
      <c r="F441" t="inlineStr">
        <is>
          <t>VÄSTERBOTTENS LÄN</t>
        </is>
      </c>
      <c r="G441" t="inlineStr">
        <is>
          <t>NORDMALING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46312</v>
      </c>
      <c r="F442" t="inlineStr">
        <is>
          <t>VÄSTERBOTTENS LÄN</t>
        </is>
      </c>
      <c r="G442" t="inlineStr">
        <is>
          <t>NORDMALING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46312</v>
      </c>
      <c r="F443" t="inlineStr">
        <is>
          <t>VÄSTERBOTTENS LÄN</t>
        </is>
      </c>
      <c r="G443" t="inlineStr">
        <is>
          <t>NORDMALING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46312</v>
      </c>
      <c r="F444" t="inlineStr">
        <is>
          <t>VÄSTERBOTTENS LÄN</t>
        </is>
      </c>
      <c r="G444" t="inlineStr">
        <is>
          <t>NORDMALING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46312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46275</v>
      </c>
      <c r="E446" s="1" t="n">
        <v>46312</v>
      </c>
      <c r="F446" t="inlineStr">
        <is>
          <t>VÄSTERBOTTENS LÄN</t>
        </is>
      </c>
      <c r="G446" t="inlineStr">
        <is>
          <t>NORDMALING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46275</v>
      </c>
      <c r="E447" s="1" t="n">
        <v>46312</v>
      </c>
      <c r="F447" t="inlineStr">
        <is>
          <t>VÄSTERBOTTENS LÄN</t>
        </is>
      </c>
      <c r="G447" t="inlineStr">
        <is>
          <t>NORDMALING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46312</v>
      </c>
      <c r="F448" t="inlineStr">
        <is>
          <t>VÄSTERBOTTENS LÄN</t>
        </is>
      </c>
      <c r="G448" t="inlineStr">
        <is>
          <t>NORDMALING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45525</v>
      </c>
      <c r="E449" s="1" t="n">
        <v>46312</v>
      </c>
      <c r="F449" t="inlineStr">
        <is>
          <t>VÄSTERBOTTENS LÄN</t>
        </is>
      </c>
      <c r="G449" t="inlineStr">
        <is>
          <t>NORDMALING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46312</v>
      </c>
      <c r="F450" t="inlineStr">
        <is>
          <t>VÄSTERBOTTENS LÄN</t>
        </is>
      </c>
      <c r="G450" t="inlineStr">
        <is>
          <t>NORDMALING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46312</v>
      </c>
      <c r="F451" t="inlineStr">
        <is>
          <t>VÄSTERBOTTENS LÄN</t>
        </is>
      </c>
      <c r="G451" t="inlineStr">
        <is>
          <t>NORDMALING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46312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46237</v>
      </c>
      <c r="E453" s="1" t="n">
        <v>46312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46312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46312</v>
      </c>
      <c r="F455" t="inlineStr">
        <is>
          <t>VÄSTERBOTTENS LÄN</t>
        </is>
      </c>
      <c r="G455" t="inlineStr">
        <is>
          <t>NORDMALING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45462</v>
      </c>
      <c r="E456" s="1" t="n">
        <v>46312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45245</v>
      </c>
      <c r="E457" s="1" t="n">
        <v>46312</v>
      </c>
      <c r="F457" t="inlineStr">
        <is>
          <t>VÄSTERBOTTENS LÄN</t>
        </is>
      </c>
      <c r="G457" t="inlineStr">
        <is>
          <t>NORDMALING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46312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24010-2022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44722</v>
      </c>
      <c r="E459" s="1" t="n">
        <v>46312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46312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7618-2024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45348</v>
      </c>
      <c r="E461" s="1" t="n">
        <v>46312</v>
      </c>
      <c r="F461" t="inlineStr">
        <is>
          <t>VÄSTERBOTTENS LÄN</t>
        </is>
      </c>
      <c r="G461" t="inlineStr">
        <is>
          <t>NORDMALING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46312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44854</v>
      </c>
      <c r="E463" s="1" t="n">
        <v>46312</v>
      </c>
      <c r="F463" t="inlineStr">
        <is>
          <t>VÄSTERBOTTENS LÄN</t>
        </is>
      </c>
      <c r="G463" t="inlineStr">
        <is>
          <t>NORDMALING</t>
        </is>
      </c>
      <c r="I463" t="n">
        <v>10.5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45139</v>
      </c>
      <c r="E464" s="1" t="n">
        <v>46312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46312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46312</v>
      </c>
      <c r="F466" t="inlineStr">
        <is>
          <t>VÄSTERBOTTENS LÄN</t>
        </is>
      </c>
      <c r="G466" t="inlineStr">
        <is>
          <t>NORDMALING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46312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45241</v>
      </c>
      <c r="E468" s="1" t="n">
        <v>46312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46312</v>
      </c>
      <c r="F469" t="inlineStr">
        <is>
          <t>VÄSTERBOTTENS LÄN</t>
        </is>
      </c>
      <c r="G469" t="inlineStr">
        <is>
          <t>NORDMALING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46312</v>
      </c>
      <c r="F470" t="inlineStr">
        <is>
          <t>VÄSTERBOTTENS LÄN</t>
        </is>
      </c>
      <c r="G470" t="inlineStr">
        <is>
          <t>NORDMALING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46312</v>
      </c>
      <c r="F471" t="inlineStr">
        <is>
          <t>VÄSTERBOTTENS LÄN</t>
        </is>
      </c>
      <c r="G471" t="inlineStr">
        <is>
          <t>NORDMALING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14689-2025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45742</v>
      </c>
      <c r="E472" s="1" t="n">
        <v>46312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46287</v>
      </c>
      <c r="E473" s="1" t="n">
        <v>46312</v>
      </c>
      <c r="F473" t="inlineStr">
        <is>
          <t>VÄSTERBOTTENS LÄN</t>
        </is>
      </c>
      <c r="G473" t="inlineStr">
        <is>
          <t>NORDMALING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45575</v>
      </c>
      <c r="E474" s="1" t="n">
        <v>46312</v>
      </c>
      <c r="F474" t="inlineStr">
        <is>
          <t>VÄSTERBOTTENS LÄN</t>
        </is>
      </c>
      <c r="G474" t="inlineStr">
        <is>
          <t>NORDMALING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46312</v>
      </c>
      <c r="F475" t="inlineStr">
        <is>
          <t>VÄSTERBOTTENS LÄN</t>
        </is>
      </c>
      <c r="G475" t="inlineStr">
        <is>
          <t>NORDMALING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46312</v>
      </c>
      <c r="F476" t="inlineStr">
        <is>
          <t>VÄSTERBOTTENS LÄN</t>
        </is>
      </c>
      <c r="G476" t="inlineStr">
        <is>
          <t>NORDMALING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46312</v>
      </c>
      <c r="F477" t="inlineStr">
        <is>
          <t>VÄSTERBOTTENS LÄN</t>
        </is>
      </c>
      <c r="G477" t="inlineStr">
        <is>
          <t>NORDMALING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46312</v>
      </c>
      <c r="F478" t="inlineStr">
        <is>
          <t>VÄSTERBOTTENS LÄN</t>
        </is>
      </c>
      <c r="G478" t="inlineStr">
        <is>
          <t>NORDMALING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46312</v>
      </c>
      <c r="F479" t="inlineStr">
        <is>
          <t>VÄSTERBOTTENS LÄN</t>
        </is>
      </c>
      <c r="G479" t="inlineStr">
        <is>
          <t>NORDMALING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46312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46287</v>
      </c>
      <c r="E481" s="1" t="n">
        <v>46312</v>
      </c>
      <c r="F481" t="inlineStr">
        <is>
          <t>VÄSTERBOTTENS LÄN</t>
        </is>
      </c>
      <c r="G481" t="inlineStr">
        <is>
          <t>NORDMALING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45119</v>
      </c>
      <c r="E482" s="1" t="n">
        <v>46312</v>
      </c>
      <c r="F482" t="inlineStr">
        <is>
          <t>VÄSTERBOTTENS LÄN</t>
        </is>
      </c>
      <c r="G482" t="inlineStr">
        <is>
          <t>NORDMALING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46312</v>
      </c>
      <c r="F483" t="inlineStr">
        <is>
          <t>VÄSTERBOTTENS LÄN</t>
        </is>
      </c>
      <c r="G483" t="inlineStr">
        <is>
          <t>NORDMALING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46312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46312</v>
      </c>
      <c r="F485" t="inlineStr">
        <is>
          <t>VÄSTERBOTTENS LÄN</t>
        </is>
      </c>
      <c r="G485" t="inlineStr">
        <is>
          <t>NORDMALING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46312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46312</v>
      </c>
      <c r="F487" t="inlineStr">
        <is>
          <t>VÄSTERBOTTENS LÄN</t>
        </is>
      </c>
      <c r="G487" t="inlineStr">
        <is>
          <t>NORDMALING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46312</v>
      </c>
      <c r="F488" t="inlineStr">
        <is>
          <t>VÄSTERBOTTENS LÄN</t>
        </is>
      </c>
      <c r="G488" t="inlineStr">
        <is>
          <t>NORDMALING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46312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46312</v>
      </c>
      <c r="F490" t="inlineStr">
        <is>
          <t>VÄSTERBOTTENS LÄN</t>
        </is>
      </c>
      <c r="G490" t="inlineStr">
        <is>
          <t>NORDMALING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46312</v>
      </c>
      <c r="F491" t="inlineStr">
        <is>
          <t>VÄSTERBOTTENS LÄN</t>
        </is>
      </c>
      <c r="G491" t="inlineStr">
        <is>
          <t>NORDMALING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46312</v>
      </c>
      <c r="F492" t="inlineStr">
        <is>
          <t>VÄSTERBOTTENS LÄN</t>
        </is>
      </c>
      <c r="G492" t="inlineStr">
        <is>
          <t>NORDMALING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46312</v>
      </c>
      <c r="F493" t="inlineStr">
        <is>
          <t>VÄSTERBOTTENS LÄN</t>
        </is>
      </c>
      <c r="G493" t="inlineStr">
        <is>
          <t>NORDMALING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45141</v>
      </c>
      <c r="E494" s="1" t="n">
        <v>46312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45775</v>
      </c>
      <c r="E495" s="1" t="n">
        <v>46312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39647-2026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46312</v>
      </c>
      <c r="F496" t="inlineStr">
        <is>
          <t>VÄSTERBOTTENS LÄN</t>
        </is>
      </c>
      <c r="G496" t="inlineStr">
        <is>
          <t>NORDMALING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46312</v>
      </c>
      <c r="F497" t="inlineStr">
        <is>
          <t>VÄSTERBOTTENS LÄN</t>
        </is>
      </c>
      <c r="G497" t="inlineStr">
        <is>
          <t>NORDMALING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46312</v>
      </c>
      <c r="F498" t="inlineStr">
        <is>
          <t>VÄSTERBOTTENS LÄN</t>
        </is>
      </c>
      <c r="G498" t="inlineStr">
        <is>
          <t>NORDMALING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46312</v>
      </c>
      <c r="F499" t="inlineStr">
        <is>
          <t>VÄSTERBOTTENS LÄN</t>
        </is>
      </c>
      <c r="G499" t="inlineStr">
        <is>
          <t>NORDMALING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46312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46312</v>
      </c>
      <c r="F501" t="inlineStr">
        <is>
          <t>VÄSTERBOTTENS LÄN</t>
        </is>
      </c>
      <c r="G501" t="inlineStr">
        <is>
          <t>NORDMALING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46312</v>
      </c>
      <c r="F502" t="inlineStr">
        <is>
          <t>VÄSTERBOTTENS LÄN</t>
        </is>
      </c>
      <c r="G502" t="inlineStr">
        <is>
          <t>NORDMALING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46312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46312</v>
      </c>
      <c r="F504" t="inlineStr">
        <is>
          <t>VÄSTERBOTTENS LÄN</t>
        </is>
      </c>
      <c r="G504" t="inlineStr">
        <is>
          <t>NORDMALING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46266</v>
      </c>
      <c r="E505" s="1" t="n">
        <v>46312</v>
      </c>
      <c r="F505" t="inlineStr">
        <is>
          <t>VÄSTERBOTTENS LÄN</t>
        </is>
      </c>
      <c r="G505" t="inlineStr">
        <is>
          <t>NORDMALING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46312</v>
      </c>
      <c r="F506" t="inlineStr">
        <is>
          <t>VÄSTERBOTTENS LÄN</t>
        </is>
      </c>
      <c r="G506" t="inlineStr">
        <is>
          <t>NORDMALING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46312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46312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46246</v>
      </c>
      <c r="E509" s="1" t="n">
        <v>46312</v>
      </c>
      <c r="F509" t="inlineStr">
        <is>
          <t>VÄSTERBOTTENS LÄN</t>
        </is>
      </c>
      <c r="G509" t="inlineStr">
        <is>
          <t>NORDMALING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46312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44816</v>
      </c>
      <c r="E511" s="1" t="n">
        <v>46312</v>
      </c>
      <c r="F511" t="inlineStr">
        <is>
          <t>VÄSTERBOTTENS LÄN</t>
        </is>
      </c>
      <c r="G511" t="inlineStr">
        <is>
          <t>NORDMALING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46312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46293</v>
      </c>
      <c r="E513" s="1" t="n">
        <v>46312</v>
      </c>
      <c r="F513" t="inlineStr">
        <is>
          <t>VÄSTERBOTTENS LÄN</t>
        </is>
      </c>
      <c r="G513" t="inlineStr">
        <is>
          <t>NORDMALING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9860-2022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44620</v>
      </c>
      <c r="E514" s="1" t="n">
        <v>46312</v>
      </c>
      <c r="F514" t="inlineStr">
        <is>
          <t>VÄSTERBOTTENS LÄN</t>
        </is>
      </c>
      <c r="G514" t="inlineStr">
        <is>
          <t>NORDMALING</t>
        </is>
      </c>
      <c r="I514" t="n">
        <v>82.40000000000001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46312</v>
      </c>
      <c r="F515" t="inlineStr">
        <is>
          <t>VÄSTERBOTTENS LÄN</t>
        </is>
      </c>
      <c r="G515" t="inlineStr">
        <is>
          <t>NORDMALING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46312</v>
      </c>
      <c r="F516" t="inlineStr">
        <is>
          <t>VÄSTERBOTTENS LÄN</t>
        </is>
      </c>
      <c r="G516" t="inlineStr">
        <is>
          <t>NORDMALING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46312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46312</v>
      </c>
      <c r="F518" t="inlineStr">
        <is>
          <t>VÄSTERBOTTENS LÄN</t>
        </is>
      </c>
      <c r="G518" t="inlineStr">
        <is>
          <t>NORDMALING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18649-2025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46312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46312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46312</v>
      </c>
      <c r="F521" t="inlineStr">
        <is>
          <t>VÄSTERBOTTENS LÄN</t>
        </is>
      </c>
      <c r="G521" t="inlineStr">
        <is>
          <t>NORDMALING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46312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45216</v>
      </c>
      <c r="E523" s="1" t="n">
        <v>46312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46312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46312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46312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46312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46312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46295</v>
      </c>
      <c r="E529" s="1" t="n">
        <v>46312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45676</v>
      </c>
      <c r="E530" s="1" t="n">
        <v>46312</v>
      </c>
      <c r="F530" t="inlineStr">
        <is>
          <t>VÄSTERBOTTENS LÄN</t>
        </is>
      </c>
      <c r="G530" t="inlineStr">
        <is>
          <t>NORDMALING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46312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46312</v>
      </c>
      <c r="F532" t="inlineStr">
        <is>
          <t>VÄSTERBOTTENS LÄN</t>
        </is>
      </c>
      <c r="G532" t="inlineStr">
        <is>
          <t>NORDMALING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46312</v>
      </c>
      <c r="F533" t="inlineStr">
        <is>
          <t>VÄSTERBOTTENS LÄN</t>
        </is>
      </c>
      <c r="G533" t="inlineStr">
        <is>
          <t>NORDMALING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46293</v>
      </c>
      <c r="E534" s="1" t="n">
        <v>46312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46295</v>
      </c>
      <c r="E535" s="1" t="n">
        <v>46312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46312</v>
      </c>
      <c r="F536" t="inlineStr">
        <is>
          <t>VÄSTERBOTTENS LÄN</t>
        </is>
      </c>
      <c r="G536" t="inlineStr">
        <is>
          <t>NORDMALING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46312</v>
      </c>
      <c r="F537" t="inlineStr">
        <is>
          <t>VÄSTERBOTTENS LÄN</t>
        </is>
      </c>
      <c r="G537" t="inlineStr">
        <is>
          <t>NORDMALING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46312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46312</v>
      </c>
      <c r="F539" t="inlineStr">
        <is>
          <t>VÄSTERBOTTENS LÄN</t>
        </is>
      </c>
      <c r="G539" t="inlineStr">
        <is>
          <t>NORDMALING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46312</v>
      </c>
      <c r="F540" t="inlineStr">
        <is>
          <t>VÄSTERBOTTENS LÄN</t>
        </is>
      </c>
      <c r="G540" t="inlineStr">
        <is>
          <t>NORDMALING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46312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46312</v>
      </c>
      <c r="F542" t="inlineStr">
        <is>
          <t>VÄSTERBOTTENS LÄN</t>
        </is>
      </c>
      <c r="G542" t="inlineStr">
        <is>
          <t>NORDMALING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46312</v>
      </c>
      <c r="F543" t="inlineStr">
        <is>
          <t>VÄSTERBOTTENS LÄN</t>
        </is>
      </c>
      <c r="G543" t="inlineStr">
        <is>
          <t>NORDMALING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59518-2024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46312</v>
      </c>
      <c r="F544" t="inlineStr">
        <is>
          <t>VÄSTERBOTTENS LÄN</t>
        </is>
      </c>
      <c r="G544" t="inlineStr">
        <is>
          <t>NORDMALING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46312</v>
      </c>
      <c r="F545" t="inlineStr">
        <is>
          <t>VÄSTERBOTTENS LÄN</t>
        </is>
      </c>
      <c r="G545" t="inlineStr">
        <is>
          <t>NORDMALING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46312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46312</v>
      </c>
      <c r="F547" t="inlineStr">
        <is>
          <t>VÄSTERBOTTENS LÄN</t>
        </is>
      </c>
      <c r="G547" t="inlineStr">
        <is>
          <t>NORDMALING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45783</v>
      </c>
      <c r="E548" s="1" t="n">
        <v>46312</v>
      </c>
      <c r="F548" t="inlineStr">
        <is>
          <t>VÄSTERBOTTENS LÄN</t>
        </is>
      </c>
      <c r="G548" t="inlineStr">
        <is>
          <t>NORDMALING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46312</v>
      </c>
      <c r="F549" t="inlineStr">
        <is>
          <t>VÄSTERBOTTENS LÄN</t>
        </is>
      </c>
      <c r="G549" t="inlineStr">
        <is>
          <t>NORDMALING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46312</v>
      </c>
      <c r="F550" t="inlineStr">
        <is>
          <t>VÄSTERBOTTENS LÄN</t>
        </is>
      </c>
      <c r="G550" t="inlineStr">
        <is>
          <t>NORDMALING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46312</v>
      </c>
      <c r="F551" t="inlineStr">
        <is>
          <t>VÄSTERBOTTENS LÄN</t>
        </is>
      </c>
      <c r="G551" t="inlineStr">
        <is>
          <t>NORDMALING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46312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Kyrkan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46312</v>
      </c>
      <c r="F553" t="inlineStr">
        <is>
          <t>VÄSTERBOTTENS LÄN</t>
        </is>
      </c>
      <c r="G553" t="inlineStr">
        <is>
          <t>NORDMALING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46312</v>
      </c>
      <c r="F554" t="inlineStr">
        <is>
          <t>VÄSTERBOTTENS LÄN</t>
        </is>
      </c>
      <c r="G554" t="inlineStr">
        <is>
          <t>NORDMALING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61616-2023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45261</v>
      </c>
      <c r="E555" s="1" t="n">
        <v>46312</v>
      </c>
      <c r="F555" t="inlineStr">
        <is>
          <t>VÄSTERBOTTENS LÄN</t>
        </is>
      </c>
      <c r="G555" t="inlineStr">
        <is>
          <t>NORDMALING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46312</v>
      </c>
      <c r="F556" t="inlineStr">
        <is>
          <t>VÄSTERBOTTENS LÄN</t>
        </is>
      </c>
      <c r="G556" t="inlineStr">
        <is>
          <t>NORDMALING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46312</v>
      </c>
      <c r="F557" t="inlineStr">
        <is>
          <t>VÄSTERBOTTENS LÄN</t>
        </is>
      </c>
      <c r="G557" t="inlineStr">
        <is>
          <t>NORDMALING</t>
        </is>
      </c>
      <c r="I557" t="n">
        <v>20.3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46312</v>
      </c>
      <c r="F558" t="inlineStr">
        <is>
          <t>VÄSTERBOTTENS LÄN</t>
        </is>
      </c>
      <c r="G558" t="inlineStr">
        <is>
          <t>NORDMALING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46312</v>
      </c>
      <c r="F559" t="inlineStr">
        <is>
          <t>VÄSTERBOTTENS LÄN</t>
        </is>
      </c>
      <c r="G559" t="inlineStr">
        <is>
          <t>NORDMALING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46312</v>
      </c>
      <c r="F560" t="inlineStr">
        <is>
          <t>VÄSTERBOTTENS LÄN</t>
        </is>
      </c>
      <c r="G560" t="inlineStr">
        <is>
          <t>NORDMALING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46312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46312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46312</v>
      </c>
      <c r="F563" t="inlineStr">
        <is>
          <t>VÄSTERBOTTENS LÄN</t>
        </is>
      </c>
      <c r="G563" t="inlineStr">
        <is>
          <t>NORDMALING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46262</v>
      </c>
      <c r="E564" s="1" t="n">
        <v>46312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Kyrkan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24045-2025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45796</v>
      </c>
      <c r="E565" s="1" t="n">
        <v>46312</v>
      </c>
      <c r="F565" t="inlineStr">
        <is>
          <t>VÄSTERBOTTENS LÄN</t>
        </is>
      </c>
      <c r="G565" t="inlineStr">
        <is>
          <t>NORDMALING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46312</v>
      </c>
      <c r="F566" t="inlineStr">
        <is>
          <t>VÄSTERBOTTENS LÄN</t>
        </is>
      </c>
      <c r="G566" t="inlineStr">
        <is>
          <t>NORDMALING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46312</v>
      </c>
      <c r="F567" t="inlineStr">
        <is>
          <t>VÄSTERBOTTENS LÄN</t>
        </is>
      </c>
      <c r="G567" t="inlineStr">
        <is>
          <t>NORDMALING</t>
        </is>
      </c>
      <c r="I567" t="n">
        <v>9.5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46312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46309</v>
      </c>
      <c r="E569" s="1" t="n">
        <v>46312</v>
      </c>
      <c r="F569" t="inlineStr">
        <is>
          <t>VÄSTERBOTTENS LÄN</t>
        </is>
      </c>
      <c r="G569" t="inlineStr">
        <is>
          <t>NORDMALING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46312</v>
      </c>
      <c r="F570" t="inlineStr">
        <is>
          <t>VÄSTERBOTTENS LÄN</t>
        </is>
      </c>
      <c r="G570" t="inlineStr">
        <is>
          <t>NORDMALING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42425-2026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46308</v>
      </c>
      <c r="E571" s="1" t="n">
        <v>46312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46308</v>
      </c>
      <c r="E572" s="1" t="n">
        <v>46312</v>
      </c>
      <c r="F572" t="inlineStr">
        <is>
          <t>VÄSTERBOTTENS LÄN</t>
        </is>
      </c>
      <c r="G572" t="inlineStr">
        <is>
          <t>NORDMALING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46312</v>
      </c>
      <c r="F573" t="inlineStr">
        <is>
          <t>VÄSTERBOTTENS LÄN</t>
        </is>
      </c>
      <c r="G573" t="inlineStr">
        <is>
          <t>NORDMALING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46309</v>
      </c>
      <c r="E574" s="1" t="n">
        <v>46312</v>
      </c>
      <c r="F574" t="inlineStr">
        <is>
          <t>VÄSTERBOTTENS LÄN</t>
        </is>
      </c>
      <c r="G574" t="inlineStr">
        <is>
          <t>NORDMALING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46312</v>
      </c>
      <c r="F575" t="inlineStr">
        <is>
          <t>VÄSTERBOTTENS LÄN</t>
        </is>
      </c>
      <c r="G575" t="inlineStr">
        <is>
          <t>NORDMALING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46263</v>
      </c>
      <c r="E576" s="1" t="n">
        <v>46312</v>
      </c>
      <c r="F576" t="inlineStr">
        <is>
          <t>VÄSTERBOTTENS LÄN</t>
        </is>
      </c>
      <c r="G576" t="inlineStr">
        <is>
          <t>NORDMALING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46312</v>
      </c>
      <c r="F577" t="inlineStr">
        <is>
          <t>VÄSTERBOTTENS LÄN</t>
        </is>
      </c>
      <c r="G577" t="inlineStr">
        <is>
          <t>NORDMALING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46312</v>
      </c>
      <c r="F578" t="inlineStr">
        <is>
          <t>VÄSTERBOTTENS LÄN</t>
        </is>
      </c>
      <c r="G578" t="inlineStr">
        <is>
          <t>NORDMALING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46312</v>
      </c>
      <c r="F579" t="inlineStr">
        <is>
          <t>VÄSTERBOTTENS LÄN</t>
        </is>
      </c>
      <c r="G579" t="inlineStr">
        <is>
          <t>NORDMALING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46312</v>
      </c>
      <c r="F580" t="inlineStr">
        <is>
          <t>VÄSTERBOTTENS LÄN</t>
        </is>
      </c>
      <c r="G580" t="inlineStr">
        <is>
          <t>NORDMALING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46312</v>
      </c>
      <c r="F581" t="inlineStr">
        <is>
          <t>VÄSTERBOTTENS LÄN</t>
        </is>
      </c>
      <c r="G581" t="inlineStr">
        <is>
          <t>NORDMALING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46312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46312</v>
      </c>
      <c r="F583" t="inlineStr">
        <is>
          <t>VÄSTERBOTTENS LÄN</t>
        </is>
      </c>
      <c r="G583" t="inlineStr">
        <is>
          <t>NORDMALING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46312</v>
      </c>
      <c r="F584" t="inlineStr">
        <is>
          <t>VÄSTERBOTTENS LÄN</t>
        </is>
      </c>
      <c r="G584" t="inlineStr">
        <is>
          <t>NORDMALING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46312</v>
      </c>
      <c r="F585" t="inlineStr">
        <is>
          <t>VÄSTERBOTTENS LÄN</t>
        </is>
      </c>
      <c r="G585" t="inlineStr">
        <is>
          <t>NORDMALING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46312</v>
      </c>
      <c r="F586" t="inlineStr">
        <is>
          <t>VÄSTERBOTTENS LÄN</t>
        </is>
      </c>
      <c r="G586" t="inlineStr">
        <is>
          <t>NORDMALING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29606-2025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45825</v>
      </c>
      <c r="E587" s="1" t="n">
        <v>46312</v>
      </c>
      <c r="F587" t="inlineStr">
        <is>
          <t>VÄSTERBOTTENS LÄN</t>
        </is>
      </c>
      <c r="G587" t="inlineStr">
        <is>
          <t>NORDMALING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46312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46312</v>
      </c>
      <c r="F589" t="inlineStr">
        <is>
          <t>VÄSTERBOTTENS LÄN</t>
        </is>
      </c>
      <c r="G589" t="inlineStr">
        <is>
          <t>NORDMALING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42929-2026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46310</v>
      </c>
      <c r="E590" s="1" t="n">
        <v>46312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46312</v>
      </c>
      <c r="F591" t="inlineStr">
        <is>
          <t>VÄSTERBOTTENS LÄN</t>
        </is>
      </c>
      <c r="G591" t="inlineStr">
        <is>
          <t>NORDMALING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46312</v>
      </c>
      <c r="F592" t="inlineStr">
        <is>
          <t>VÄSTERBOTTENS LÄN</t>
        </is>
      </c>
      <c r="G592" t="inlineStr">
        <is>
          <t>NORDMALING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33599-2025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46312</v>
      </c>
      <c r="F593" t="inlineStr">
        <is>
          <t>VÄSTERBOTTENS LÄN</t>
        </is>
      </c>
      <c r="G593" t="inlineStr">
        <is>
          <t>NORDMALING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46312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46312</v>
      </c>
      <c r="F595" t="inlineStr">
        <is>
          <t>VÄSTERBOTTENS LÄN</t>
        </is>
      </c>
      <c r="G595" t="inlineStr">
        <is>
          <t>NORDMALING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46312</v>
      </c>
      <c r="F596" t="inlineStr">
        <is>
          <t>VÄSTERBOTTENS LÄN</t>
        </is>
      </c>
      <c r="G596" t="inlineStr">
        <is>
          <t>NORDMALING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35057-2025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46312</v>
      </c>
      <c r="F597" t="inlineStr">
        <is>
          <t>VÄSTERBOTTENS LÄN</t>
        </is>
      </c>
      <c r="G597" t="inlineStr">
        <is>
          <t>NORDMALING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46312</v>
      </c>
      <c r="F598" t="inlineStr">
        <is>
          <t>VÄSTERBOTTENS LÄN</t>
        </is>
      </c>
      <c r="G598" t="inlineStr">
        <is>
          <t>NORDMALING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46312</v>
      </c>
      <c r="F599" t="inlineStr">
        <is>
          <t>VÄSTERBOTTENS LÄN</t>
        </is>
      </c>
      <c r="G599" t="inlineStr">
        <is>
          <t>NORDMALING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45866</v>
      </c>
      <c r="E600" s="1" t="n">
        <v>46312</v>
      </c>
      <c r="F600" t="inlineStr">
        <is>
          <t>VÄSTERBOTTENS LÄN</t>
        </is>
      </c>
      <c r="G600" t="inlineStr">
        <is>
          <t>NORDMALING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45775</v>
      </c>
      <c r="E601" s="1" t="n">
        <v>46312</v>
      </c>
      <c r="F601" t="inlineStr">
        <is>
          <t>VÄSTERBOTTENS LÄN</t>
        </is>
      </c>
      <c r="G601" t="inlineStr">
        <is>
          <t>NORDMALING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45883</v>
      </c>
      <c r="E602" s="1" t="n">
        <v>46312</v>
      </c>
      <c r="F602" t="inlineStr">
        <is>
          <t>VÄSTERBOTTENS LÄN</t>
        </is>
      </c>
      <c r="G602" t="inlineStr">
        <is>
          <t>NORDMALING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830-2022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44603</v>
      </c>
      <c r="E603" s="1" t="n">
        <v>46312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183.1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3963-2024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45567</v>
      </c>
      <c r="E604" s="1" t="n">
        <v>46312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8278-2021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44489</v>
      </c>
      <c r="E605" s="1" t="n">
        <v>46312</v>
      </c>
      <c r="F605" t="inlineStr">
        <is>
          <t>VÄSTERBOTTENS LÄN</t>
        </is>
      </c>
      <c r="G605" t="inlineStr">
        <is>
          <t>NORDMALING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46312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73-2025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45667</v>
      </c>
      <c r="E607" s="1" t="n">
        <v>46312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9259-2021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44517</v>
      </c>
      <c r="E608" s="1" t="n">
        <v>46312</v>
      </c>
      <c r="F608" t="inlineStr">
        <is>
          <t>VÄSTERBOTTENS LÄN</t>
        </is>
      </c>
      <c r="G608" t="inlineStr">
        <is>
          <t>NORDMALING</t>
        </is>
      </c>
      <c r="I608" t="n">
        <v>17.8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4194-2023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45250</v>
      </c>
      <c r="E609" s="1" t="n">
        <v>46312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27.6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5071-2024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45638</v>
      </c>
      <c r="E610" s="1" t="n">
        <v>46312</v>
      </c>
      <c r="F610" t="inlineStr">
        <is>
          <t>VÄSTERBOTTENS LÄN</t>
        </is>
      </c>
      <c r="G610" t="inlineStr">
        <is>
          <t>NORDMALING</t>
        </is>
      </c>
      <c r="I610" t="n">
        <v>19.9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1247-2025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45762</v>
      </c>
      <c r="E611" s="1" t="n">
        <v>46312</v>
      </c>
      <c r="F611" t="inlineStr">
        <is>
          <t>VÄSTERBOTTENS LÄN</t>
        </is>
      </c>
      <c r="G611" t="inlineStr">
        <is>
          <t>NORDMALING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1248-2025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46312</v>
      </c>
      <c r="F612" t="inlineStr">
        <is>
          <t>VÄSTERBOTTENS LÄN</t>
        </is>
      </c>
      <c r="G612" t="inlineStr">
        <is>
          <t>NORDMALING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46312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46312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444-2026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46312</v>
      </c>
      <c r="F615" t="inlineStr">
        <is>
          <t>VÄSTERBOTTENS LÄN</t>
        </is>
      </c>
      <c r="G615" t="inlineStr">
        <is>
          <t>NORDMALING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46312</v>
      </c>
      <c r="F616" t="inlineStr">
        <is>
          <t>VÄSTERBOTTENS LÄN</t>
        </is>
      </c>
      <c r="G616" t="inlineStr">
        <is>
          <t>NORDMALING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1170-2026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46135</v>
      </c>
      <c r="E617" s="1" t="n">
        <v>46312</v>
      </c>
      <c r="F617" t="inlineStr">
        <is>
          <t>VÄSTERBOTTENS LÄN</t>
        </is>
      </c>
      <c r="G617" t="inlineStr">
        <is>
          <t>NORDMALING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1299-2026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46148</v>
      </c>
      <c r="E618" s="1" t="n">
        <v>46312</v>
      </c>
      <c r="F618" t="inlineStr">
        <is>
          <t>VÄSTERBOTTENS LÄN</t>
        </is>
      </c>
      <c r="G618" t="inlineStr">
        <is>
          <t>NORDMALING</t>
        </is>
      </c>
      <c r="I618" t="n">
        <v>17.6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2026-10-17T02:04:56Z</dcterms:created>
  <dcterms:modified xmlns:dcterms="http://purl.org/dc/terms/" xmlns:xsi="http://www.w3.org/2001/XMLSchema-instance" xsi:type="dcterms:W3CDTF">2026-10-17T02:04:57Z</dcterms:modified>
</cp:coreProperties>
</file>