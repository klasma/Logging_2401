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46228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46228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46228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46228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46228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46228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46228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46228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46228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46228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46228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46228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46228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46228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46228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46228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46228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46228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46228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46228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46228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46228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Småflikig brosklav
Violettgrå tagellav
Vedticka</t>
        </is>
      </c>
      <c r="W27">
        <f>HYPERLINK("https://klasma.github.io/Logging_2401/artfynd/A 40210-2022 artfynd.xlsx", "A 40210-2022")</f>
        <v/>
      </c>
      <c r="X27">
        <f>HYPERLINK("https://klasma.github.io/Logging_2401/kartor/A 40210-2022 karta.png", "A 40210-2022")</f>
        <v/>
      </c>
      <c r="Y27">
        <f>HYPERLINK("https://klasma.github.io/Logging_2401/kartor_geotiff/A 40210-2022 georefererad karta.tif", "A 40210-2022")</f>
        <v/>
      </c>
      <c r="AA27">
        <f>HYPERLINK("https://klasma.github.io/Logging_2401/klagomål/A 40210-2022 FSC-klagomål.docx", "A 40210-2022")</f>
        <v/>
      </c>
      <c r="AB27">
        <f>HYPERLINK("https://klasma.github.io/Logging_2401/klagomålsmail/A 40210-2022 FSC-klagomål mail.docx", "A 40210-2022")</f>
        <v/>
      </c>
      <c r="AC27">
        <f>HYPERLINK("https://klasma.github.io/Logging_2401/tillsyn/A 40210-2022 tillsynsbegäran.docx", "A 40210-2022")</f>
        <v/>
      </c>
      <c r="AD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46228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46228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46228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46228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1433-2026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46032</v>
      </c>
      <c r="E32" s="1" t="n">
        <v>46228</v>
      </c>
      <c r="F32" t="inlineStr">
        <is>
          <t>VÄSTERBOTTENS LÄN</t>
        </is>
      </c>
      <c r="G32" t="inlineStr">
        <is>
          <t>NORDMALING</t>
        </is>
      </c>
      <c r="H32" t="inlineStr">
        <is>
          <t>Holmen skog AB</t>
        </is>
      </c>
      <c r="I32" t="n">
        <v>22.4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Bårdlav
Vedticka</t>
        </is>
      </c>
      <c r="W32">
        <f>HYPERLINK("https://klasma.github.io/Logging_2401/artfynd/A 1433-2026 artfynd.xlsx", "A 1433-2026")</f>
        <v/>
      </c>
      <c r="X32">
        <f>HYPERLINK("https://klasma.github.io/Logging_2401/kartor/A 1433-2026 karta.png", "A 1433-2026")</f>
        <v/>
      </c>
      <c r="Y32">
        <f>HYPERLINK("https://klasma.github.io/Logging_2401/kartor_geotiff/A 1433-2026 georefererad karta.tif", "A 1433-2026")</f>
        <v/>
      </c>
      <c r="AA32">
        <f>HYPERLINK("https://klasma.github.io/Logging_2401/klagomål/A 1433-2026 FSC-klagomål.docx", "A 1433-2026")</f>
        <v/>
      </c>
      <c r="AB32">
        <f>HYPERLINK("https://klasma.github.io/Logging_2401/klagomålsmail/A 1433-2026 FSC-klagomål mail.docx", "A 1433-2026")</f>
        <v/>
      </c>
      <c r="AC32">
        <f>HYPERLINK("https://klasma.github.io/Logging_2401/tillsyn/A 1433-2026 tillsynsbegäran.docx", "A 1433-2026")</f>
        <v/>
      </c>
      <c r="AD32">
        <f>HYPERLINK("https://klasma.github.io/Logging_2401/tillsynsmail/A 1433-2026 tillsynsbegäran mail.docx", "A 1433-2026")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46228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46228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46228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46228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46228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46228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46228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46228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46228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46228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46228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46228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46228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46228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5595-2025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45693</v>
      </c>
      <c r="E47" s="1" t="n">
        <v>46228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HYPERLINK("https://klasma.github.io/Logging_2401/artfynd/A 5595-2025 artfynd.xlsx", "A 5595-2025")</f>
        <v/>
      </c>
      <c r="X47">
        <f>HYPERLINK("https://klasma.github.io/Logging_2401/kartor/A 5595-2025 karta.png", "A 5595-2025")</f>
        <v/>
      </c>
      <c r="Y47">
        <f>HYPERLINK("https://klasma.github.io/Logging_2401/kartor_geotiff/A 5595-2025 georefererad karta.tif", "A 5595-2025")</f>
        <v/>
      </c>
      <c r="AA47">
        <f>HYPERLINK("https://klasma.github.io/Logging_2401/klagomål/A 5595-2025 FSC-klagomål.docx", "A 5595-2025")</f>
        <v/>
      </c>
      <c r="AB47">
        <f>HYPERLINK("https://klasma.github.io/Logging_2401/klagomålsmail/A 5595-2025 FSC-klagomål mail.docx", "A 5595-2025")</f>
        <v/>
      </c>
      <c r="AC47">
        <f>HYPERLINK("https://klasma.github.io/Logging_2401/tillsyn/A 5595-2025 tillsynsbegäran.docx", "A 5595-2025")</f>
        <v/>
      </c>
      <c r="AD47">
        <f>HYPERLINK("https://klasma.github.io/Logging_2401/tillsynsmail/A 5595-2025 tillsynsbegäran mail.docx", "A 5595-2025")</f>
        <v/>
      </c>
      <c r="AE47">
        <f>HYPERLINK("https://klasma.github.io/Logging_2401/fåglar/A 5595-2025 prioriterade fågelarter.docx", "A 5595-2025")</f>
        <v/>
      </c>
    </row>
    <row r="48" ht="15" customHeight="1">
      <c r="A48" t="inlineStr">
        <is>
          <t>A 54893-2024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45618</v>
      </c>
      <c r="E48" s="1" t="n">
        <v>46228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Gammelgransskål</t>
        </is>
      </c>
      <c r="W48">
        <f>HYPERLINK("https://klasma.github.io/Logging_2401/artfynd/A 54893-2024 artfynd.xlsx", "A 54893-2024")</f>
        <v/>
      </c>
      <c r="X48">
        <f>HYPERLINK("https://klasma.github.io/Logging_2401/kartor/A 54893-2024 karta.png", "A 54893-2024")</f>
        <v/>
      </c>
      <c r="Y48">
        <f>HYPERLINK("https://klasma.github.io/Logging_2401/kartor_geotiff/A 54893-2024 georefererad karta.tif", "A 54893-2024")</f>
        <v/>
      </c>
      <c r="AA48">
        <f>HYPERLINK("https://klasma.github.io/Logging_2401/klagomål/A 54893-2024 FSC-klagomål.docx", "A 54893-2024")</f>
        <v/>
      </c>
      <c r="AB48">
        <f>HYPERLINK("https://klasma.github.io/Logging_2401/klagomålsmail/A 54893-2024 FSC-klagomål mail.docx", "A 54893-2024")</f>
        <v/>
      </c>
      <c r="AC48">
        <f>HYPERLINK("https://klasma.github.io/Logging_2401/tillsyn/A 54893-2024 tillsynsbegäran.docx", "A 54893-2024")</f>
        <v/>
      </c>
      <c r="AD48">
        <f>HYPERLINK("https://klasma.github.io/Logging_2401/tillsynsmail/A 54893-2024 tillsynsbegäran mail.docx", "A 54893-2024")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46228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46228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46228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33496-2022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44788</v>
      </c>
      <c r="E52" s="1" t="n">
        <v>46228</v>
      </c>
      <c r="F52" t="inlineStr">
        <is>
          <t>VÄSTERBOTTENS LÄN</t>
        </is>
      </c>
      <c r="G52" t="inlineStr">
        <is>
          <t>NORDMALING</t>
        </is>
      </c>
      <c r="I52" t="n">
        <v>6.5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Buskskvätta</t>
        </is>
      </c>
      <c r="W52">
        <f>HYPERLINK("https://klasma.github.io/Logging_2401/artfynd/A 33496-2022 artfynd.xlsx", "A 33496-2022")</f>
        <v/>
      </c>
      <c r="X52">
        <f>HYPERLINK("https://klasma.github.io/Logging_2401/kartor/A 33496-2022 karta.png", "A 33496-2022")</f>
        <v/>
      </c>
      <c r="Y52">
        <f>HYPERLINK("https://klasma.github.io/Logging_2401/kartor_geotiff/A 33496-2022 georefererad karta.tif", "A 33496-2022")</f>
        <v/>
      </c>
      <c r="AA52">
        <f>HYPERLINK("https://klasma.github.io/Logging_2401/klagomål/A 33496-2022 FSC-klagomål.docx", "A 33496-2022")</f>
        <v/>
      </c>
      <c r="AB52">
        <f>HYPERLINK("https://klasma.github.io/Logging_2401/klagomålsmail/A 33496-2022 FSC-klagomål mail.docx", "A 33496-2022")</f>
        <v/>
      </c>
      <c r="AC52">
        <f>HYPERLINK("https://klasma.github.io/Logging_2401/tillsyn/A 33496-2022 tillsynsbegäran.docx", "A 33496-2022")</f>
        <v/>
      </c>
      <c r="AD52">
        <f>HYPERLINK("https://klasma.github.io/Logging_2401/tillsynsmail/A 33496-2022 tillsynsbegäran mail.docx", "A 33496-2022")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46228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61149-2022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44908</v>
      </c>
      <c r="E54" s="1" t="n">
        <v>46228</v>
      </c>
      <c r="F54" t="inlineStr">
        <is>
          <t>VÄSTERBOTTENS LÄN</t>
        </is>
      </c>
      <c r="G54" t="inlineStr">
        <is>
          <t>NORDMALING</t>
        </is>
      </c>
      <c r="I54" t="n">
        <v>2.7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Fiskgjuse</t>
        </is>
      </c>
      <c r="W54">
        <f>HYPERLINK("https://klasma.github.io/Logging_2401/artfynd/A 61149-2022 artfynd.xlsx", "A 61149-2022")</f>
        <v/>
      </c>
      <c r="X54">
        <f>HYPERLINK("https://klasma.github.io/Logging_2401/kartor/A 61149-2022 karta.png", "A 61149-2022")</f>
        <v/>
      </c>
      <c r="Y54">
        <f>HYPERLINK("https://klasma.github.io/Logging_2401/kartor_geotiff/A 61149-2022 georefererad karta.tif", "A 61149-2022")</f>
        <v/>
      </c>
      <c r="AA54">
        <f>HYPERLINK("https://klasma.github.io/Logging_2401/klagomål/A 61149-2022 FSC-klagomål.docx", "A 61149-2022")</f>
        <v/>
      </c>
      <c r="AB54">
        <f>HYPERLINK("https://klasma.github.io/Logging_2401/klagomålsmail/A 61149-2022 FSC-klagomål mail.docx", "A 61149-2022")</f>
        <v/>
      </c>
      <c r="AC54">
        <f>HYPERLINK("https://klasma.github.io/Logging_2401/tillsyn/A 61149-2022 tillsynsbegäran.docx", "A 61149-2022")</f>
        <v/>
      </c>
      <c r="AD54">
        <f>HYPERLINK("https://klasma.github.io/Logging_2401/tillsynsmail/A 61149-2022 tillsynsbegäran mail.docx", "A 61149-2022")</f>
        <v/>
      </c>
      <c r="AE54">
        <f>HYPERLINK("https://klasma.github.io/Logging_2401/fåglar/A 61149-2022 prioriterade fågelarter.docx", "A 61149-2022")</f>
        <v/>
      </c>
    </row>
    <row r="55" ht="15" customHeight="1">
      <c r="A55" t="inlineStr">
        <is>
          <t>A 9717-2026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46072</v>
      </c>
      <c r="E55" s="1" t="n">
        <v>46228</v>
      </c>
      <c r="F55" t="inlineStr">
        <is>
          <t>VÄSTERBOTTENS LÄN</t>
        </is>
      </c>
      <c r="G55" t="inlineStr">
        <is>
          <t>NORDMALING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HYPERLINK("https://klasma.github.io/Logging_2401/artfynd/A 9717-2026 artfynd.xlsx", "A 9717-2026")</f>
        <v/>
      </c>
      <c r="X55">
        <f>HYPERLINK("https://klasma.github.io/Logging_2401/kartor/A 9717-2026 karta.png", "A 9717-2026")</f>
        <v/>
      </c>
      <c r="Y55">
        <f>HYPERLINK("https://klasma.github.io/Logging_2401/kartor_geotiff/A 9717-2026 georefererad karta.tif", "A 9717-2026")</f>
        <v/>
      </c>
      <c r="AA55">
        <f>HYPERLINK("https://klasma.github.io/Logging_2401/klagomål/A 9717-2026 FSC-klagomål.docx", "A 9717-2026")</f>
        <v/>
      </c>
      <c r="AB55">
        <f>HYPERLINK("https://klasma.github.io/Logging_2401/klagomålsmail/A 9717-2026 FSC-klagomål mail.docx", "A 9717-2026")</f>
        <v/>
      </c>
      <c r="AC55">
        <f>HYPERLINK("https://klasma.github.io/Logging_2401/tillsyn/A 9717-2026 tillsynsbegäran.docx", "A 9717-2026")</f>
        <v/>
      </c>
      <c r="AD55">
        <f>HYPERLINK("https://klasma.github.io/Logging_2401/tillsynsmail/A 9717-2026 tillsynsbegäran mail.docx", "A 9717-2026")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46228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61867-2024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45651</v>
      </c>
      <c r="E57" s="1" t="n">
        <v>46228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Tallticka</t>
        </is>
      </c>
      <c r="W57">
        <f>HYPERLINK("https://klasma.github.io/Logging_2401/artfynd/A 61867-2024 artfynd.xlsx", "A 61867-2024")</f>
        <v/>
      </c>
      <c r="X57">
        <f>HYPERLINK("https://klasma.github.io/Logging_2401/kartor/A 61867-2024 karta.png", "A 61867-2024")</f>
        <v/>
      </c>
      <c r="Y57">
        <f>HYPERLINK("https://klasma.github.io/Logging_2401/kartor_geotiff/A 61867-2024 georefererad karta.tif", "A 61867-2024")</f>
        <v/>
      </c>
      <c r="AA57">
        <f>HYPERLINK("https://klasma.github.io/Logging_2401/klagomål/A 61867-2024 FSC-klagomål.docx", "A 61867-2024")</f>
        <v/>
      </c>
      <c r="AB57">
        <f>HYPERLINK("https://klasma.github.io/Logging_2401/klagomålsmail/A 61867-2024 FSC-klagomål mail.docx", "A 61867-2024")</f>
        <v/>
      </c>
      <c r="AC57">
        <f>HYPERLINK("https://klasma.github.io/Logging_2401/tillsyn/A 61867-2024 tillsynsbegäran.docx", "A 61867-2024")</f>
        <v/>
      </c>
      <c r="AD57">
        <f>HYPERLINK("https://klasma.github.io/Logging_2401/tillsynsmail/A 61867-2024 tillsynsbegäran mail.docx", "A 61867-2024")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46228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46228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23496-2022 artfynd.xlsx", "A 23496-2022")</f>
        <v/>
      </c>
      <c r="X59">
        <f>HYPERLINK("https://klasma.github.io/Logging_2401/kartor/A 23496-2022 karta.png", "A 23496-2022")</f>
        <v/>
      </c>
      <c r="Y59">
        <f>HYPERLINK("https://klasma.github.io/Logging_2401/kartor_geotiff/A 23496-2022 georefererad karta.tif", "A 23496-2022")</f>
        <v/>
      </c>
      <c r="AA59">
        <f>HYPERLINK("https://klasma.github.io/Logging_2401/klagomål/A 23496-2022 FSC-klagomål.docx", "A 23496-2022")</f>
        <v/>
      </c>
      <c r="AB59">
        <f>HYPERLINK("https://klasma.github.io/Logging_2401/klagomålsmail/A 23496-2022 FSC-klagomål mail.docx", "A 23496-2022")</f>
        <v/>
      </c>
      <c r="AC59">
        <f>HYPERLINK("https://klasma.github.io/Logging_2401/tillsyn/A 23496-2022 tillsynsbegäran.docx", "A 23496-2022")</f>
        <v/>
      </c>
      <c r="AD59">
        <f>HYPERLINK("https://klasma.github.io/Logging_2401/tillsynsmail/A 23496-2022 tillsynsbegäran mail.docx", "A 23496-2022")</f>
        <v/>
      </c>
      <c r="AE59">
        <f>HYPERLINK("https://klasma.github.io/Logging_2401/fåglar/A 23496-2022 prioriterade fågelarter.docx", "A 23496-2022")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46228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46228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46228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46228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46228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46228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46228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46228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46228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46228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46228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46228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46228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46228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46228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46228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46228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46228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46228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46228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46228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46228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46228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46228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46228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46228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46228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46228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46228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46228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46228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46228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46228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46228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46228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46228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46228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46228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46228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46228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46228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46228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46228</v>
      </c>
      <c r="F105" t="inlineStr">
        <is>
          <t>VÄSTERBOTTENS LÄN</t>
        </is>
      </c>
      <c r="G105" t="inlineStr">
        <is>
          <t>NORDMALING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46228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46228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46228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46228</v>
      </c>
      <c r="F109" t="inlineStr">
        <is>
          <t>VÄSTERBOTTENS LÄN</t>
        </is>
      </c>
      <c r="G109" t="inlineStr">
        <is>
          <t>NORDMALING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46228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45182</v>
      </c>
      <c r="E111" s="1" t="n">
        <v>46228</v>
      </c>
      <c r="F111" t="inlineStr">
        <is>
          <t>VÄSTERBOTTENS LÄN</t>
        </is>
      </c>
      <c r="G111" t="inlineStr">
        <is>
          <t>NORDMALING</t>
        </is>
      </c>
      <c r="I111" t="n">
        <v>20.1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46228</v>
      </c>
      <c r="F112" t="inlineStr">
        <is>
          <t>VÄSTERBOTTENS LÄN</t>
        </is>
      </c>
      <c r="G112" t="inlineStr">
        <is>
          <t>NORDMALING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46228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46228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46228</v>
      </c>
      <c r="F115" t="inlineStr">
        <is>
          <t>VÄSTERBOTTENS LÄN</t>
        </is>
      </c>
      <c r="G115" t="inlineStr">
        <is>
          <t>NORDMALING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46228</v>
      </c>
      <c r="F116" t="inlineStr">
        <is>
          <t>VÄSTERBOTTENS LÄN</t>
        </is>
      </c>
      <c r="G116" t="inlineStr">
        <is>
          <t>NORDMALING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46228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44968</v>
      </c>
      <c r="E118" s="1" t="n">
        <v>46228</v>
      </c>
      <c r="F118" t="inlineStr">
        <is>
          <t>VÄSTERBOTTENS LÄN</t>
        </is>
      </c>
      <c r="G118" t="inlineStr">
        <is>
          <t>NORDMALING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46228</v>
      </c>
      <c r="F119" t="inlineStr">
        <is>
          <t>VÄSTERBOTTENS LÄN</t>
        </is>
      </c>
      <c r="G119" t="inlineStr">
        <is>
          <t>NORDMALING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30009-2022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46228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11053-2023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46228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45158</v>
      </c>
      <c r="E122" s="1" t="n">
        <v>46228</v>
      </c>
      <c r="F122" t="inlineStr">
        <is>
          <t>VÄSTERBOTTENS LÄN</t>
        </is>
      </c>
      <c r="G122" t="inlineStr">
        <is>
          <t>NORDMALING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46228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44921</v>
      </c>
      <c r="E124" s="1" t="n">
        <v>46228</v>
      </c>
      <c r="F124" t="inlineStr">
        <is>
          <t>VÄSTERBOTTENS LÄN</t>
        </is>
      </c>
      <c r="G124" t="inlineStr">
        <is>
          <t>NORDMALING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46228</v>
      </c>
      <c r="F125" t="inlineStr">
        <is>
          <t>VÄSTERBOTTENS LÄN</t>
        </is>
      </c>
      <c r="G125" t="inlineStr">
        <is>
          <t>NORDMALING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46228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46228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46228</v>
      </c>
      <c r="F128" t="inlineStr">
        <is>
          <t>VÄSTERBOTTENS LÄN</t>
        </is>
      </c>
      <c r="G128" t="inlineStr">
        <is>
          <t>NORDMALING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46228</v>
      </c>
      <c r="F129" t="inlineStr">
        <is>
          <t>VÄSTERBOTTENS LÄN</t>
        </is>
      </c>
      <c r="G129" t="inlineStr">
        <is>
          <t>NORDMALING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46228</v>
      </c>
      <c r="F130" t="inlineStr">
        <is>
          <t>VÄSTERBOTTENS LÄN</t>
        </is>
      </c>
      <c r="G130" t="inlineStr">
        <is>
          <t>NORDMALING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7007-2024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45343</v>
      </c>
      <c r="E131" s="1" t="n">
        <v>46228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Kommuner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30715-2022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44763</v>
      </c>
      <c r="E132" s="1" t="n">
        <v>46228</v>
      </c>
      <c r="F132" t="inlineStr">
        <is>
          <t>VÄSTERBOTTENS LÄN</t>
        </is>
      </c>
      <c r="G132" t="inlineStr">
        <is>
          <t>NORDMALING</t>
        </is>
      </c>
      <c r="H132" t="inlineStr">
        <is>
          <t>SCA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46228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45505</v>
      </c>
      <c r="E134" s="1" t="n">
        <v>46228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44816</v>
      </c>
      <c r="E135" s="1" t="n">
        <v>46228</v>
      </c>
      <c r="F135" t="inlineStr">
        <is>
          <t>VÄSTERBOTTENS LÄN</t>
        </is>
      </c>
      <c r="G135" t="inlineStr">
        <is>
          <t>NORDMALING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46228</v>
      </c>
      <c r="F136" t="inlineStr">
        <is>
          <t>VÄSTERBOTTENS LÄN</t>
        </is>
      </c>
      <c r="G136" t="inlineStr">
        <is>
          <t>NORDMALING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45264</v>
      </c>
      <c r="E137" s="1" t="n">
        <v>46228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46228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46228</v>
      </c>
      <c r="F139" t="inlineStr">
        <is>
          <t>VÄSTERBOTTENS LÄN</t>
        </is>
      </c>
      <c r="G139" t="inlineStr">
        <is>
          <t>NORDMALING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46228</v>
      </c>
      <c r="F140" t="inlineStr">
        <is>
          <t>VÄSTERBOTTENS LÄN</t>
        </is>
      </c>
      <c r="G140" t="inlineStr">
        <is>
          <t>NORDMALING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47516-2024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45587</v>
      </c>
      <c r="E141" s="1" t="n">
        <v>46228</v>
      </c>
      <c r="F141" t="inlineStr">
        <is>
          <t>VÄSTERBOTTENS LÄN</t>
        </is>
      </c>
      <c r="G141" t="inlineStr">
        <is>
          <t>NORDMALING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46228</v>
      </c>
      <c r="F142" t="inlineStr">
        <is>
          <t>VÄSTERBOTTENS LÄN</t>
        </is>
      </c>
      <c r="G142" t="inlineStr">
        <is>
          <t>NORDMALING</t>
        </is>
      </c>
      <c r="H142" t="inlineStr">
        <is>
          <t>SCA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46228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45678</v>
      </c>
      <c r="E144" s="1" t="n">
        <v>46228</v>
      </c>
      <c r="F144" t="inlineStr">
        <is>
          <t>VÄSTERBOTTENS LÄN</t>
        </is>
      </c>
      <c r="G144" t="inlineStr">
        <is>
          <t>NORDMALING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46228</v>
      </c>
      <c r="F145" t="inlineStr">
        <is>
          <t>VÄSTERBOTTENS LÄN</t>
        </is>
      </c>
      <c r="G145" t="inlineStr">
        <is>
          <t>NORDMALING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46228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46228</v>
      </c>
      <c r="F147" t="inlineStr">
        <is>
          <t>VÄSTERBOTTENS LÄN</t>
        </is>
      </c>
      <c r="G147" t="inlineStr">
        <is>
          <t>NORDMALING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46228</v>
      </c>
      <c r="F148" t="inlineStr">
        <is>
          <t>VÄSTERBOTTENS LÄN</t>
        </is>
      </c>
      <c r="G148" t="inlineStr">
        <is>
          <t>NORDMALING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45247</v>
      </c>
      <c r="E149" s="1" t="n">
        <v>46228</v>
      </c>
      <c r="F149" t="inlineStr">
        <is>
          <t>VÄSTERBOTTENS LÄN</t>
        </is>
      </c>
      <c r="G149" t="inlineStr">
        <is>
          <t>NORDMALING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46228</v>
      </c>
      <c r="F150" t="inlineStr">
        <is>
          <t>VÄSTERBOTTENS LÄN</t>
        </is>
      </c>
      <c r="G150" t="inlineStr">
        <is>
          <t>NORDMALING</t>
        </is>
      </c>
      <c r="I150" t="n">
        <v>9.699999999999999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44949</v>
      </c>
      <c r="E151" s="1" t="n">
        <v>46228</v>
      </c>
      <c r="F151" t="inlineStr">
        <is>
          <t>VÄSTERBOTTENS LÄN</t>
        </is>
      </c>
      <c r="G151" t="inlineStr">
        <is>
          <t>NORDMALING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45419</v>
      </c>
      <c r="E152" s="1" t="n">
        <v>46228</v>
      </c>
      <c r="F152" t="inlineStr">
        <is>
          <t>VÄSTERBOTTENS LÄN</t>
        </is>
      </c>
      <c r="G152" t="inlineStr">
        <is>
          <t>NORDMALING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44916</v>
      </c>
      <c r="E153" s="1" t="n">
        <v>46228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44905</v>
      </c>
      <c r="E154" s="1" t="n">
        <v>46228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46228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46228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65688-2021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44515</v>
      </c>
      <c r="E157" s="1" t="n">
        <v>46228</v>
      </c>
      <c r="F157" t="inlineStr">
        <is>
          <t>VÄSTERBOTTENS LÄN</t>
        </is>
      </c>
      <c r="G157" t="inlineStr">
        <is>
          <t>NORDMALING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46228</v>
      </c>
      <c r="F158" t="inlineStr">
        <is>
          <t>VÄSTERBOTTENS LÄN</t>
        </is>
      </c>
      <c r="G158" t="inlineStr">
        <is>
          <t>NORDMALING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19300-2023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45049</v>
      </c>
      <c r="E159" s="1" t="n">
        <v>46228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Kyrkan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46228</v>
      </c>
      <c r="F160" t="inlineStr">
        <is>
          <t>VÄSTERBOTTENS LÄN</t>
        </is>
      </c>
      <c r="G160" t="inlineStr">
        <is>
          <t>NORDMALING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44922</v>
      </c>
      <c r="E161" s="1" t="n">
        <v>46228</v>
      </c>
      <c r="F161" t="inlineStr">
        <is>
          <t>VÄSTERBOTTENS LÄN</t>
        </is>
      </c>
      <c r="G161" t="inlineStr">
        <is>
          <t>NORDMALING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45470</v>
      </c>
      <c r="E162" s="1" t="n">
        <v>46228</v>
      </c>
      <c r="F162" t="inlineStr">
        <is>
          <t>VÄSTERBOTTENS LÄN</t>
        </is>
      </c>
      <c r="G162" t="inlineStr">
        <is>
          <t>NORDMALING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46228</v>
      </c>
      <c r="F163" t="inlineStr">
        <is>
          <t>VÄSTERBOTTENS LÄN</t>
        </is>
      </c>
      <c r="G163" t="inlineStr">
        <is>
          <t>NORDMALING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46228</v>
      </c>
      <c r="F164" t="inlineStr">
        <is>
          <t>VÄSTERBOTTENS LÄN</t>
        </is>
      </c>
      <c r="G164" t="inlineStr">
        <is>
          <t>NORDMALING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46135</v>
      </c>
      <c r="E165" s="1" t="n">
        <v>46228</v>
      </c>
      <c r="F165" t="inlineStr">
        <is>
          <t>VÄSTERBOTTENS LÄN</t>
        </is>
      </c>
      <c r="G165" t="inlineStr">
        <is>
          <t>NORDMALING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46228</v>
      </c>
      <c r="F166" t="inlineStr">
        <is>
          <t>VÄSTERBOTTENS LÄN</t>
        </is>
      </c>
      <c r="G166" t="inlineStr">
        <is>
          <t>NORDMALING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46228</v>
      </c>
      <c r="F167" t="inlineStr">
        <is>
          <t>VÄSTERBOTTENS LÄN</t>
        </is>
      </c>
      <c r="G167" t="inlineStr">
        <is>
          <t>NORDMALING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46228</v>
      </c>
      <c r="F168" t="inlineStr">
        <is>
          <t>VÄSTERBOTTENS LÄN</t>
        </is>
      </c>
      <c r="G168" t="inlineStr">
        <is>
          <t>NORDMALING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46029</v>
      </c>
      <c r="E169" s="1" t="n">
        <v>46228</v>
      </c>
      <c r="F169" t="inlineStr">
        <is>
          <t>VÄSTERBOTTENS LÄN</t>
        </is>
      </c>
      <c r="G169" t="inlineStr">
        <is>
          <t>NORDMALING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46228</v>
      </c>
      <c r="F170" t="inlineStr">
        <is>
          <t>VÄSTERBOTTENS LÄN</t>
        </is>
      </c>
      <c r="G170" t="inlineStr">
        <is>
          <t>NORDMALING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46228</v>
      </c>
      <c r="F171" t="inlineStr">
        <is>
          <t>VÄSTERBOTTENS LÄN</t>
        </is>
      </c>
      <c r="G171" t="inlineStr">
        <is>
          <t>NORDMALING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45877</v>
      </c>
      <c r="E172" s="1" t="n">
        <v>46228</v>
      </c>
      <c r="F172" t="inlineStr">
        <is>
          <t>VÄSTERBOTTENS LÄN</t>
        </is>
      </c>
      <c r="G172" t="inlineStr">
        <is>
          <t>NORDMALING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46228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46228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46228</v>
      </c>
      <c r="F175" t="inlineStr">
        <is>
          <t>VÄSTERBOTTENS LÄN</t>
        </is>
      </c>
      <c r="G175" t="inlineStr">
        <is>
          <t>NORDMALING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46228</v>
      </c>
      <c r="F176" t="inlineStr">
        <is>
          <t>VÄSTERBOTTENS LÄN</t>
        </is>
      </c>
      <c r="G176" t="inlineStr">
        <is>
          <t>NORDMALING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45866</v>
      </c>
      <c r="E177" s="1" t="n">
        <v>46228</v>
      </c>
      <c r="F177" t="inlineStr">
        <is>
          <t>VÄSTERBOTTENS LÄN</t>
        </is>
      </c>
      <c r="G177" t="inlineStr">
        <is>
          <t>NORDMALING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45796</v>
      </c>
      <c r="E178" s="1" t="n">
        <v>46228</v>
      </c>
      <c r="F178" t="inlineStr">
        <is>
          <t>VÄSTERBOTTENS LÄN</t>
        </is>
      </c>
      <c r="G178" t="inlineStr">
        <is>
          <t>NORDMALING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46228</v>
      </c>
      <c r="F179" t="inlineStr">
        <is>
          <t>VÄSTERBOTTENS LÄN</t>
        </is>
      </c>
      <c r="G179" t="inlineStr">
        <is>
          <t>NORDMALING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44687</v>
      </c>
      <c r="E180" s="1" t="n">
        <v>46228</v>
      </c>
      <c r="F180" t="inlineStr">
        <is>
          <t>VÄSTERBOTTENS LÄN</t>
        </is>
      </c>
      <c r="G180" t="inlineStr">
        <is>
          <t>NORDMALING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46228</v>
      </c>
      <c r="F181" t="inlineStr">
        <is>
          <t>VÄSTERBOTTENS LÄN</t>
        </is>
      </c>
      <c r="G181" t="inlineStr">
        <is>
          <t>NORDMALING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46228</v>
      </c>
      <c r="F182" t="inlineStr">
        <is>
          <t>VÄSTERBOTTENS LÄN</t>
        </is>
      </c>
      <c r="G182" t="inlineStr">
        <is>
          <t>NORDMALING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46228</v>
      </c>
      <c r="F183" t="inlineStr">
        <is>
          <t>VÄSTERBOTTENS LÄN</t>
        </is>
      </c>
      <c r="G183" t="inlineStr">
        <is>
          <t>NORDMALING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46228</v>
      </c>
      <c r="F184" t="inlineStr">
        <is>
          <t>VÄSTERBOTTENS LÄN</t>
        </is>
      </c>
      <c r="G184" t="inlineStr">
        <is>
          <t>NORDMALING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46228</v>
      </c>
      <c r="F185" t="inlineStr">
        <is>
          <t>VÄSTERBOTTENS LÄN</t>
        </is>
      </c>
      <c r="G185" t="inlineStr">
        <is>
          <t>NORDMALING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46228</v>
      </c>
      <c r="F186" t="inlineStr">
        <is>
          <t>VÄSTERBOTTENS LÄN</t>
        </is>
      </c>
      <c r="G186" t="inlineStr">
        <is>
          <t>NORDMALING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46228</v>
      </c>
      <c r="F187" t="inlineStr">
        <is>
          <t>VÄSTERBOTTENS LÄN</t>
        </is>
      </c>
      <c r="G187" t="inlineStr">
        <is>
          <t>NORDMALING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34184-2023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45126</v>
      </c>
      <c r="E188" s="1" t="n">
        <v>46228</v>
      </c>
      <c r="F188" t="inlineStr">
        <is>
          <t>VÄSTERBOTTENS LÄN</t>
        </is>
      </c>
      <c r="G188" t="inlineStr">
        <is>
          <t>NORDMALING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46228</v>
      </c>
      <c r="F189" t="inlineStr">
        <is>
          <t>VÄSTERBOTTENS LÄN</t>
        </is>
      </c>
      <c r="G189" t="inlineStr">
        <is>
          <t>NORDMALING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72841-2021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44547</v>
      </c>
      <c r="E190" s="1" t="n">
        <v>46228</v>
      </c>
      <c r="F190" t="inlineStr">
        <is>
          <t>VÄSTERBOTTENS LÄN</t>
        </is>
      </c>
      <c r="G190" t="inlineStr">
        <is>
          <t>NORDMALING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46228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46228</v>
      </c>
      <c r="F192" t="inlineStr">
        <is>
          <t>VÄSTERBOTTENS LÄN</t>
        </is>
      </c>
      <c r="G192" t="inlineStr">
        <is>
          <t>NORDMALING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45770</v>
      </c>
      <c r="E193" s="1" t="n">
        <v>46228</v>
      </c>
      <c r="F193" t="inlineStr">
        <is>
          <t>VÄSTERBOTTENS LÄN</t>
        </is>
      </c>
      <c r="G193" t="inlineStr">
        <is>
          <t>NORDMALING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46228</v>
      </c>
      <c r="F194" t="inlineStr">
        <is>
          <t>VÄSTERBOTTENS LÄN</t>
        </is>
      </c>
      <c r="G194" t="inlineStr">
        <is>
          <t>NORDMALING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45552</v>
      </c>
      <c r="E195" s="1" t="n">
        <v>46228</v>
      </c>
      <c r="F195" t="inlineStr">
        <is>
          <t>VÄSTERBOTTENS LÄN</t>
        </is>
      </c>
      <c r="G195" t="inlineStr">
        <is>
          <t>NORDMALING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44540</v>
      </c>
      <c r="E196" s="1" t="n">
        <v>46228</v>
      </c>
      <c r="F196" t="inlineStr">
        <is>
          <t>VÄSTERBOTTENS LÄN</t>
        </is>
      </c>
      <c r="G196" t="inlineStr">
        <is>
          <t>NORDMALING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46228</v>
      </c>
      <c r="F197" t="inlineStr">
        <is>
          <t>VÄSTERBOTTENS LÄN</t>
        </is>
      </c>
      <c r="G197" t="inlineStr">
        <is>
          <t>NORDMALING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46228</v>
      </c>
      <c r="F198" t="inlineStr">
        <is>
          <t>VÄSTERBOTTENS LÄN</t>
        </is>
      </c>
      <c r="G198" t="inlineStr">
        <is>
          <t>NORDMALING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45996</v>
      </c>
      <c r="E199" s="1" t="n">
        <v>46228</v>
      </c>
      <c r="F199" t="inlineStr">
        <is>
          <t>VÄSTERBOTTENS LÄN</t>
        </is>
      </c>
      <c r="G199" t="inlineStr">
        <is>
          <t>NORDMALING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46228</v>
      </c>
      <c r="F200" t="inlineStr">
        <is>
          <t>VÄSTERBOTTENS LÄN</t>
        </is>
      </c>
      <c r="G200" t="inlineStr">
        <is>
          <t>NORDMALING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45712</v>
      </c>
      <c r="E201" s="1" t="n">
        <v>46228</v>
      </c>
      <c r="F201" t="inlineStr">
        <is>
          <t>VÄSTERBOTTENS LÄN</t>
        </is>
      </c>
      <c r="G201" t="inlineStr">
        <is>
          <t>NORDMALING</t>
        </is>
      </c>
      <c r="I201" t="n">
        <v>11.1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46228</v>
      </c>
      <c r="F202" t="inlineStr">
        <is>
          <t>VÄSTERBOTTENS LÄN</t>
        </is>
      </c>
      <c r="G202" t="inlineStr">
        <is>
          <t>NORDMALING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45713</v>
      </c>
      <c r="E203" s="1" t="n">
        <v>46228</v>
      </c>
      <c r="F203" t="inlineStr">
        <is>
          <t>VÄSTERBOTTENS LÄN</t>
        </is>
      </c>
      <c r="G203" t="inlineStr">
        <is>
          <t>NORDMALING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46228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46228</v>
      </c>
      <c r="F205" t="inlineStr">
        <is>
          <t>VÄSTERBOTTENS LÄN</t>
        </is>
      </c>
      <c r="G205" t="inlineStr">
        <is>
          <t>NORDMALING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46228</v>
      </c>
      <c r="F206" t="inlineStr">
        <is>
          <t>VÄSTERBOTTENS LÄN</t>
        </is>
      </c>
      <c r="G206" t="inlineStr">
        <is>
          <t>NORDMALING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46228</v>
      </c>
      <c r="F207" t="inlineStr">
        <is>
          <t>VÄSTERBOTTENS LÄN</t>
        </is>
      </c>
      <c r="G207" t="inlineStr">
        <is>
          <t>NORDMALING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46228</v>
      </c>
      <c r="F208" t="inlineStr">
        <is>
          <t>VÄSTERBOTTENS LÄN</t>
        </is>
      </c>
      <c r="G208" t="inlineStr">
        <is>
          <t>NORDMALING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46228</v>
      </c>
      <c r="F209" t="inlineStr">
        <is>
          <t>VÄSTERBOTTENS LÄN</t>
        </is>
      </c>
      <c r="G209" t="inlineStr">
        <is>
          <t>NORDMALING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46228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46228</v>
      </c>
      <c r="F211" t="inlineStr">
        <is>
          <t>VÄSTERBOTTENS LÄN</t>
        </is>
      </c>
      <c r="G211" t="inlineStr">
        <is>
          <t>NORDMALING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46228</v>
      </c>
      <c r="F212" t="inlineStr">
        <is>
          <t>VÄSTERBOTTENS LÄN</t>
        </is>
      </c>
      <c r="G212" t="inlineStr">
        <is>
          <t>NORDMALING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46228</v>
      </c>
      <c r="F213" t="inlineStr">
        <is>
          <t>VÄSTERBOTTENS LÄN</t>
        </is>
      </c>
      <c r="G213" t="inlineStr">
        <is>
          <t>NORDMALING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46228</v>
      </c>
      <c r="F214" t="inlineStr">
        <is>
          <t>VÄSTERBOTTENS LÄN</t>
        </is>
      </c>
      <c r="G214" t="inlineStr">
        <is>
          <t>NORDMALING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46228</v>
      </c>
      <c r="F215" t="inlineStr">
        <is>
          <t>VÄSTERBOTTENS LÄN</t>
        </is>
      </c>
      <c r="G215" t="inlineStr">
        <is>
          <t>NORDMALING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45678-2025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46228</v>
      </c>
      <c r="F216" t="inlineStr">
        <is>
          <t>VÄSTERBOTTENS LÄN</t>
        </is>
      </c>
      <c r="G216" t="inlineStr">
        <is>
          <t>NORDMALING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44834</v>
      </c>
      <c r="E217" s="1" t="n">
        <v>46228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Holmen skog AB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46876-2025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46228</v>
      </c>
      <c r="F218" t="inlineStr">
        <is>
          <t>VÄSTERBOTTENS LÄN</t>
        </is>
      </c>
      <c r="G218" t="inlineStr">
        <is>
          <t>NORDMALING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46228</v>
      </c>
      <c r="F219" t="inlineStr">
        <is>
          <t>VÄSTERBOTTENS LÄN</t>
        </is>
      </c>
      <c r="G219" t="inlineStr">
        <is>
          <t>NORDMALING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46228</v>
      </c>
      <c r="F220" t="inlineStr">
        <is>
          <t>VÄSTERBOTTENS LÄN</t>
        </is>
      </c>
      <c r="G220" t="inlineStr">
        <is>
          <t>NORDMALING</t>
        </is>
      </c>
      <c r="I220" t="n">
        <v>16.1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45673</v>
      </c>
      <c r="E221" s="1" t="n">
        <v>46228</v>
      </c>
      <c r="F221" t="inlineStr">
        <is>
          <t>VÄSTERBOTTENS LÄN</t>
        </is>
      </c>
      <c r="G221" t="inlineStr">
        <is>
          <t>NORDMALING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46228</v>
      </c>
      <c r="F222" t="inlineStr">
        <is>
          <t>VÄSTERBOTTENS LÄN</t>
        </is>
      </c>
      <c r="G222" t="inlineStr">
        <is>
          <t>NORDMALING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46228</v>
      </c>
      <c r="F223" t="inlineStr">
        <is>
          <t>VÄSTERBOTTENS LÄN</t>
        </is>
      </c>
      <c r="G223" t="inlineStr">
        <is>
          <t>NORDMALING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46228</v>
      </c>
      <c r="F224" t="inlineStr">
        <is>
          <t>VÄSTERBOTTENS LÄN</t>
        </is>
      </c>
      <c r="G224" t="inlineStr">
        <is>
          <t>NORDMALING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46228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45536</v>
      </c>
      <c r="E226" s="1" t="n">
        <v>46228</v>
      </c>
      <c r="F226" t="inlineStr">
        <is>
          <t>VÄSTERBOTTENS LÄN</t>
        </is>
      </c>
      <c r="G226" t="inlineStr">
        <is>
          <t>NORDMALING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46228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69519-2021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46228</v>
      </c>
      <c r="F228" t="inlineStr">
        <is>
          <t>VÄSTERBOTTENS LÄN</t>
        </is>
      </c>
      <c r="G228" t="inlineStr">
        <is>
          <t>NORDMALING</t>
        </is>
      </c>
      <c r="I228" t="n">
        <v>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46228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46228</v>
      </c>
      <c r="F230" t="inlineStr">
        <is>
          <t>VÄSTERBOTTENS LÄN</t>
        </is>
      </c>
      <c r="G230" t="inlineStr">
        <is>
          <t>NORDMALING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46228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45936</v>
      </c>
      <c r="E232" s="1" t="n">
        <v>46228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34176-2023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45126</v>
      </c>
      <c r="E233" s="1" t="n">
        <v>46228</v>
      </c>
      <c r="F233" t="inlineStr">
        <is>
          <t>VÄSTERBOTTENS LÄN</t>
        </is>
      </c>
      <c r="G233" t="inlineStr">
        <is>
          <t>NORDMALING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46228</v>
      </c>
      <c r="F234" t="inlineStr">
        <is>
          <t>VÄSTERBOTTENS LÄN</t>
        </is>
      </c>
      <c r="G234" t="inlineStr">
        <is>
          <t>NORDMALING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61795-2023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45265</v>
      </c>
      <c r="E235" s="1" t="n">
        <v>46228</v>
      </c>
      <c r="F235" t="inlineStr">
        <is>
          <t>VÄSTERBOTTENS LÄN</t>
        </is>
      </c>
      <c r="G235" t="inlineStr">
        <is>
          <t>NORDMALING</t>
        </is>
      </c>
      <c r="H235" t="inlineStr">
        <is>
          <t>SCA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46228</v>
      </c>
      <c r="F236" t="inlineStr">
        <is>
          <t>VÄSTERBOTTENS LÄN</t>
        </is>
      </c>
      <c r="G236" t="inlineStr">
        <is>
          <t>NORDMALING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46228</v>
      </c>
      <c r="F237" t="inlineStr">
        <is>
          <t>VÄSTERBOTTENS LÄN</t>
        </is>
      </c>
      <c r="G237" t="inlineStr">
        <is>
          <t>NORDMALING</t>
        </is>
      </c>
      <c r="I237" t="n">
        <v>14.8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46228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46228</v>
      </c>
      <c r="F239" t="inlineStr">
        <is>
          <t>VÄSTERBOTTENS LÄN</t>
        </is>
      </c>
      <c r="G239" t="inlineStr">
        <is>
          <t>NORDMALING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61793-2023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45265</v>
      </c>
      <c r="E240" s="1" t="n">
        <v>46228</v>
      </c>
      <c r="F240" t="inlineStr">
        <is>
          <t>VÄSTERBOTTENS LÄN</t>
        </is>
      </c>
      <c r="G240" t="inlineStr">
        <is>
          <t>NORDMALING</t>
        </is>
      </c>
      <c r="H240" t="inlineStr">
        <is>
          <t>SCA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46228</v>
      </c>
      <c r="F241" t="inlineStr">
        <is>
          <t>VÄSTERBOTTENS LÄN</t>
        </is>
      </c>
      <c r="G241" t="inlineStr">
        <is>
          <t>NORDMALING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45102</v>
      </c>
      <c r="E242" s="1" t="n">
        <v>46228</v>
      </c>
      <c r="F242" t="inlineStr">
        <is>
          <t>VÄSTERBOTTENS LÄN</t>
        </is>
      </c>
      <c r="G242" t="inlineStr">
        <is>
          <t>NORDMALING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46228</v>
      </c>
      <c r="F243" t="inlineStr">
        <is>
          <t>VÄSTERBOTTENS LÄN</t>
        </is>
      </c>
      <c r="G243" t="inlineStr">
        <is>
          <t>NORDMALING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46228</v>
      </c>
      <c r="F244" t="inlineStr">
        <is>
          <t>VÄSTERBOTTENS LÄN</t>
        </is>
      </c>
      <c r="G244" t="inlineStr">
        <is>
          <t>NORDMALING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46228</v>
      </c>
      <c r="F245" t="inlineStr">
        <is>
          <t>VÄSTERBOTTENS LÄN</t>
        </is>
      </c>
      <c r="G245" t="inlineStr">
        <is>
          <t>NORDMALING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46228</v>
      </c>
      <c r="F246" t="inlineStr">
        <is>
          <t>VÄSTERBOTTENS LÄN</t>
        </is>
      </c>
      <c r="G246" t="inlineStr">
        <is>
          <t>NORDMALING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46228</v>
      </c>
      <c r="F247" t="inlineStr">
        <is>
          <t>VÄSTERBOTTENS LÄN</t>
        </is>
      </c>
      <c r="G247" t="inlineStr">
        <is>
          <t>NORDMALING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46228</v>
      </c>
      <c r="F248" t="inlineStr">
        <is>
          <t>VÄSTERBOTTENS LÄN</t>
        </is>
      </c>
      <c r="G248" t="inlineStr">
        <is>
          <t>NORDMALING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46228</v>
      </c>
      <c r="F249" t="inlineStr">
        <is>
          <t>VÄSTERBOTTENS LÄN</t>
        </is>
      </c>
      <c r="G249" t="inlineStr">
        <is>
          <t>NORDMALING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46228</v>
      </c>
      <c r="F250" t="inlineStr">
        <is>
          <t>VÄSTERBOTTENS LÄN</t>
        </is>
      </c>
      <c r="G250" t="inlineStr">
        <is>
          <t>NORDMALING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44938</v>
      </c>
      <c r="E251" s="1" t="n">
        <v>46228</v>
      </c>
      <c r="F251" t="inlineStr">
        <is>
          <t>VÄSTERBOTTENS LÄN</t>
        </is>
      </c>
      <c r="G251" t="inlineStr">
        <is>
          <t>NORDMALING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51542-2025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45950</v>
      </c>
      <c r="E252" s="1" t="n">
        <v>46228</v>
      </c>
      <c r="F252" t="inlineStr">
        <is>
          <t>VÄSTERBOTTENS LÄN</t>
        </is>
      </c>
      <c r="G252" t="inlineStr">
        <is>
          <t>NORDMALING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46228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46228</v>
      </c>
      <c r="F254" t="inlineStr">
        <is>
          <t>VÄSTERBOTTENS LÄN</t>
        </is>
      </c>
      <c r="G254" t="inlineStr">
        <is>
          <t>NORDMALING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46228</v>
      </c>
      <c r="F255" t="inlineStr">
        <is>
          <t>VÄSTERBOTTENS LÄN</t>
        </is>
      </c>
      <c r="G255" t="inlineStr">
        <is>
          <t>NORDMALING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52201-2025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46228</v>
      </c>
      <c r="F256" t="inlineStr">
        <is>
          <t>VÄSTERBOTTENS LÄN</t>
        </is>
      </c>
      <c r="G256" t="inlineStr">
        <is>
          <t>NORDMALING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46228</v>
      </c>
      <c r="F257" t="inlineStr">
        <is>
          <t>VÄSTERBOTTENS LÄN</t>
        </is>
      </c>
      <c r="G257" t="inlineStr">
        <is>
          <t>NORDMALING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46228</v>
      </c>
      <c r="F258" t="inlineStr">
        <is>
          <t>VÄSTERBOTTENS LÄN</t>
        </is>
      </c>
      <c r="G258" t="inlineStr">
        <is>
          <t>NORDMALING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46228</v>
      </c>
      <c r="F259" t="inlineStr">
        <is>
          <t>VÄSTERBOTTENS LÄN</t>
        </is>
      </c>
      <c r="G259" t="inlineStr">
        <is>
          <t>NORDMALING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46228</v>
      </c>
      <c r="F260" t="inlineStr">
        <is>
          <t>VÄSTERBOTTENS LÄN</t>
        </is>
      </c>
      <c r="G260" t="inlineStr">
        <is>
          <t>NORDMALING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56734-2022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44893</v>
      </c>
      <c r="E261" s="1" t="n">
        <v>46228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46228</v>
      </c>
      <c r="F262" t="inlineStr">
        <is>
          <t>VÄSTERBOTTENS LÄN</t>
        </is>
      </c>
      <c r="G262" t="inlineStr">
        <is>
          <t>NORDMALING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46228</v>
      </c>
      <c r="F263" t="inlineStr">
        <is>
          <t>VÄSTERBOTTENS LÄN</t>
        </is>
      </c>
      <c r="G263" t="inlineStr">
        <is>
          <t>NORDMALING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24850-2023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45078</v>
      </c>
      <c r="E264" s="1" t="n">
        <v>46228</v>
      </c>
      <c r="F264" t="inlineStr">
        <is>
          <t>VÄSTERBOTTENS LÄN</t>
        </is>
      </c>
      <c r="G264" t="inlineStr">
        <is>
          <t>NORDMALING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46228</v>
      </c>
      <c r="F265" t="inlineStr">
        <is>
          <t>VÄSTERBOTTENS LÄN</t>
        </is>
      </c>
      <c r="G265" t="inlineStr">
        <is>
          <t>NORDMALING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45962</v>
      </c>
      <c r="E266" s="1" t="n">
        <v>46228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46228</v>
      </c>
      <c r="F267" t="inlineStr">
        <is>
          <t>VÄSTERBOTTENS LÄN</t>
        </is>
      </c>
      <c r="G267" t="inlineStr">
        <is>
          <t>NORDMALING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46228</v>
      </c>
      <c r="F268" t="inlineStr">
        <is>
          <t>VÄSTERBOTTENS LÄN</t>
        </is>
      </c>
      <c r="G268" t="inlineStr">
        <is>
          <t>NORDMALING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46228</v>
      </c>
      <c r="F269" t="inlineStr">
        <is>
          <t>VÄSTERBOTTENS LÄN</t>
        </is>
      </c>
      <c r="G269" t="inlineStr">
        <is>
          <t>NORDMALING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46228</v>
      </c>
      <c r="F270" t="inlineStr">
        <is>
          <t>VÄSTERBOTTENS LÄN</t>
        </is>
      </c>
      <c r="G270" t="inlineStr">
        <is>
          <t>NORDMALING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45525</v>
      </c>
      <c r="E271" s="1" t="n">
        <v>46228</v>
      </c>
      <c r="F271" t="inlineStr">
        <is>
          <t>VÄSTERBOTTENS LÄN</t>
        </is>
      </c>
      <c r="G271" t="inlineStr">
        <is>
          <t>NORDMALING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46228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46228</v>
      </c>
      <c r="F273" t="inlineStr">
        <is>
          <t>VÄSTERBOTTENS LÄN</t>
        </is>
      </c>
      <c r="G273" t="inlineStr">
        <is>
          <t>NORDMALING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46228</v>
      </c>
      <c r="F274" t="inlineStr">
        <is>
          <t>VÄSTERBOTTENS LÄN</t>
        </is>
      </c>
      <c r="G274" t="inlineStr">
        <is>
          <t>NORDMALING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46228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46228</v>
      </c>
      <c r="F276" t="inlineStr">
        <is>
          <t>VÄSTERBOTTENS LÄN</t>
        </is>
      </c>
      <c r="G276" t="inlineStr">
        <is>
          <t>NORDMALING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46228</v>
      </c>
      <c r="F277" t="inlineStr">
        <is>
          <t>VÄSTERBOTTENS LÄN</t>
        </is>
      </c>
      <c r="G277" t="inlineStr">
        <is>
          <t>NORDMALING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46228</v>
      </c>
      <c r="F278" t="inlineStr">
        <is>
          <t>VÄSTERBOTTENS LÄN</t>
        </is>
      </c>
      <c r="G278" t="inlineStr">
        <is>
          <t>NORDMALING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46228</v>
      </c>
      <c r="F279" t="inlineStr">
        <is>
          <t>VÄSTERBOTTENS LÄN</t>
        </is>
      </c>
      <c r="G279" t="inlineStr">
        <is>
          <t>NORDMALING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46228</v>
      </c>
      <c r="F280" t="inlineStr">
        <is>
          <t>VÄSTERBOTTENS LÄN</t>
        </is>
      </c>
      <c r="G280" t="inlineStr">
        <is>
          <t>NORDMALING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46195</v>
      </c>
      <c r="E281" s="1" t="n">
        <v>46228</v>
      </c>
      <c r="F281" t="inlineStr">
        <is>
          <t>VÄSTERBOTTENS LÄN</t>
        </is>
      </c>
      <c r="G281" t="inlineStr">
        <is>
          <t>NORDMALING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46228</v>
      </c>
      <c r="F282" t="inlineStr">
        <is>
          <t>VÄSTERBOTTENS LÄN</t>
        </is>
      </c>
      <c r="G282" t="inlineStr">
        <is>
          <t>NORDMALING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46228</v>
      </c>
      <c r="F283" t="inlineStr">
        <is>
          <t>VÄSTERBOTTENS LÄN</t>
        </is>
      </c>
      <c r="G283" t="inlineStr">
        <is>
          <t>NORDMALING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46228</v>
      </c>
      <c r="F284" t="inlineStr">
        <is>
          <t>VÄSTERBOTTENS LÄN</t>
        </is>
      </c>
      <c r="G284" t="inlineStr">
        <is>
          <t>NORDMALING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46228</v>
      </c>
      <c r="F285" t="inlineStr">
        <is>
          <t>VÄSTERBOTTENS LÄN</t>
        </is>
      </c>
      <c r="G285" t="inlineStr">
        <is>
          <t>NORDMALING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46228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46151</v>
      </c>
      <c r="E287" s="1" t="n">
        <v>46228</v>
      </c>
      <c r="F287" t="inlineStr">
        <is>
          <t>VÄSTERBOTTENS LÄN</t>
        </is>
      </c>
      <c r="G287" t="inlineStr">
        <is>
          <t>NORDMALING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46228</v>
      </c>
      <c r="F288" t="inlineStr">
        <is>
          <t>VÄSTERBOTTENS LÄN</t>
        </is>
      </c>
      <c r="G288" t="inlineStr">
        <is>
          <t>NORDMALING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46228</v>
      </c>
      <c r="F289" t="inlineStr">
        <is>
          <t>VÄSTERBOTTENS LÄN</t>
        </is>
      </c>
      <c r="G289" t="inlineStr">
        <is>
          <t>NORDMALING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46151</v>
      </c>
      <c r="E290" s="1" t="n">
        <v>46228</v>
      </c>
      <c r="F290" t="inlineStr">
        <is>
          <t>VÄSTERBOTTENS LÄN</t>
        </is>
      </c>
      <c r="G290" t="inlineStr">
        <is>
          <t>NORDMALING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46228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45982</v>
      </c>
      <c r="E292" s="1" t="n">
        <v>46228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45158</v>
      </c>
      <c r="E293" s="1" t="n">
        <v>46228</v>
      </c>
      <c r="F293" t="inlineStr">
        <is>
          <t>VÄSTERBOTTENS LÄN</t>
        </is>
      </c>
      <c r="G293" t="inlineStr">
        <is>
          <t>NORDMALING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46228</v>
      </c>
      <c r="F294" t="inlineStr">
        <is>
          <t>VÄSTERBOTTENS LÄN</t>
        </is>
      </c>
      <c r="G294" t="inlineStr">
        <is>
          <t>NORDMALING</t>
        </is>
      </c>
      <c r="H294" t="inlineStr">
        <is>
          <t>SCA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46228</v>
      </c>
      <c r="F295" t="inlineStr">
        <is>
          <t>VÄSTERBOTTENS LÄN</t>
        </is>
      </c>
      <c r="G295" t="inlineStr">
        <is>
          <t>NORDMALING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46228</v>
      </c>
      <c r="F296" t="inlineStr">
        <is>
          <t>VÄSTERBOTTENS LÄN</t>
        </is>
      </c>
      <c r="G296" t="inlineStr">
        <is>
          <t>NORDMALING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45433</v>
      </c>
      <c r="E297" s="1" t="n">
        <v>46228</v>
      </c>
      <c r="F297" t="inlineStr">
        <is>
          <t>VÄSTERBOTTENS LÄN</t>
        </is>
      </c>
      <c r="G297" t="inlineStr">
        <is>
          <t>NORDMALING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46228</v>
      </c>
      <c r="F298" t="inlineStr">
        <is>
          <t>VÄSTERBOTTENS LÄN</t>
        </is>
      </c>
      <c r="G298" t="inlineStr">
        <is>
          <t>NORDMALING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46228</v>
      </c>
      <c r="F299" t="inlineStr">
        <is>
          <t>VÄSTERBOTTENS LÄN</t>
        </is>
      </c>
      <c r="G299" t="inlineStr">
        <is>
          <t>NORDMALING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45167</v>
      </c>
      <c r="E300" s="1" t="n">
        <v>46228</v>
      </c>
      <c r="F300" t="inlineStr">
        <is>
          <t>VÄSTERBOTTENS LÄN</t>
        </is>
      </c>
      <c r="G300" t="inlineStr">
        <is>
          <t>NORDMALING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45378</v>
      </c>
      <c r="E301" s="1" t="n">
        <v>46228</v>
      </c>
      <c r="F301" t="inlineStr">
        <is>
          <t>VÄSTERBOTTENS LÄN</t>
        </is>
      </c>
      <c r="G301" t="inlineStr">
        <is>
          <t>NORDMALING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48940-2022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44859</v>
      </c>
      <c r="E302" s="1" t="n">
        <v>46228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46228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46228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46228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46228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46228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46228</v>
      </c>
      <c r="F308" t="inlineStr">
        <is>
          <t>VÄSTERBOTTENS LÄN</t>
        </is>
      </c>
      <c r="G308" t="inlineStr">
        <is>
          <t>NORDMALING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60113-2025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45994</v>
      </c>
      <c r="E309" s="1" t="n">
        <v>46228</v>
      </c>
      <c r="F309" t="inlineStr">
        <is>
          <t>VÄSTERBOTTENS LÄN</t>
        </is>
      </c>
      <c r="G309" t="inlineStr">
        <is>
          <t>NORDMALING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46228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20328-2024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46228</v>
      </c>
      <c r="F311" t="inlineStr">
        <is>
          <t>VÄSTERBOTTENS LÄN</t>
        </is>
      </c>
      <c r="G311" t="inlineStr">
        <is>
          <t>NORDMALING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46228</v>
      </c>
      <c r="F312" t="inlineStr">
        <is>
          <t>VÄSTERBOTTENS LÄN</t>
        </is>
      </c>
      <c r="G312" t="inlineStr">
        <is>
          <t>NORDMALING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46228</v>
      </c>
      <c r="F313" t="inlineStr">
        <is>
          <t>VÄSTERBOTTENS LÄN</t>
        </is>
      </c>
      <c r="G313" t="inlineStr">
        <is>
          <t>NORDMALING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8103-2025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45707</v>
      </c>
      <c r="E314" s="1" t="n">
        <v>46228</v>
      </c>
      <c r="F314" t="inlineStr">
        <is>
          <t>VÄSTERBOTTENS LÄN</t>
        </is>
      </c>
      <c r="G314" t="inlineStr">
        <is>
          <t>NORDMALING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44977</v>
      </c>
      <c r="E315" s="1" t="n">
        <v>46228</v>
      </c>
      <c r="F315" t="inlineStr">
        <is>
          <t>VÄSTERBOTTENS LÄN</t>
        </is>
      </c>
      <c r="G315" t="inlineStr">
        <is>
          <t>NORDMALING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46228</v>
      </c>
      <c r="F316" t="inlineStr">
        <is>
          <t>VÄSTERBOTTENS LÄN</t>
        </is>
      </c>
      <c r="G316" t="inlineStr">
        <is>
          <t>NORDMALING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46155</v>
      </c>
      <c r="E317" s="1" t="n">
        <v>46228</v>
      </c>
      <c r="F317" t="inlineStr">
        <is>
          <t>VÄSTERBOTTENS LÄN</t>
        </is>
      </c>
      <c r="G317" t="inlineStr">
        <is>
          <t>NORDMALING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46228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36814-2024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45538</v>
      </c>
      <c r="E319" s="1" t="n">
        <v>46228</v>
      </c>
      <c r="F319" t="inlineStr">
        <is>
          <t>VÄSTERBOTTENS LÄN</t>
        </is>
      </c>
      <c r="G319" t="inlineStr">
        <is>
          <t>NORDMALING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46228</v>
      </c>
      <c r="F320" t="inlineStr">
        <is>
          <t>VÄSTERBOTTENS LÄN</t>
        </is>
      </c>
      <c r="G320" t="inlineStr">
        <is>
          <t>NORDMALING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44993</v>
      </c>
      <c r="E321" s="1" t="n">
        <v>46228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28446-2026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46228</v>
      </c>
      <c r="F322" t="inlineStr">
        <is>
          <t>VÄSTERBOTTENS LÄN</t>
        </is>
      </c>
      <c r="G322" t="inlineStr">
        <is>
          <t>NORDMALING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46228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22669-2026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46228</v>
      </c>
      <c r="F324" t="inlineStr">
        <is>
          <t>VÄSTERBOTTENS LÄN</t>
        </is>
      </c>
      <c r="G324" t="inlineStr">
        <is>
          <t>NORDMALING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46228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46228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46228</v>
      </c>
      <c r="F327" t="inlineStr">
        <is>
          <t>VÄSTERBOTTENS LÄN</t>
        </is>
      </c>
      <c r="G327" t="inlineStr">
        <is>
          <t>NORDMALING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46228</v>
      </c>
      <c r="F328" t="inlineStr">
        <is>
          <t>VÄSTERBOTTENS LÄN</t>
        </is>
      </c>
      <c r="G328" t="inlineStr">
        <is>
          <t>NORDMALING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46228</v>
      </c>
      <c r="F329" t="inlineStr">
        <is>
          <t>VÄSTERBOTTENS LÄN</t>
        </is>
      </c>
      <c r="G329" t="inlineStr">
        <is>
          <t>NORDMALING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46228</v>
      </c>
      <c r="F330" t="inlineStr">
        <is>
          <t>VÄSTERBOTTENS LÄN</t>
        </is>
      </c>
      <c r="G330" t="inlineStr">
        <is>
          <t>NORDMALING</t>
        </is>
      </c>
      <c r="I330" t="n">
        <v>11.3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46228</v>
      </c>
      <c r="F331" t="inlineStr">
        <is>
          <t>VÄSTERBOTTENS LÄN</t>
        </is>
      </c>
      <c r="G331" t="inlineStr">
        <is>
          <t>NORDMALING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46228</v>
      </c>
      <c r="F332" t="inlineStr">
        <is>
          <t>VÄSTERBOTTENS LÄN</t>
        </is>
      </c>
      <c r="G332" t="inlineStr">
        <is>
          <t>NORDMALING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46228</v>
      </c>
      <c r="F333" t="inlineStr">
        <is>
          <t>VÄSTERBOTTENS LÄN</t>
        </is>
      </c>
      <c r="G333" t="inlineStr">
        <is>
          <t>NORDMALING</t>
        </is>
      </c>
      <c r="H333" t="inlineStr">
        <is>
          <t>Holmen skog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46228</v>
      </c>
      <c r="F334" t="inlineStr">
        <is>
          <t>VÄSTERBOTTENS LÄN</t>
        </is>
      </c>
      <c r="G334" t="inlineStr">
        <is>
          <t>NORDMALING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46228</v>
      </c>
      <c r="F335" t="inlineStr">
        <is>
          <t>VÄSTERBOTTENS LÄN</t>
        </is>
      </c>
      <c r="G335" t="inlineStr">
        <is>
          <t>NORDMALING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44881</v>
      </c>
      <c r="E336" s="1" t="n">
        <v>46228</v>
      </c>
      <c r="F336" t="inlineStr">
        <is>
          <t>VÄSTERBOTTENS LÄN</t>
        </is>
      </c>
      <c r="G336" t="inlineStr">
        <is>
          <t>NORDMALING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54784-2021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44473</v>
      </c>
      <c r="E337" s="1" t="n">
        <v>46228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46228</v>
      </c>
      <c r="F338" t="inlineStr">
        <is>
          <t>VÄSTERBOTTENS LÄN</t>
        </is>
      </c>
      <c r="G338" t="inlineStr">
        <is>
          <t>NORDMALING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45419</v>
      </c>
      <c r="E339" s="1" t="n">
        <v>46228</v>
      </c>
      <c r="F339" t="inlineStr">
        <is>
          <t>VÄSTERBOTTENS LÄN</t>
        </is>
      </c>
      <c r="G339" t="inlineStr">
        <is>
          <t>NORDMALING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46228</v>
      </c>
      <c r="F340" t="inlineStr">
        <is>
          <t>VÄSTERBOTTENS LÄN</t>
        </is>
      </c>
      <c r="G340" t="inlineStr">
        <is>
          <t>NORDMALING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16690-2025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46228</v>
      </c>
      <c r="F341" t="inlineStr">
        <is>
          <t>VÄSTERBOTTENS LÄN</t>
        </is>
      </c>
      <c r="G341" t="inlineStr">
        <is>
          <t>NORDMALING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45503</v>
      </c>
      <c r="E342" s="1" t="n">
        <v>46228</v>
      </c>
      <c r="F342" t="inlineStr">
        <is>
          <t>VÄSTERBOTTENS LÄN</t>
        </is>
      </c>
      <c r="G342" t="inlineStr">
        <is>
          <t>NORDMALING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46228</v>
      </c>
      <c r="F343" t="inlineStr">
        <is>
          <t>VÄSTERBOTTENS LÄN</t>
        </is>
      </c>
      <c r="G343" t="inlineStr">
        <is>
          <t>NORDMALING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46228</v>
      </c>
      <c r="F344" t="inlineStr">
        <is>
          <t>VÄSTERBOTTENS LÄN</t>
        </is>
      </c>
      <c r="G344" t="inlineStr">
        <is>
          <t>NORDMALING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45147</v>
      </c>
      <c r="E345" s="1" t="n">
        <v>46228</v>
      </c>
      <c r="F345" t="inlineStr">
        <is>
          <t>VÄSTERBOTTENS LÄN</t>
        </is>
      </c>
      <c r="G345" t="inlineStr">
        <is>
          <t>NORDMALING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35792-2023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46228</v>
      </c>
      <c r="F346" t="inlineStr">
        <is>
          <t>VÄSTERBOTTENS LÄN</t>
        </is>
      </c>
      <c r="G346" t="inlineStr">
        <is>
          <t>NORDMALING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46228</v>
      </c>
      <c r="F347" t="inlineStr">
        <is>
          <t>VÄSTERBOTTENS LÄN</t>
        </is>
      </c>
      <c r="G347" t="inlineStr">
        <is>
          <t>NORDMALING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63253-2025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46228</v>
      </c>
      <c r="F348" t="inlineStr">
        <is>
          <t>VÄSTERBOTTENS LÄN</t>
        </is>
      </c>
      <c r="G348" t="inlineStr">
        <is>
          <t>NORDMALING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46228</v>
      </c>
      <c r="F349" t="inlineStr">
        <is>
          <t>VÄSTERBOTTENS LÄN</t>
        </is>
      </c>
      <c r="G349" t="inlineStr">
        <is>
          <t>NORDMALING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46010</v>
      </c>
      <c r="E350" s="1" t="n">
        <v>46228</v>
      </c>
      <c r="F350" t="inlineStr">
        <is>
          <t>VÄSTERBOTTENS LÄN</t>
        </is>
      </c>
      <c r="G350" t="inlineStr">
        <is>
          <t>NORDMALING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46228</v>
      </c>
      <c r="F351" t="inlineStr">
        <is>
          <t>VÄSTERBOTTENS LÄN</t>
        </is>
      </c>
      <c r="G351" t="inlineStr">
        <is>
          <t>NORDMALING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46199</v>
      </c>
      <c r="E352" s="1" t="n">
        <v>46228</v>
      </c>
      <c r="F352" t="inlineStr">
        <is>
          <t>VÄSTERBOTTENS LÄN</t>
        </is>
      </c>
      <c r="G352" t="inlineStr">
        <is>
          <t>NORDMALING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35803-2023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45147</v>
      </c>
      <c r="E353" s="1" t="n">
        <v>46228</v>
      </c>
      <c r="F353" t="inlineStr">
        <is>
          <t>VÄSTERBOTTENS LÄN</t>
        </is>
      </c>
      <c r="G353" t="inlineStr">
        <is>
          <t>NORDMALING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45021</v>
      </c>
      <c r="E354" s="1" t="n">
        <v>46228</v>
      </c>
      <c r="F354" t="inlineStr">
        <is>
          <t>VÄSTERBOTTENS LÄN</t>
        </is>
      </c>
      <c r="G354" t="inlineStr">
        <is>
          <t>NORDMALING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45034</v>
      </c>
      <c r="E355" s="1" t="n">
        <v>46228</v>
      </c>
      <c r="F355" t="inlineStr">
        <is>
          <t>VÄSTERBOTTENS LÄN</t>
        </is>
      </c>
      <c r="G355" t="inlineStr">
        <is>
          <t>NORDMALING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63813-2025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46020</v>
      </c>
      <c r="E356" s="1" t="n">
        <v>46228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63756-2025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46018</v>
      </c>
      <c r="E357" s="1" t="n">
        <v>46228</v>
      </c>
      <c r="F357" t="inlineStr">
        <is>
          <t>VÄSTERBOTTENS LÄN</t>
        </is>
      </c>
      <c r="G357" t="inlineStr">
        <is>
          <t>NORDMALING</t>
        </is>
      </c>
      <c r="I357" t="n">
        <v>12.8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46020</v>
      </c>
      <c r="E358" s="1" t="n">
        <v>46228</v>
      </c>
      <c r="F358" t="inlineStr">
        <is>
          <t>VÄSTERBOTTENS LÄN</t>
        </is>
      </c>
      <c r="G358" t="inlineStr">
        <is>
          <t>NORDMALING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64498-2023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45280</v>
      </c>
      <c r="E359" s="1" t="n">
        <v>46228</v>
      </c>
      <c r="F359" t="inlineStr">
        <is>
          <t>VÄSTERBOTTENS LÄN</t>
        </is>
      </c>
      <c r="G359" t="inlineStr">
        <is>
          <t>NORDMALING</t>
        </is>
      </c>
      <c r="H359" t="inlineStr">
        <is>
          <t>SCA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46018</v>
      </c>
      <c r="E360" s="1" t="n">
        <v>46228</v>
      </c>
      <c r="F360" t="inlineStr">
        <is>
          <t>VÄSTERBOTTENS LÄN</t>
        </is>
      </c>
      <c r="G360" t="inlineStr">
        <is>
          <t>NORDMALING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46018</v>
      </c>
      <c r="E361" s="1" t="n">
        <v>46228</v>
      </c>
      <c r="F361" t="inlineStr">
        <is>
          <t>VÄSTERBOTTENS LÄN</t>
        </is>
      </c>
      <c r="G361" t="inlineStr">
        <is>
          <t>NORDMALING</t>
        </is>
      </c>
      <c r="I361" t="n">
        <v>16.2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46022</v>
      </c>
      <c r="E362" s="1" t="n">
        <v>46228</v>
      </c>
      <c r="F362" t="inlineStr">
        <is>
          <t>VÄSTERBOTTENS LÄN</t>
        </is>
      </c>
      <c r="G362" t="inlineStr">
        <is>
          <t>NORDMALING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46228</v>
      </c>
      <c r="F363" t="inlineStr">
        <is>
          <t>VÄSTERBOTTENS LÄN</t>
        </is>
      </c>
      <c r="G363" t="inlineStr">
        <is>
          <t>NORDMALING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24415-2024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45457</v>
      </c>
      <c r="E364" s="1" t="n">
        <v>46228</v>
      </c>
      <c r="F364" t="inlineStr">
        <is>
          <t>VÄSTERBOTTENS LÄN</t>
        </is>
      </c>
      <c r="G364" t="inlineStr">
        <is>
          <t>NORDMALING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46228</v>
      </c>
      <c r="F365" t="inlineStr">
        <is>
          <t>VÄSTERBOTTENS LÄN</t>
        </is>
      </c>
      <c r="G365" t="inlineStr">
        <is>
          <t>NORDMALING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46028</v>
      </c>
      <c r="E366" s="1" t="n">
        <v>46228</v>
      </c>
      <c r="F366" t="inlineStr">
        <is>
          <t>VÄSTERBOTTENS LÄN</t>
        </is>
      </c>
      <c r="G366" t="inlineStr">
        <is>
          <t>NORDMALING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46228</v>
      </c>
      <c r="F367" t="inlineStr">
        <is>
          <t>VÄSTERBOTTENS LÄN</t>
        </is>
      </c>
      <c r="G367" t="inlineStr">
        <is>
          <t>NORDMALING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46228</v>
      </c>
      <c r="F368" t="inlineStr">
        <is>
          <t>VÄSTERBOTTENS LÄN</t>
        </is>
      </c>
      <c r="G368" t="inlineStr">
        <is>
          <t>NORDMALING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45327</v>
      </c>
      <c r="E369" s="1" t="n">
        <v>46228</v>
      </c>
      <c r="F369" t="inlineStr">
        <is>
          <t>VÄSTERBOTTENS LÄN</t>
        </is>
      </c>
      <c r="G369" t="inlineStr">
        <is>
          <t>NORDMALING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23005-2026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46160</v>
      </c>
      <c r="E370" s="1" t="n">
        <v>46228</v>
      </c>
      <c r="F370" t="inlineStr">
        <is>
          <t>VÄSTERBOTTENS LÄN</t>
        </is>
      </c>
      <c r="G370" t="inlineStr">
        <is>
          <t>NORDMALING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46228</v>
      </c>
      <c r="F371" t="inlineStr">
        <is>
          <t>VÄSTERBOTTENS LÄN</t>
        </is>
      </c>
      <c r="G371" t="inlineStr">
        <is>
          <t>NORDMALING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46032</v>
      </c>
      <c r="E372" s="1" t="n">
        <v>46228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Holmen skog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46228</v>
      </c>
      <c r="F373" t="inlineStr">
        <is>
          <t>VÄSTERBOTTENS LÄN</t>
        </is>
      </c>
      <c r="G373" t="inlineStr">
        <is>
          <t>NORDMALING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46228</v>
      </c>
      <c r="F374" t="inlineStr">
        <is>
          <t>VÄSTERBOTTENS LÄN</t>
        </is>
      </c>
      <c r="G374" t="inlineStr">
        <is>
          <t>NORDMALING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46228</v>
      </c>
      <c r="F375" t="inlineStr">
        <is>
          <t>VÄSTERBOTTENS LÄN</t>
        </is>
      </c>
      <c r="G375" t="inlineStr">
        <is>
          <t>NORDMALING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46228</v>
      </c>
      <c r="F376" t="inlineStr">
        <is>
          <t>VÄSTERBOTTENS LÄN</t>
        </is>
      </c>
      <c r="G376" t="inlineStr">
        <is>
          <t>NORDMALING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15986-2023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45022</v>
      </c>
      <c r="E377" s="1" t="n">
        <v>46228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23047-2026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46161</v>
      </c>
      <c r="E378" s="1" t="n">
        <v>46228</v>
      </c>
      <c r="F378" t="inlineStr">
        <is>
          <t>VÄSTERBOTTENS LÄN</t>
        </is>
      </c>
      <c r="G378" t="inlineStr">
        <is>
          <t>NORDMALING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46228</v>
      </c>
      <c r="F379" t="inlineStr">
        <is>
          <t>VÄSTERBOTTENS LÄN</t>
        </is>
      </c>
      <c r="G379" t="inlineStr">
        <is>
          <t>NORDMALING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46228</v>
      </c>
      <c r="F380" t="inlineStr">
        <is>
          <t>VÄSTERBOTTENS LÄN</t>
        </is>
      </c>
      <c r="G380" t="inlineStr">
        <is>
          <t>NORDMALING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46228</v>
      </c>
      <c r="F381" t="inlineStr">
        <is>
          <t>VÄSTERBOTTENS LÄN</t>
        </is>
      </c>
      <c r="G381" t="inlineStr">
        <is>
          <t>NORDMALING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45330</v>
      </c>
      <c r="E382" s="1" t="n">
        <v>46228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48945-2022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44859</v>
      </c>
      <c r="E383" s="1" t="n">
        <v>46228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46042</v>
      </c>
      <c r="E384" s="1" t="n">
        <v>46228</v>
      </c>
      <c r="F384" t="inlineStr">
        <is>
          <t>VÄSTERBOTTENS LÄN</t>
        </is>
      </c>
      <c r="G384" t="inlineStr">
        <is>
          <t>NORDMALING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46228</v>
      </c>
      <c r="F385" t="inlineStr">
        <is>
          <t>VÄSTERBOTTENS LÄN</t>
        </is>
      </c>
      <c r="G385" t="inlineStr">
        <is>
          <t>NORDMALING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46228</v>
      </c>
      <c r="F386" t="inlineStr">
        <is>
          <t>VÄSTERBOTTENS LÄN</t>
        </is>
      </c>
      <c r="G386" t="inlineStr">
        <is>
          <t>NORDMALING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46228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46228</v>
      </c>
      <c r="F388" t="inlineStr">
        <is>
          <t>VÄSTERBOTTENS LÄN</t>
        </is>
      </c>
      <c r="G388" t="inlineStr">
        <is>
          <t>NORDMALING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46228</v>
      </c>
      <c r="F389" t="inlineStr">
        <is>
          <t>VÄSTERBOTTENS LÄN</t>
        </is>
      </c>
      <c r="G389" t="inlineStr">
        <is>
          <t>NORDMALING</t>
        </is>
      </c>
      <c r="I389" t="n">
        <v>22.4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8173-2022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44609</v>
      </c>
      <c r="E390" s="1" t="n">
        <v>46228</v>
      </c>
      <c r="F390" t="inlineStr">
        <is>
          <t>VÄSTERBOTTENS LÄN</t>
        </is>
      </c>
      <c r="G390" t="inlineStr">
        <is>
          <t>NORDMALING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4898-2026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46048</v>
      </c>
      <c r="E391" s="1" t="n">
        <v>46228</v>
      </c>
      <c r="F391" t="inlineStr">
        <is>
          <t>VÄSTERBOTTENS LÄN</t>
        </is>
      </c>
      <c r="G391" t="inlineStr">
        <is>
          <t>NORDMALING</t>
        </is>
      </c>
      <c r="I391" t="n">
        <v>0.1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46050</v>
      </c>
      <c r="E392" s="1" t="n">
        <v>46228</v>
      </c>
      <c r="F392" t="inlineStr">
        <is>
          <t>VÄSTERBOTTENS LÄN</t>
        </is>
      </c>
      <c r="G392" t="inlineStr">
        <is>
          <t>NORDMALING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46050</v>
      </c>
      <c r="E393" s="1" t="n">
        <v>46228</v>
      </c>
      <c r="F393" t="inlineStr">
        <is>
          <t>VÄSTERBOTTENS LÄN</t>
        </is>
      </c>
      <c r="G393" t="inlineStr">
        <is>
          <t>NORDMALING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46228</v>
      </c>
      <c r="F394" t="inlineStr">
        <is>
          <t>VÄSTERBOTTENS LÄN</t>
        </is>
      </c>
      <c r="G394" t="inlineStr">
        <is>
          <t>NORDMALING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45775</v>
      </c>
      <c r="E395" s="1" t="n">
        <v>46228</v>
      </c>
      <c r="F395" t="inlineStr">
        <is>
          <t>VÄSTERBOTTENS LÄN</t>
        </is>
      </c>
      <c r="G395" t="inlineStr">
        <is>
          <t>NORDMALING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46228</v>
      </c>
      <c r="F396" t="inlineStr">
        <is>
          <t>VÄSTERBOTTENS LÄN</t>
        </is>
      </c>
      <c r="G396" t="inlineStr">
        <is>
          <t>NORDMALING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46228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7700-2024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45349</v>
      </c>
      <c r="E398" s="1" t="n">
        <v>46228</v>
      </c>
      <c r="F398" t="inlineStr">
        <is>
          <t>VÄSTERBOTTENS LÄN</t>
        </is>
      </c>
      <c r="G398" t="inlineStr">
        <is>
          <t>NORDMALING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46228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46228</v>
      </c>
      <c r="F400" t="inlineStr">
        <is>
          <t>VÄSTERBOTTENS LÄN</t>
        </is>
      </c>
      <c r="G400" t="inlineStr">
        <is>
          <t>NORDMALING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44812</v>
      </c>
      <c r="E401" s="1" t="n">
        <v>46228</v>
      </c>
      <c r="F401" t="inlineStr">
        <is>
          <t>VÄSTERBOTTENS LÄN</t>
        </is>
      </c>
      <c r="G401" t="inlineStr">
        <is>
          <t>NORDMALING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45453</v>
      </c>
      <c r="E402" s="1" t="n">
        <v>46228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46228</v>
      </c>
      <c r="F403" t="inlineStr">
        <is>
          <t>VÄSTERBOTTENS LÄN</t>
        </is>
      </c>
      <c r="G403" t="inlineStr">
        <is>
          <t>NORDMALING</t>
        </is>
      </c>
      <c r="I403" t="n">
        <v>19.1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7732-2026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46228</v>
      </c>
      <c r="F404" t="inlineStr">
        <is>
          <t>VÄSTERBOTTENS LÄN</t>
        </is>
      </c>
      <c r="G404" t="inlineStr">
        <is>
          <t>NORDMALING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45691</v>
      </c>
      <c r="E405" s="1" t="n">
        <v>46228</v>
      </c>
      <c r="F405" t="inlineStr">
        <is>
          <t>VÄSTERBOTTENS LÄN</t>
        </is>
      </c>
      <c r="G405" t="inlineStr">
        <is>
          <t>NORDMALING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46228</v>
      </c>
      <c r="F406" t="inlineStr">
        <is>
          <t>VÄSTERBOTTENS LÄN</t>
        </is>
      </c>
      <c r="G406" t="inlineStr">
        <is>
          <t>NORDMALING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46065</v>
      </c>
      <c r="E407" s="1" t="n">
        <v>46228</v>
      </c>
      <c r="F407" t="inlineStr">
        <is>
          <t>VÄSTERBOTTENS LÄN</t>
        </is>
      </c>
      <c r="G407" t="inlineStr">
        <is>
          <t>NORDMALING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46228</v>
      </c>
      <c r="F408" t="inlineStr">
        <is>
          <t>VÄSTERBOTTENS LÄN</t>
        </is>
      </c>
      <c r="G408" t="inlineStr">
        <is>
          <t>NORDMALING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43492-2024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46228</v>
      </c>
      <c r="F409" t="inlineStr">
        <is>
          <t>VÄSTERBOTTENS LÄN</t>
        </is>
      </c>
      <c r="G409" t="inlineStr">
        <is>
          <t>NORDMALING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46066</v>
      </c>
      <c r="E410" s="1" t="n">
        <v>46228</v>
      </c>
      <c r="F410" t="inlineStr">
        <is>
          <t>VÄSTERBOTTENS LÄN</t>
        </is>
      </c>
      <c r="G410" t="inlineStr">
        <is>
          <t>NORDMALING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33612-2022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44789</v>
      </c>
      <c r="E411" s="1" t="n">
        <v>46228</v>
      </c>
      <c r="F411" t="inlineStr">
        <is>
          <t>VÄSTERBOTTENS LÄN</t>
        </is>
      </c>
      <c r="G411" t="inlineStr">
        <is>
          <t>NORDMALING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46228</v>
      </c>
      <c r="F412" t="inlineStr">
        <is>
          <t>VÄSTERBOTTENS LÄN</t>
        </is>
      </c>
      <c r="G412" t="inlineStr">
        <is>
          <t>NORDMALING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46228</v>
      </c>
      <c r="F413" t="inlineStr">
        <is>
          <t>VÄSTERBOTTENS LÄN</t>
        </is>
      </c>
      <c r="G413" t="inlineStr">
        <is>
          <t>NORDMALING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34484-2023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45139</v>
      </c>
      <c r="E414" s="1" t="n">
        <v>46228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46228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46228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24324-2026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46169</v>
      </c>
      <c r="E417" s="1" t="n">
        <v>46228</v>
      </c>
      <c r="F417" t="inlineStr">
        <is>
          <t>VÄSTERBOTTENS LÄN</t>
        </is>
      </c>
      <c r="G417" t="inlineStr">
        <is>
          <t>NORDMALING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46228</v>
      </c>
      <c r="F418" t="inlineStr">
        <is>
          <t>VÄSTERBOTTENS LÄN</t>
        </is>
      </c>
      <c r="G418" t="inlineStr">
        <is>
          <t>NORDMALING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45344</v>
      </c>
      <c r="E419" s="1" t="n">
        <v>46228</v>
      </c>
      <c r="F419" t="inlineStr">
        <is>
          <t>VÄSTERBOTTENS LÄN</t>
        </is>
      </c>
      <c r="G419" t="inlineStr">
        <is>
          <t>NORDMALING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45593</v>
      </c>
      <c r="E420" s="1" t="n">
        <v>46228</v>
      </c>
      <c r="F420" t="inlineStr">
        <is>
          <t>VÄSTERBOTTENS LÄN</t>
        </is>
      </c>
      <c r="G420" t="inlineStr">
        <is>
          <t>NORDMALING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70028-2021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44533</v>
      </c>
      <c r="E421" s="1" t="n">
        <v>46228</v>
      </c>
      <c r="F421" t="inlineStr">
        <is>
          <t>VÄSTERBOTTENS LÄN</t>
        </is>
      </c>
      <c r="G421" t="inlineStr">
        <is>
          <t>NORDMALING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44812</v>
      </c>
      <c r="E422" s="1" t="n">
        <v>46228</v>
      </c>
      <c r="F422" t="inlineStr">
        <is>
          <t>VÄSTERBOTTENS LÄN</t>
        </is>
      </c>
      <c r="G422" t="inlineStr">
        <is>
          <t>NORDMALING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45525</v>
      </c>
      <c r="E423" s="1" t="n">
        <v>46228</v>
      </c>
      <c r="F423" t="inlineStr">
        <is>
          <t>VÄSTERBOTTENS LÄN</t>
        </is>
      </c>
      <c r="G423" t="inlineStr">
        <is>
          <t>NORDMALING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24712-2023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45075</v>
      </c>
      <c r="E424" s="1" t="n">
        <v>46228</v>
      </c>
      <c r="F424" t="inlineStr">
        <is>
          <t>VÄSTERBOTTENS LÄN</t>
        </is>
      </c>
      <c r="G424" t="inlineStr">
        <is>
          <t>NORDMALING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45524</v>
      </c>
      <c r="E425" s="1" t="n">
        <v>46228</v>
      </c>
      <c r="F425" t="inlineStr">
        <is>
          <t>VÄSTERBOTTENS LÄN</t>
        </is>
      </c>
      <c r="G425" t="inlineStr">
        <is>
          <t>NORDMALING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46228</v>
      </c>
      <c r="F426" t="inlineStr">
        <is>
          <t>VÄSTERBOTTENS LÄN</t>
        </is>
      </c>
      <c r="G426" t="inlineStr">
        <is>
          <t>NORDMALING</t>
        </is>
      </c>
      <c r="I426" t="n">
        <v>8.699999999999999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8425-2023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44977</v>
      </c>
      <c r="E427" s="1" t="n">
        <v>46228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Holmen skog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46228</v>
      </c>
      <c r="F428" t="inlineStr">
        <is>
          <t>VÄSTERBOTTENS LÄN</t>
        </is>
      </c>
      <c r="G428" t="inlineStr">
        <is>
          <t>NORDMALING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30944-2026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46228</v>
      </c>
      <c r="F429" t="inlineStr">
        <is>
          <t>VÄSTERBOTTENS LÄN</t>
        </is>
      </c>
      <c r="G429" t="inlineStr">
        <is>
          <t>NORDMALING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45482</v>
      </c>
      <c r="E430" s="1" t="n">
        <v>46228</v>
      </c>
      <c r="F430" t="inlineStr">
        <is>
          <t>VÄSTERBOTTENS LÄN</t>
        </is>
      </c>
      <c r="G430" t="inlineStr">
        <is>
          <t>NORDMALING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46205</v>
      </c>
      <c r="E431" s="1" t="n">
        <v>46228</v>
      </c>
      <c r="F431" t="inlineStr">
        <is>
          <t>VÄSTERBOTTENS LÄN</t>
        </is>
      </c>
      <c r="G431" t="inlineStr">
        <is>
          <t>NORDMALING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30918-2026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46228</v>
      </c>
      <c r="F432" t="inlineStr">
        <is>
          <t>VÄSTERBOTTENS LÄN</t>
        </is>
      </c>
      <c r="G432" t="inlineStr">
        <is>
          <t>NORDMALING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46228</v>
      </c>
      <c r="F433" t="inlineStr">
        <is>
          <t>VÄSTERBOTTENS LÄN</t>
        </is>
      </c>
      <c r="G433" t="inlineStr">
        <is>
          <t>NORDMALING</t>
        </is>
      </c>
      <c r="I433" t="n">
        <v>11.6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25214-2026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46228</v>
      </c>
      <c r="F434" t="inlineStr">
        <is>
          <t>VÄSTERBOTTENS LÄN</t>
        </is>
      </c>
      <c r="G434" t="inlineStr">
        <is>
          <t>NORDMALING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46228</v>
      </c>
      <c r="F435" t="inlineStr">
        <is>
          <t>VÄSTERBOTTENS LÄN</t>
        </is>
      </c>
      <c r="G435" t="inlineStr">
        <is>
          <t>NORDMALING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30778-2026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46212</v>
      </c>
      <c r="E436" s="1" t="n">
        <v>46228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46228</v>
      </c>
      <c r="F437" t="inlineStr">
        <is>
          <t>VÄSTERBOTTENS LÄN</t>
        </is>
      </c>
      <c r="G437" t="inlineStr">
        <is>
          <t>NORDMALING</t>
        </is>
      </c>
      <c r="I437" t="n">
        <v>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46228</v>
      </c>
      <c r="F438" t="inlineStr">
        <is>
          <t>VÄSTERBOTTENS LÄN</t>
        </is>
      </c>
      <c r="G438" t="inlineStr">
        <is>
          <t>NORDMALING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46228</v>
      </c>
      <c r="F439" t="inlineStr">
        <is>
          <t>VÄSTERBOTTENS LÄN</t>
        </is>
      </c>
      <c r="G439" t="inlineStr">
        <is>
          <t>NORDMALING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46228</v>
      </c>
      <c r="F440" t="inlineStr">
        <is>
          <t>VÄSTERBOTTENS LÄN</t>
        </is>
      </c>
      <c r="G440" t="inlineStr">
        <is>
          <t>NORDMALING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46228</v>
      </c>
      <c r="F441" t="inlineStr">
        <is>
          <t>VÄSTERBOTTENS LÄN</t>
        </is>
      </c>
      <c r="G441" t="inlineStr">
        <is>
          <t>NORDMALING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46228</v>
      </c>
      <c r="F442" t="inlineStr">
        <is>
          <t>VÄSTERBOTTENS LÄN</t>
        </is>
      </c>
      <c r="G442" t="inlineStr">
        <is>
          <t>NORDMALING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59605-2022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44907</v>
      </c>
      <c r="E443" s="1" t="n">
        <v>46228</v>
      </c>
      <c r="F443" t="inlineStr">
        <is>
          <t>VÄSTERBOTTENS LÄN</t>
        </is>
      </c>
      <c r="G443" t="inlineStr">
        <is>
          <t>NORDMALING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46228</v>
      </c>
      <c r="F444" t="inlineStr">
        <is>
          <t>VÄSTERBOTTENS LÄN</t>
        </is>
      </c>
      <c r="G444" t="inlineStr">
        <is>
          <t>NORDMALING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46228</v>
      </c>
      <c r="F445" t="inlineStr">
        <is>
          <t>VÄSTERBOTTENS LÄN</t>
        </is>
      </c>
      <c r="G445" t="inlineStr">
        <is>
          <t>NORDMALING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56674-2021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44480</v>
      </c>
      <c r="E446" s="1" t="n">
        <v>46228</v>
      </c>
      <c r="F446" t="inlineStr">
        <is>
          <t>VÄSTERBOTTENS LÄN</t>
        </is>
      </c>
      <c r="G446" t="inlineStr">
        <is>
          <t>NORDMALING</t>
        </is>
      </c>
      <c r="I446" t="n">
        <v>12.5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46228</v>
      </c>
      <c r="F447" t="inlineStr">
        <is>
          <t>VÄSTERBOTTENS LÄN</t>
        </is>
      </c>
      <c r="G447" t="inlineStr">
        <is>
          <t>NORDMALING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46228</v>
      </c>
      <c r="F448" t="inlineStr">
        <is>
          <t>VÄSTERBOTTENS LÄN</t>
        </is>
      </c>
      <c r="G448" t="inlineStr">
        <is>
          <t>NORDMALING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58613-2022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44902</v>
      </c>
      <c r="E449" s="1" t="n">
        <v>46228</v>
      </c>
      <c r="F449" t="inlineStr">
        <is>
          <t>VÄSTERBOTTENS LÄN</t>
        </is>
      </c>
      <c r="G449" t="inlineStr">
        <is>
          <t>NORDMALING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46228</v>
      </c>
      <c r="F450" t="inlineStr">
        <is>
          <t>VÄSTERBOTTENS LÄN</t>
        </is>
      </c>
      <c r="G450" t="inlineStr">
        <is>
          <t>NORDMALING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46228</v>
      </c>
      <c r="F451" t="inlineStr">
        <is>
          <t>VÄSTERBOTTENS LÄN</t>
        </is>
      </c>
      <c r="G451" t="inlineStr">
        <is>
          <t>NORDMALING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60175-2022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44909</v>
      </c>
      <c r="E452" s="1" t="n">
        <v>46228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45105</v>
      </c>
      <c r="E453" s="1" t="n">
        <v>46228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46228</v>
      </c>
      <c r="F454" t="inlineStr">
        <is>
          <t>VÄSTERBOTTENS LÄN</t>
        </is>
      </c>
      <c r="G454" t="inlineStr">
        <is>
          <t>NORDMALING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44742</v>
      </c>
      <c r="E455" s="1" t="n">
        <v>46228</v>
      </c>
      <c r="F455" t="inlineStr">
        <is>
          <t>VÄSTERBOTTENS LÄN</t>
        </is>
      </c>
      <c r="G455" t="inlineStr">
        <is>
          <t>NORDMALING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46228</v>
      </c>
      <c r="F456" t="inlineStr">
        <is>
          <t>VÄSTERBOTTENS LÄN</t>
        </is>
      </c>
      <c r="G456" t="inlineStr">
        <is>
          <t>NORDMALING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46228</v>
      </c>
      <c r="F457" t="inlineStr">
        <is>
          <t>VÄSTERBOTTENS LÄN</t>
        </is>
      </c>
      <c r="G457" t="inlineStr">
        <is>
          <t>NORDMALING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46116</v>
      </c>
      <c r="E458" s="1" t="n">
        <v>46228</v>
      </c>
      <c r="F458" t="inlineStr">
        <is>
          <t>VÄSTERBOTTENS LÄN</t>
        </is>
      </c>
      <c r="G458" t="inlineStr">
        <is>
          <t>NORDMALING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45517</v>
      </c>
      <c r="E459" s="1" t="n">
        <v>46228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Holmen skog AB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18039-2026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46125</v>
      </c>
      <c r="E460" s="1" t="n">
        <v>46228</v>
      </c>
      <c r="F460" t="inlineStr">
        <is>
          <t>VÄSTERBOTTENS LÄN</t>
        </is>
      </c>
      <c r="G460" t="inlineStr">
        <is>
          <t>NORDMALING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43602-2024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46228</v>
      </c>
      <c r="F461" t="inlineStr">
        <is>
          <t>VÄSTERBOTTENS LÄN</t>
        </is>
      </c>
      <c r="G461" t="inlineStr">
        <is>
          <t>NORDMALING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46125</v>
      </c>
      <c r="E462" s="1" t="n">
        <v>46228</v>
      </c>
      <c r="F462" t="inlineStr">
        <is>
          <t>VÄSTERBOTTENS LÄN</t>
        </is>
      </c>
      <c r="G462" t="inlineStr">
        <is>
          <t>NORDMALING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46228</v>
      </c>
      <c r="F463" t="inlineStr">
        <is>
          <t>VÄSTERBOTTENS LÄN</t>
        </is>
      </c>
      <c r="G463" t="inlineStr">
        <is>
          <t>NORDMALING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46129</v>
      </c>
      <c r="E464" s="1" t="n">
        <v>46228</v>
      </c>
      <c r="F464" t="inlineStr">
        <is>
          <t>VÄSTERBOTTENS LÄN</t>
        </is>
      </c>
      <c r="G464" t="inlineStr">
        <is>
          <t>NORDMALING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18881-2026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46129</v>
      </c>
      <c r="E465" s="1" t="n">
        <v>46228</v>
      </c>
      <c r="F465" t="inlineStr">
        <is>
          <t>VÄSTERBOTTENS LÄN</t>
        </is>
      </c>
      <c r="G465" t="inlineStr">
        <is>
          <t>NORDMALING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46228</v>
      </c>
      <c r="F466" t="inlineStr">
        <is>
          <t>VÄSTERBOTTENS LÄN</t>
        </is>
      </c>
      <c r="G466" t="inlineStr">
        <is>
          <t>NORDMALING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46228</v>
      </c>
      <c r="F467" t="inlineStr">
        <is>
          <t>VÄSTERBOTTENS LÄN</t>
        </is>
      </c>
      <c r="G467" t="inlineStr">
        <is>
          <t>NORDMALING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18788-2026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46128</v>
      </c>
      <c r="E468" s="1" t="n">
        <v>46228</v>
      </c>
      <c r="F468" t="inlineStr">
        <is>
          <t>VÄSTERBOTTENS LÄN</t>
        </is>
      </c>
      <c r="G468" t="inlineStr">
        <is>
          <t>NORDMALING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46228</v>
      </c>
      <c r="F469" t="inlineStr">
        <is>
          <t>VÄSTERBOTTENS LÄN</t>
        </is>
      </c>
      <c r="G469" t="inlineStr">
        <is>
          <t>NORDMALING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46228</v>
      </c>
      <c r="F470" t="inlineStr">
        <is>
          <t>VÄSTERBOTTENS LÄN</t>
        </is>
      </c>
      <c r="G470" t="inlineStr">
        <is>
          <t>NORDMALING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18839-2026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46129</v>
      </c>
      <c r="E471" s="1" t="n">
        <v>46228</v>
      </c>
      <c r="F471" t="inlineStr">
        <is>
          <t>VÄSTERBOTTENS LÄN</t>
        </is>
      </c>
      <c r="G471" t="inlineStr">
        <is>
          <t>NORDMALING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43735-2021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44433</v>
      </c>
      <c r="E472" s="1" t="n">
        <v>46228</v>
      </c>
      <c r="F472" t="inlineStr">
        <is>
          <t>VÄSTERBOTTENS LÄN</t>
        </is>
      </c>
      <c r="G472" t="inlineStr">
        <is>
          <t>NORDMALING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45574</v>
      </c>
      <c r="E473" s="1" t="n">
        <v>46228</v>
      </c>
      <c r="F473" t="inlineStr">
        <is>
          <t>VÄSTERBOTTENS LÄN</t>
        </is>
      </c>
      <c r="G473" t="inlineStr">
        <is>
          <t>NORDMALING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55810-2022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44888</v>
      </c>
      <c r="E474" s="1" t="n">
        <v>46228</v>
      </c>
      <c r="F474" t="inlineStr">
        <is>
          <t>VÄSTERBOTTENS LÄN</t>
        </is>
      </c>
      <c r="G474" t="inlineStr">
        <is>
          <t>NORDMALING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19143-2026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46228</v>
      </c>
      <c r="F475" t="inlineStr">
        <is>
          <t>VÄSTERBOTTENS LÄN</t>
        </is>
      </c>
      <c r="G475" t="inlineStr">
        <is>
          <t>NORDMALING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46228</v>
      </c>
      <c r="F476" t="inlineStr">
        <is>
          <t>VÄSTERBOTTENS LÄN</t>
        </is>
      </c>
      <c r="G476" t="inlineStr">
        <is>
          <t>NORDMALING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19154-2026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46228</v>
      </c>
      <c r="F477" t="inlineStr">
        <is>
          <t>VÄSTERBOTTENS LÄN</t>
        </is>
      </c>
      <c r="G477" t="inlineStr">
        <is>
          <t>NORDMALING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46228</v>
      </c>
      <c r="F478" t="inlineStr">
        <is>
          <t>VÄSTERBOTTENS LÄN</t>
        </is>
      </c>
      <c r="G478" t="inlineStr">
        <is>
          <t>NORDMALING</t>
        </is>
      </c>
      <c r="I478" t="n">
        <v>8.1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46135</v>
      </c>
      <c r="E479" s="1" t="n">
        <v>46228</v>
      </c>
      <c r="F479" t="inlineStr">
        <is>
          <t>VÄSTERBOTTENS LÄN</t>
        </is>
      </c>
      <c r="G479" t="inlineStr">
        <is>
          <t>NORDMALING</t>
        </is>
      </c>
      <c r="H479" t="inlineStr">
        <is>
          <t>SCA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45378</v>
      </c>
      <c r="E480" s="1" t="n">
        <v>46228</v>
      </c>
      <c r="F480" t="inlineStr">
        <is>
          <t>VÄSTERBOTTENS LÄN</t>
        </is>
      </c>
      <c r="G480" t="inlineStr">
        <is>
          <t>NORDMALING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46228</v>
      </c>
      <c r="F481" t="inlineStr">
        <is>
          <t>VÄSTERBOTTENS LÄN</t>
        </is>
      </c>
      <c r="G481" t="inlineStr">
        <is>
          <t>NORDMALING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21607-2022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44706</v>
      </c>
      <c r="E482" s="1" t="n">
        <v>46228</v>
      </c>
      <c r="F482" t="inlineStr">
        <is>
          <t>VÄSTERBOTTENS LÄN</t>
        </is>
      </c>
      <c r="G482" t="inlineStr">
        <is>
          <t>NORDMALING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16212-2023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45028</v>
      </c>
      <c r="E483" s="1" t="n">
        <v>46228</v>
      </c>
      <c r="F483" t="inlineStr">
        <is>
          <t>VÄSTERBOTTENS LÄN</t>
        </is>
      </c>
      <c r="G483" t="inlineStr">
        <is>
          <t>NORDMALING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26796-2026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46185</v>
      </c>
      <c r="E484" s="1" t="n">
        <v>46228</v>
      </c>
      <c r="F484" t="inlineStr">
        <is>
          <t>VÄSTERBOTTENS LÄN</t>
        </is>
      </c>
      <c r="G484" t="inlineStr">
        <is>
          <t>NORDMALING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33343-2022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44788</v>
      </c>
      <c r="E485" s="1" t="n">
        <v>46228</v>
      </c>
      <c r="F485" t="inlineStr">
        <is>
          <t>VÄSTERBOTTENS LÄN</t>
        </is>
      </c>
      <c r="G485" t="inlineStr">
        <is>
          <t>NORDMALING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51746-2021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44462</v>
      </c>
      <c r="E486" s="1" t="n">
        <v>46228</v>
      </c>
      <c r="F486" t="inlineStr">
        <is>
          <t>VÄSTERBOTTENS LÄN</t>
        </is>
      </c>
      <c r="G486" t="inlineStr">
        <is>
          <t>NORDMALING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46228</v>
      </c>
      <c r="F487" t="inlineStr">
        <is>
          <t>VÄSTERBOTTENS LÄN</t>
        </is>
      </c>
      <c r="G487" t="inlineStr">
        <is>
          <t>NORDMALING</t>
        </is>
      </c>
      <c r="I487" t="n">
        <v>12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46228</v>
      </c>
      <c r="F488" t="inlineStr">
        <is>
          <t>VÄSTERBOTTENS LÄN</t>
        </is>
      </c>
      <c r="G488" t="inlineStr">
        <is>
          <t>NORDMALING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45736</v>
      </c>
      <c r="E489" s="1" t="n">
        <v>46228</v>
      </c>
      <c r="F489" t="inlineStr">
        <is>
          <t>VÄSTERBOTTENS LÄN</t>
        </is>
      </c>
      <c r="G489" t="inlineStr">
        <is>
          <t>NORDMALING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40053-2021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44418</v>
      </c>
      <c r="E490" s="1" t="n">
        <v>46228</v>
      </c>
      <c r="F490" t="inlineStr">
        <is>
          <t>VÄSTERBOTTENS LÄN</t>
        </is>
      </c>
      <c r="G490" t="inlineStr">
        <is>
          <t>NORDMALING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25344-2024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46228</v>
      </c>
      <c r="F491" t="inlineStr">
        <is>
          <t>VÄSTERBOTTENS LÄN</t>
        </is>
      </c>
      <c r="G491" t="inlineStr">
        <is>
          <t>NORDMALING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46228</v>
      </c>
      <c r="F492" t="inlineStr">
        <is>
          <t>VÄSTERBOTTENS LÄN</t>
        </is>
      </c>
      <c r="G492" t="inlineStr">
        <is>
          <t>NORDMALING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46228</v>
      </c>
      <c r="F493" t="inlineStr">
        <is>
          <t>VÄSTERBOTTENS LÄN</t>
        </is>
      </c>
      <c r="G493" t="inlineStr">
        <is>
          <t>NORDMALING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44722</v>
      </c>
      <c r="E494" s="1" t="n">
        <v>46228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7618-2024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45348</v>
      </c>
      <c r="E495" s="1" t="n">
        <v>46228</v>
      </c>
      <c r="F495" t="inlineStr">
        <is>
          <t>VÄSTERBOTTENS LÄN</t>
        </is>
      </c>
      <c r="G495" t="inlineStr">
        <is>
          <t>NORDMALING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27372-2023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46228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SCA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47777-2022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44854</v>
      </c>
      <c r="E497" s="1" t="n">
        <v>46228</v>
      </c>
      <c r="F497" t="inlineStr">
        <is>
          <t>VÄSTERBOTTENS LÄN</t>
        </is>
      </c>
      <c r="G497" t="inlineStr">
        <is>
          <t>NORDMALING</t>
        </is>
      </c>
      <c r="I497" t="n">
        <v>10.5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45139</v>
      </c>
      <c r="E498" s="1" t="n">
        <v>46228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SCA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46228</v>
      </c>
      <c r="F499" t="inlineStr">
        <is>
          <t>VÄSTERBOTTENS LÄN</t>
        </is>
      </c>
      <c r="G499" t="inlineStr">
        <is>
          <t>NORDMALING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44859</v>
      </c>
      <c r="E500" s="1" t="n">
        <v>46228</v>
      </c>
      <c r="F500" t="inlineStr">
        <is>
          <t>VÄSTERBOTTENS LÄN</t>
        </is>
      </c>
      <c r="G500" t="inlineStr">
        <is>
          <t>NORDMALING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45241</v>
      </c>
      <c r="E501" s="1" t="n">
        <v>46228</v>
      </c>
      <c r="F501" t="inlineStr">
        <is>
          <t>VÄSTERBOTTENS LÄN</t>
        </is>
      </c>
      <c r="G501" t="inlineStr">
        <is>
          <t>NORDMALING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45147</v>
      </c>
      <c r="E502" s="1" t="n">
        <v>46228</v>
      </c>
      <c r="F502" t="inlineStr">
        <is>
          <t>VÄSTERBOTTENS LÄN</t>
        </is>
      </c>
      <c r="G502" t="inlineStr">
        <is>
          <t>NORDMALING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14689-2025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45742</v>
      </c>
      <c r="E503" s="1" t="n">
        <v>46228</v>
      </c>
      <c r="F503" t="inlineStr">
        <is>
          <t>VÄSTERBOTTENS LÄN</t>
        </is>
      </c>
      <c r="G503" t="inlineStr">
        <is>
          <t>NORDMALING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45061-2024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45575</v>
      </c>
      <c r="E504" s="1" t="n">
        <v>46228</v>
      </c>
      <c r="F504" t="inlineStr">
        <is>
          <t>VÄSTERBOTTENS LÄN</t>
        </is>
      </c>
      <c r="G504" t="inlineStr">
        <is>
          <t>NORDMALING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32183-2023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45119</v>
      </c>
      <c r="E505" s="1" t="n">
        <v>46228</v>
      </c>
      <c r="F505" t="inlineStr">
        <is>
          <t>VÄSTERBOTTENS LÄN</t>
        </is>
      </c>
      <c r="G505" t="inlineStr">
        <is>
          <t>NORDMALING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17496-2023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45034</v>
      </c>
      <c r="E506" s="1" t="n">
        <v>46228</v>
      </c>
      <c r="F506" t="inlineStr">
        <is>
          <t>VÄSTERBOTTENS LÄN</t>
        </is>
      </c>
      <c r="G506" t="inlineStr">
        <is>
          <t>NORDMALING</t>
        </is>
      </c>
      <c r="I506" t="n">
        <v>13.1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45566</v>
      </c>
      <c r="E507" s="1" t="n">
        <v>46228</v>
      </c>
      <c r="F507" t="inlineStr">
        <is>
          <t>VÄSTERBOTTENS LÄN</t>
        </is>
      </c>
      <c r="G507" t="inlineStr">
        <is>
          <t>NORDMALING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38274-2022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44812</v>
      </c>
      <c r="E508" s="1" t="n">
        <v>46228</v>
      </c>
      <c r="F508" t="inlineStr">
        <is>
          <t>VÄSTERBOTTENS LÄN</t>
        </is>
      </c>
      <c r="G508" t="inlineStr">
        <is>
          <t>NORDMALING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46228</v>
      </c>
      <c r="F509" t="inlineStr">
        <is>
          <t>VÄSTERBOTTENS LÄN</t>
        </is>
      </c>
      <c r="G509" t="inlineStr">
        <is>
          <t>NORDMALING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34894-2023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45141</v>
      </c>
      <c r="E510" s="1" t="n">
        <v>46228</v>
      </c>
      <c r="F510" t="inlineStr">
        <is>
          <t>VÄSTERBOTTENS LÄN</t>
        </is>
      </c>
      <c r="G510" t="inlineStr">
        <is>
          <t>NORDMALING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46228</v>
      </c>
      <c r="F511" t="inlineStr">
        <is>
          <t>VÄSTERBOTTENS LÄN</t>
        </is>
      </c>
      <c r="G511" t="inlineStr">
        <is>
          <t>NORDMALING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21079-2024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45439</v>
      </c>
      <c r="E512" s="1" t="n">
        <v>46228</v>
      </c>
      <c r="F512" t="inlineStr">
        <is>
          <t>VÄSTERBOTTENS LÄN</t>
        </is>
      </c>
      <c r="G512" t="inlineStr">
        <is>
          <t>NORDMALING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45429</v>
      </c>
      <c r="E513" s="1" t="n">
        <v>46228</v>
      </c>
      <c r="F513" t="inlineStr">
        <is>
          <t>VÄSTERBOTTENS LÄN</t>
        </is>
      </c>
      <c r="G513" t="inlineStr">
        <is>
          <t>NORDMALING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39104-2022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46228</v>
      </c>
      <c r="F514" t="inlineStr">
        <is>
          <t>VÄSTERBOTTENS LÄN</t>
        </is>
      </c>
      <c r="G514" t="inlineStr">
        <is>
          <t>NORDMALING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55634-2023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45238</v>
      </c>
      <c r="E515" s="1" t="n">
        <v>46228</v>
      </c>
      <c r="F515" t="inlineStr">
        <is>
          <t>VÄSTERBOTTENS LÄN</t>
        </is>
      </c>
      <c r="G515" t="inlineStr">
        <is>
          <t>NORDMALING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44620</v>
      </c>
      <c r="E516" s="1" t="n">
        <v>46228</v>
      </c>
      <c r="F516" t="inlineStr">
        <is>
          <t>VÄSTERBOTTENS LÄN</t>
        </is>
      </c>
      <c r="G516" t="inlineStr">
        <is>
          <t>NORDMALING</t>
        </is>
      </c>
      <c r="I516" t="n">
        <v>82.40000000000001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46228</v>
      </c>
      <c r="F517" t="inlineStr">
        <is>
          <t>VÄSTERBOTTENS LÄN</t>
        </is>
      </c>
      <c r="G517" t="inlineStr">
        <is>
          <t>NORDMALING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45764</v>
      </c>
      <c r="E518" s="1" t="n">
        <v>46228</v>
      </c>
      <c r="F518" t="inlineStr">
        <is>
          <t>VÄSTERBOTTENS LÄN</t>
        </is>
      </c>
      <c r="G518" t="inlineStr">
        <is>
          <t>NORDMALING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18232-2024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45420</v>
      </c>
      <c r="E519" s="1" t="n">
        <v>46228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43651-2023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46228</v>
      </c>
      <c r="F520" t="inlineStr">
        <is>
          <t>VÄSTERBOTTENS LÄN</t>
        </is>
      </c>
      <c r="G520" t="inlineStr">
        <is>
          <t>NORDMALING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46228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45491</v>
      </c>
      <c r="E522" s="1" t="n">
        <v>46228</v>
      </c>
      <c r="F522" t="inlineStr">
        <is>
          <t>VÄSTERBOTTENS LÄN</t>
        </is>
      </c>
      <c r="G522" t="inlineStr">
        <is>
          <t>NORDMALING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45140</v>
      </c>
      <c r="E523" s="1" t="n">
        <v>46228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SCA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45216</v>
      </c>
      <c r="E524" s="1" t="n">
        <v>46228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55305-2023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45237</v>
      </c>
      <c r="E525" s="1" t="n">
        <v>46228</v>
      </c>
      <c r="F525" t="inlineStr">
        <is>
          <t>VÄSTERBOTTENS LÄN</t>
        </is>
      </c>
      <c r="G525" t="inlineStr">
        <is>
          <t>NORDMALING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35291-2023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45145</v>
      </c>
      <c r="E526" s="1" t="n">
        <v>46228</v>
      </c>
      <c r="F526" t="inlineStr">
        <is>
          <t>VÄSTERBOTTENS LÄN</t>
        </is>
      </c>
      <c r="G526" t="inlineStr">
        <is>
          <t>NORDMALING</t>
        </is>
      </c>
      <c r="H526" t="inlineStr">
        <is>
          <t>SCA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69516-2021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46228</v>
      </c>
      <c r="F527" t="inlineStr">
        <is>
          <t>VÄSTERBOTTENS LÄN</t>
        </is>
      </c>
      <c r="G527" t="inlineStr">
        <is>
          <t>NORDMALING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45147</v>
      </c>
      <c r="E528" s="1" t="n">
        <v>46228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45676</v>
      </c>
      <c r="E529" s="1" t="n">
        <v>46228</v>
      </c>
      <c r="F529" t="inlineStr">
        <is>
          <t>VÄSTERBOTTENS LÄN</t>
        </is>
      </c>
      <c r="G529" t="inlineStr">
        <is>
          <t>NORDMALING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44950-2023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45187</v>
      </c>
      <c r="E530" s="1" t="n">
        <v>46228</v>
      </c>
      <c r="F530" t="inlineStr">
        <is>
          <t>VÄSTERBOTTENS LÄN</t>
        </is>
      </c>
      <c r="G530" t="inlineStr">
        <is>
          <t>NORDMALING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44952-2023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46228</v>
      </c>
      <c r="F531" t="inlineStr">
        <is>
          <t>VÄSTERBOTTENS LÄN</t>
        </is>
      </c>
      <c r="G531" t="inlineStr">
        <is>
          <t>NORDMALING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20008-2025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45772</v>
      </c>
      <c r="E532" s="1" t="n">
        <v>46228</v>
      </c>
      <c r="F532" t="inlineStr">
        <is>
          <t>VÄSTERBOTTENS LÄN</t>
        </is>
      </c>
      <c r="G532" t="inlineStr">
        <is>
          <t>NORDMALING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46228</v>
      </c>
      <c r="F533" t="inlineStr">
        <is>
          <t>VÄSTERBOTTENS LÄN</t>
        </is>
      </c>
      <c r="G533" t="inlineStr">
        <is>
          <t>NORDMALING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54169-2024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46228</v>
      </c>
      <c r="F534" t="inlineStr">
        <is>
          <t>VÄSTERBOTTENS LÄN</t>
        </is>
      </c>
      <c r="G534" t="inlineStr">
        <is>
          <t>NORDMALING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45665</v>
      </c>
      <c r="E535" s="1" t="n">
        <v>46228</v>
      </c>
      <c r="F535" t="inlineStr">
        <is>
          <t>VÄSTERBOTTENS LÄN</t>
        </is>
      </c>
      <c r="G535" t="inlineStr">
        <is>
          <t>NORDMALING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59518-2024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45638</v>
      </c>
      <c r="E536" s="1" t="n">
        <v>46228</v>
      </c>
      <c r="F536" t="inlineStr">
        <is>
          <t>VÄSTERBOTTENS LÄN</t>
        </is>
      </c>
      <c r="G536" t="inlineStr">
        <is>
          <t>NORDMALING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45030</v>
      </c>
      <c r="E537" s="1" t="n">
        <v>46228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45783</v>
      </c>
      <c r="E538" s="1" t="n">
        <v>46228</v>
      </c>
      <c r="F538" t="inlineStr">
        <is>
          <t>VÄSTERBOTTENS LÄN</t>
        </is>
      </c>
      <c r="G538" t="inlineStr">
        <is>
          <t>NORDMALING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21736-2025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46228</v>
      </c>
      <c r="F539" t="inlineStr">
        <is>
          <t>VÄSTERBOTTENS LÄN</t>
        </is>
      </c>
      <c r="G539" t="inlineStr">
        <is>
          <t>NORDMALING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50969-2024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45603</v>
      </c>
      <c r="E540" s="1" t="n">
        <v>46228</v>
      </c>
      <c r="F540" t="inlineStr">
        <is>
          <t>VÄSTERBOTTENS LÄN</t>
        </is>
      </c>
      <c r="G540" t="inlineStr">
        <is>
          <t>NORDMALING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61616-2023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45261</v>
      </c>
      <c r="E541" s="1" t="n">
        <v>46228</v>
      </c>
      <c r="F541" t="inlineStr">
        <is>
          <t>VÄSTERBOTTENS LÄN</t>
        </is>
      </c>
      <c r="G541" t="inlineStr">
        <is>
          <t>NORDMALING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45789</v>
      </c>
      <c r="E542" s="1" t="n">
        <v>46228</v>
      </c>
      <c r="F542" t="inlineStr">
        <is>
          <t>VÄSTERBOTTENS LÄN</t>
        </is>
      </c>
      <c r="G542" t="inlineStr">
        <is>
          <t>NORDMALING</t>
        </is>
      </c>
      <c r="I542" t="n">
        <v>11.9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22955-2025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46228</v>
      </c>
      <c r="F543" t="inlineStr">
        <is>
          <t>VÄSTERBOTTENS LÄN</t>
        </is>
      </c>
      <c r="G543" t="inlineStr">
        <is>
          <t>NORDMALING</t>
        </is>
      </c>
      <c r="I543" t="n">
        <v>20.3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45790</v>
      </c>
      <c r="E544" s="1" t="n">
        <v>46228</v>
      </c>
      <c r="F544" t="inlineStr">
        <is>
          <t>VÄSTERBOTTENS LÄN</t>
        </is>
      </c>
      <c r="G544" t="inlineStr">
        <is>
          <t>NORDMALING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23041-2025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46228</v>
      </c>
      <c r="F545" t="inlineStr">
        <is>
          <t>VÄSTERBOTTENS LÄN</t>
        </is>
      </c>
      <c r="G545" t="inlineStr">
        <is>
          <t>NORDMALING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23037-2025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45790</v>
      </c>
      <c r="E546" s="1" t="n">
        <v>46228</v>
      </c>
      <c r="F546" t="inlineStr">
        <is>
          <t>VÄSTERBOTTENS LÄN</t>
        </is>
      </c>
      <c r="G546" t="inlineStr">
        <is>
          <t>NORDMALING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46228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46228</v>
      </c>
      <c r="F548" t="inlineStr">
        <is>
          <t>VÄSTERBOTTENS LÄN</t>
        </is>
      </c>
      <c r="G548" t="inlineStr">
        <is>
          <t>NORDMALING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45699</v>
      </c>
      <c r="E549" s="1" t="n">
        <v>46228</v>
      </c>
      <c r="F549" t="inlineStr">
        <is>
          <t>VÄSTERBOTTENS LÄN</t>
        </is>
      </c>
      <c r="G549" t="inlineStr">
        <is>
          <t>NORDMALING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25074-2025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45799</v>
      </c>
      <c r="E550" s="1" t="n">
        <v>46228</v>
      </c>
      <c r="F550" t="inlineStr">
        <is>
          <t>VÄSTERBOTTENS LÄN</t>
        </is>
      </c>
      <c r="G550" t="inlineStr">
        <is>
          <t>NORDMALING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55627-2023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45238</v>
      </c>
      <c r="E551" s="1" t="n">
        <v>46228</v>
      </c>
      <c r="F551" t="inlineStr">
        <is>
          <t>VÄSTERBOTTENS LÄN</t>
        </is>
      </c>
      <c r="G551" t="inlineStr">
        <is>
          <t>NORDMALING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51695-2024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46228</v>
      </c>
      <c r="F552" t="inlineStr">
        <is>
          <t>VÄSTERBOTTENS LÄN</t>
        </is>
      </c>
      <c r="G552" t="inlineStr">
        <is>
          <t>NORDMALING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45688</v>
      </c>
      <c r="E553" s="1" t="n">
        <v>46228</v>
      </c>
      <c r="F553" t="inlineStr">
        <is>
          <t>VÄSTERBOTTENS LÄN</t>
        </is>
      </c>
      <c r="G553" t="inlineStr">
        <is>
          <t>NORDMALING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29569-2025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46228</v>
      </c>
      <c r="F554" t="inlineStr">
        <is>
          <t>VÄSTERBOTTENS LÄN</t>
        </is>
      </c>
      <c r="G554" t="inlineStr">
        <is>
          <t>NORDMALING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46228</v>
      </c>
      <c r="F555" t="inlineStr">
        <is>
          <t>VÄSTERBOTTENS LÄN</t>
        </is>
      </c>
      <c r="G555" t="inlineStr">
        <is>
          <t>NORDMALING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29576-2025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46228</v>
      </c>
      <c r="F556" t="inlineStr">
        <is>
          <t>VÄSTERBOTTENS LÄN</t>
        </is>
      </c>
      <c r="G556" t="inlineStr">
        <is>
          <t>NORDMALING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29606-2025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45825</v>
      </c>
      <c r="E557" s="1" t="n">
        <v>46228</v>
      </c>
      <c r="F557" t="inlineStr">
        <is>
          <t>VÄSTERBOTTENS LÄN</t>
        </is>
      </c>
      <c r="G557" t="inlineStr">
        <is>
          <t>NORDMALING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45825</v>
      </c>
      <c r="E558" s="1" t="n">
        <v>46228</v>
      </c>
      <c r="F558" t="inlineStr">
        <is>
          <t>VÄSTERBOTTENS LÄN</t>
        </is>
      </c>
      <c r="G558" t="inlineStr">
        <is>
          <t>NORDMALING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46228</v>
      </c>
      <c r="F559" t="inlineStr">
        <is>
          <t>VÄSTERBOTTENS LÄN</t>
        </is>
      </c>
      <c r="G559" t="inlineStr">
        <is>
          <t>NORDMALING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32575-2025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46228</v>
      </c>
      <c r="F560" t="inlineStr">
        <is>
          <t>VÄSTERBOTTENS LÄN</t>
        </is>
      </c>
      <c r="G560" t="inlineStr">
        <is>
          <t>NORDMALING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33599-2025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45841</v>
      </c>
      <c r="E561" s="1" t="n">
        <v>46228</v>
      </c>
      <c r="F561" t="inlineStr">
        <is>
          <t>VÄSTERBOTTENS LÄN</t>
        </is>
      </c>
      <c r="G561" t="inlineStr">
        <is>
          <t>NORDMALING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33938-2025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45842</v>
      </c>
      <c r="E562" s="1" t="n">
        <v>46228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45846</v>
      </c>
      <c r="E563" s="1" t="n">
        <v>46228</v>
      </c>
      <c r="F563" t="inlineStr">
        <is>
          <t>VÄSTERBOTTENS LÄN</t>
        </is>
      </c>
      <c r="G563" t="inlineStr">
        <is>
          <t>NORDMALING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34804-2025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45849</v>
      </c>
      <c r="E564" s="1" t="n">
        <v>46228</v>
      </c>
      <c r="F564" t="inlineStr">
        <is>
          <t>VÄSTERBOTTENS LÄN</t>
        </is>
      </c>
      <c r="G564" t="inlineStr">
        <is>
          <t>NORDMALING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45852</v>
      </c>
      <c r="E565" s="1" t="n">
        <v>46228</v>
      </c>
      <c r="F565" t="inlineStr">
        <is>
          <t>VÄSTERBOTTENS LÄN</t>
        </is>
      </c>
      <c r="G565" t="inlineStr">
        <is>
          <t>NORDMALING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45470</v>
      </c>
      <c r="E566" s="1" t="n">
        <v>46228</v>
      </c>
      <c r="F566" t="inlineStr">
        <is>
          <t>VÄSTERBOTTENS LÄN</t>
        </is>
      </c>
      <c r="G566" t="inlineStr">
        <is>
          <t>NORDMALING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45867</v>
      </c>
      <c r="E567" s="1" t="n">
        <v>46228</v>
      </c>
      <c r="F567" t="inlineStr">
        <is>
          <t>VÄSTERBOTTENS LÄN</t>
        </is>
      </c>
      <c r="G567" t="inlineStr">
        <is>
          <t>NORDMALING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36077-2025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45866</v>
      </c>
      <c r="E568" s="1" t="n">
        <v>46228</v>
      </c>
      <c r="F568" t="inlineStr">
        <is>
          <t>VÄSTERBOTTENS LÄN</t>
        </is>
      </c>
      <c r="G568" t="inlineStr">
        <is>
          <t>NORDMALING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46228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46228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46228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44559</v>
      </c>
      <c r="E572" s="1" t="n">
        <v>46228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18.8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46228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46228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46228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46228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46228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46228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46228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46070</v>
      </c>
      <c r="E580" s="1" t="n">
        <v>46228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73.59999999999999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46228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443-2026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46228</v>
      </c>
      <c r="F582" t="inlineStr">
        <is>
          <t>VÄSTERBOTTENS LÄN</t>
        </is>
      </c>
      <c r="G582" t="inlineStr">
        <is>
          <t>NORDMALING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46228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46228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2026-07-25T01:51:51Z</dcterms:created>
  <dcterms:modified xmlns:dcterms="http://purl.org/dc/terms/" xmlns:xsi="http://www.w3.org/2001/XMLSchema-instance" xsi:type="dcterms:W3CDTF">2026-07-25T01:51:52Z</dcterms:modified>
</cp:coreProperties>
</file>