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46263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46263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46263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46263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46263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46263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46263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46263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46263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46263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46263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46263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46263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44987-2024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46263</v>
      </c>
      <c r="F20" t="inlineStr">
        <is>
          <t>VÄSTERBOTTENS LÄN</t>
        </is>
      </c>
      <c r="G20" t="inlineStr">
        <is>
          <t>NORDMALING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Nordtagging
Vaddporing
Violettgrå tagellav</t>
        </is>
      </c>
      <c r="W20">
        <f>HYPERLINK("https://klasma.github.io/Logging_2401/artfynd/A 44987-2024 artfynd.xlsx", "A 44987-2024")</f>
        <v/>
      </c>
      <c r="X20">
        <f>HYPERLINK("https://klasma.github.io/Logging_2401/kartor/A 44987-2024 karta.png", "A 44987-2024")</f>
        <v/>
      </c>
      <c r="Y20">
        <f>HYPERLINK("https://klasma.github.io/Logging_2401/kartor_geotiff/A 44987-2024 georefererad karta.tif", "A 44987-2024")</f>
        <v/>
      </c>
      <c r="AA20">
        <f>HYPERLINK("https://klasma.github.io/Logging_2401/klagomål/A 44987-2024 FSC-klagomål.docx", "A 44987-2024")</f>
        <v/>
      </c>
      <c r="AB20">
        <f>HYPERLINK("https://klasma.github.io/Logging_2401/klagomålsmail/A 44987-2024 FSC-klagomål mail.docx", "A 44987-2024")</f>
        <v/>
      </c>
      <c r="AC20">
        <f>HYPERLINK("https://klasma.github.io/Logging_2401/tillsyn/A 44987-2024 tillsynsbegäran.docx", "A 44987-2024")</f>
        <v/>
      </c>
      <c r="AD20">
        <f>HYPERLINK("https://klasma.github.io/Logging_2401/tillsynsmail/A 44987-2024 tillsynsbegäran mail.docx", "A 44987-2024")</f>
        <v/>
      </c>
    </row>
    <row r="21" ht="15" customHeight="1">
      <c r="A21" t="inlineStr">
        <is>
          <t>A 23496-2022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44721</v>
      </c>
      <c r="E21" s="1" t="n">
        <v>46263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2</v>
      </c>
      <c r="V21" s="2" t="inlineStr">
        <is>
          <t>Garnlav
Tretåig hackspett
Järpe</t>
        </is>
      </c>
      <c r="W21">
        <f>HYPERLINK("https://klasma.github.io/Logging_2401/artfynd/A 23496-2022 artfynd.xlsx", "A 23496-2022")</f>
        <v/>
      </c>
      <c r="X21">
        <f>HYPERLINK("https://klasma.github.io/Logging_2401/kartor/A 23496-2022 karta.png", "A 23496-2022")</f>
        <v/>
      </c>
      <c r="Y21">
        <f>HYPERLINK("https://klasma.github.io/Logging_2401/kartor_geotiff/A 23496-2022 georefererad karta.tif", "A 23496-2022")</f>
        <v/>
      </c>
      <c r="AA21">
        <f>HYPERLINK("https://klasma.github.io/Logging_2401/klagomål/A 23496-2022 FSC-klagomål.docx", "A 23496-2022")</f>
        <v/>
      </c>
      <c r="AB21">
        <f>HYPERLINK("https://klasma.github.io/Logging_2401/klagomålsmail/A 23496-2022 FSC-klagomål mail.docx", "A 23496-2022")</f>
        <v/>
      </c>
      <c r="AC21">
        <f>HYPERLINK("https://klasma.github.io/Logging_2401/tillsyn/A 23496-2022 tillsynsbegäran.docx", "A 23496-2022")</f>
        <v/>
      </c>
      <c r="AD21">
        <f>HYPERLINK("https://klasma.github.io/Logging_2401/tillsynsmail/A 23496-2022 tillsynsbegäran mail.docx", "A 23496-2022")</f>
        <v/>
      </c>
      <c r="AE21">
        <f>HYPERLINK("https://klasma.github.io/Logging_2401/fåglar/A 23496-2022 prioriterade fågelarter.docx", "A 23496-2022")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46263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46263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46263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46263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46263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46263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46263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46263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46263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46263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46263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46263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46263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46263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46263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46263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46263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46263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46263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46263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46263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46263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46263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29323-2025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46263</v>
      </c>
      <c r="F48" t="inlineStr">
        <is>
          <t>VÄSTERBOTTENS LÄN</t>
        </is>
      </c>
      <c r="G48" t="inlineStr">
        <is>
          <t>NORDMALING</t>
        </is>
      </c>
      <c r="I48" t="n">
        <v>2.9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HYPERLINK("https://klasma.github.io/Logging_2401/artfynd/A 29323-2025 artfynd.xlsx", "A 29323-2025")</f>
        <v/>
      </c>
      <c r="X48">
        <f>HYPERLINK("https://klasma.github.io/Logging_2401/kartor/A 29323-2025 karta.png", "A 29323-2025")</f>
        <v/>
      </c>
      <c r="Y48">
        <f>HYPERLINK("https://klasma.github.io/Logging_2401/kartor_geotiff/A 29323-2025 georefererad karta.tif", "A 29323-2025")</f>
        <v/>
      </c>
      <c r="AA48">
        <f>HYPERLINK("https://klasma.github.io/Logging_2401/klagomål/A 29323-2025 FSC-klagomål.docx", "A 29323-2025")</f>
        <v/>
      </c>
      <c r="AB48">
        <f>HYPERLINK("https://klasma.github.io/Logging_2401/klagomålsmail/A 29323-2025 FSC-klagomål mail.docx", "A 29323-2025")</f>
        <v/>
      </c>
      <c r="AC48">
        <f>HYPERLINK("https://klasma.github.io/Logging_2401/tillsyn/A 29323-2025 tillsynsbegäran.docx", "A 29323-2025")</f>
        <v/>
      </c>
      <c r="AD48">
        <f>HYPERLINK("https://klasma.github.io/Logging_2401/tillsynsmail/A 29323-2025 tillsynsbegäran mail.docx", "A 29323-2025")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46263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46263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46263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63779-2023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45275</v>
      </c>
      <c r="E52" s="1" t="n">
        <v>46263</v>
      </c>
      <c r="F52" t="inlineStr">
        <is>
          <t>VÄSTERBOTTENS LÄN</t>
        </is>
      </c>
      <c r="G52" t="inlineStr">
        <is>
          <t>NORDMALING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63779-2023 artfynd.xlsx", "A 63779-2023")</f>
        <v/>
      </c>
      <c r="X52">
        <f>HYPERLINK("https://klasma.github.io/Logging_2401/kartor/A 63779-2023 karta.png", "A 63779-2023")</f>
        <v/>
      </c>
      <c r="Y52">
        <f>HYPERLINK("https://klasma.github.io/Logging_2401/kartor_geotiff/A 63779-2023 georefererad karta.tif", "A 63779-2023")</f>
        <v/>
      </c>
      <c r="AA52">
        <f>HYPERLINK("https://klasma.github.io/Logging_2401/klagomål/A 63779-2023 FSC-klagomål.docx", "A 63779-2023")</f>
        <v/>
      </c>
      <c r="AB52">
        <f>HYPERLINK("https://klasma.github.io/Logging_2401/klagomålsmail/A 63779-2023 FSC-klagomål mail.docx", "A 63779-2023")</f>
        <v/>
      </c>
      <c r="AC52">
        <f>HYPERLINK("https://klasma.github.io/Logging_2401/tillsyn/A 63779-2023 tillsynsbegäran.docx", "A 63779-2023")</f>
        <v/>
      </c>
      <c r="AD52">
        <f>HYPERLINK("https://klasma.github.io/Logging_2401/tillsynsmail/A 63779-2023 tillsynsbegäran mail.docx", "A 63779-2023")</f>
        <v/>
      </c>
      <c r="AE52">
        <f>HYPERLINK("https://klasma.github.io/Logging_2401/fåglar/A 63779-2023 prioriterade fågelarter.docx", "A 63779-2023")</f>
        <v/>
      </c>
    </row>
    <row r="53" ht="15" customHeight="1">
      <c r="A53" t="inlineStr">
        <is>
          <t>A 9717-2026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46072</v>
      </c>
      <c r="E53" s="1" t="n">
        <v>46263</v>
      </c>
      <c r="F53" t="inlineStr">
        <is>
          <t>VÄSTERBOTTENS LÄN</t>
        </is>
      </c>
      <c r="G53" t="inlineStr">
        <is>
          <t>NORDMALING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HYPERLINK("https://klasma.github.io/Logging_2401/artfynd/A 9717-2026 artfynd.xlsx", "A 9717-2026")</f>
        <v/>
      </c>
      <c r="X53">
        <f>HYPERLINK("https://klasma.github.io/Logging_2401/kartor/A 9717-2026 karta.png", "A 9717-2026")</f>
        <v/>
      </c>
      <c r="Y53">
        <f>HYPERLINK("https://klasma.github.io/Logging_2401/kartor_geotiff/A 9717-2026 georefererad karta.tif", "A 9717-2026")</f>
        <v/>
      </c>
      <c r="AA53">
        <f>HYPERLINK("https://klasma.github.io/Logging_2401/klagomål/A 9717-2026 FSC-klagomål.docx", "A 9717-2026")</f>
        <v/>
      </c>
      <c r="AB53">
        <f>HYPERLINK("https://klasma.github.io/Logging_2401/klagomålsmail/A 9717-2026 FSC-klagomål mail.docx", "A 9717-2026")</f>
        <v/>
      </c>
      <c r="AC53">
        <f>HYPERLINK("https://klasma.github.io/Logging_2401/tillsyn/A 9717-2026 tillsynsbegäran.docx", "A 9717-2026")</f>
        <v/>
      </c>
      <c r="AD53">
        <f>HYPERLINK("https://klasma.github.io/Logging_2401/tillsynsmail/A 9717-2026 tillsynsbegäran mail.docx", "A 9717-2026")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46263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46263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46263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37546-2023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46263</v>
      </c>
      <c r="F57" t="inlineStr">
        <is>
          <t>VÄSTERBOTTENS LÄN</t>
        </is>
      </c>
      <c r="G57" t="inlineStr">
        <is>
          <t>NORDMALING</t>
        </is>
      </c>
      <c r="I57" t="n">
        <v>4.7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HYPERLINK("https://klasma.github.io/Logging_2401/artfynd/A 37546-2023 artfynd.xlsx", "A 37546-2023")</f>
        <v/>
      </c>
      <c r="X57">
        <f>HYPERLINK("https://klasma.github.io/Logging_2401/kartor/A 37546-2023 karta.png", "A 37546-2023")</f>
        <v/>
      </c>
      <c r="Y57">
        <f>HYPERLINK("https://klasma.github.io/Logging_2401/kartor_geotiff/A 37546-2023 georefererad karta.tif", "A 37546-2023")</f>
        <v/>
      </c>
      <c r="AA57">
        <f>HYPERLINK("https://klasma.github.io/Logging_2401/klagomål/A 37546-2023 FSC-klagomål.docx", "A 37546-2023")</f>
        <v/>
      </c>
      <c r="AB57">
        <f>HYPERLINK("https://klasma.github.io/Logging_2401/klagomålsmail/A 37546-2023 FSC-klagomål mail.docx", "A 37546-2023")</f>
        <v/>
      </c>
      <c r="AC57">
        <f>HYPERLINK("https://klasma.github.io/Logging_2401/tillsyn/A 37546-2023 tillsynsbegäran.docx", "A 37546-2023")</f>
        <v/>
      </c>
      <c r="AD57">
        <f>HYPERLINK("https://klasma.github.io/Logging_2401/tillsynsmail/A 37546-2023 tillsynsbegäran mail.docx", "A 37546-2023")</f>
        <v/>
      </c>
    </row>
    <row r="58" ht="15" customHeight="1">
      <c r="A58" t="inlineStr">
        <is>
          <t>A 54893-2024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46263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Gammelgransskål</t>
        </is>
      </c>
      <c r="W58">
        <f>HYPERLINK("https://klasma.github.io/Logging_2401/artfynd/A 54893-2024 artfynd.xlsx", "A 54893-2024")</f>
        <v/>
      </c>
      <c r="X58">
        <f>HYPERLINK("https://klasma.github.io/Logging_2401/kartor/A 54893-2024 karta.png", "A 54893-2024")</f>
        <v/>
      </c>
      <c r="Y58">
        <f>HYPERLINK("https://klasma.github.io/Logging_2401/kartor_geotiff/A 54893-2024 georefererad karta.tif", "A 54893-2024")</f>
        <v/>
      </c>
      <c r="AA58">
        <f>HYPERLINK("https://klasma.github.io/Logging_2401/klagomål/A 54893-2024 FSC-klagomål.docx", "A 54893-2024")</f>
        <v/>
      </c>
      <c r="AB58">
        <f>HYPERLINK("https://klasma.github.io/Logging_2401/klagomålsmail/A 54893-2024 FSC-klagomål mail.docx", "A 54893-2024")</f>
        <v/>
      </c>
      <c r="AC58">
        <f>HYPERLINK("https://klasma.github.io/Logging_2401/tillsyn/A 54893-2024 tillsynsbegäran.docx", "A 54893-2024")</f>
        <v/>
      </c>
      <c r="AD58">
        <f>HYPERLINK("https://klasma.github.io/Logging_2401/tillsynsmail/A 54893-2024 tillsynsbegäran mail.docx", "A 54893-2024")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46263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46263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A 30921-2026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46263</v>
      </c>
      <c r="F61" t="inlineStr">
        <is>
          <t>VÄSTERBOTTENS LÄN</t>
        </is>
      </c>
      <c r="G61" t="inlineStr">
        <is>
          <t>NORDMALING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HYPERLINK("https://klasma.github.io/Logging_2401/artfynd/A 30921-2026 artfynd.xlsx", "A 30921-2026")</f>
        <v/>
      </c>
      <c r="X61">
        <f>HYPERLINK("https://klasma.github.io/Logging_2401/kartor/A 30921-2026 karta.png", "A 30921-2026")</f>
        <v/>
      </c>
      <c r="Y61">
        <f>HYPERLINK("https://klasma.github.io/Logging_2401/kartor_geotiff/A 30921-2026 georefererad karta.tif", "A 30921-2026")</f>
        <v/>
      </c>
      <c r="AA61">
        <f>HYPERLINK("https://klasma.github.io/Logging_2401/klagomål/A 30921-2026 FSC-klagomål.docx", "A 30921-2026")</f>
        <v/>
      </c>
      <c r="AB61">
        <f>HYPERLINK("https://klasma.github.io/Logging_2401/klagomålsmail/A 30921-2026 FSC-klagomål mail.docx", "A 30921-2026")</f>
        <v/>
      </c>
      <c r="AC61">
        <f>HYPERLINK("https://klasma.github.io/Logging_2401/tillsyn/A 30921-2026 tillsynsbegäran.docx", "A 30921-2026")</f>
        <v/>
      </c>
      <c r="AD61">
        <f>HYPERLINK("https://klasma.github.io/Logging_2401/tillsynsmail/A 30921-2026 tillsynsbegäran mail.docx", "A 30921-2026")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46263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46263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46263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46263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46263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46263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46263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46263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46263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46263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46263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46263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46263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46263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46263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46263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46263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46263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46263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46263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46263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46263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46263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46263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46263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46263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46263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46263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46263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46263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46263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46263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46263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46263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30715-2022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44763</v>
      </c>
      <c r="E100" s="1" t="n">
        <v>46263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45772</v>
      </c>
      <c r="E101" s="1" t="n">
        <v>46263</v>
      </c>
      <c r="F101" t="inlineStr">
        <is>
          <t>VÄSTERBOTTENS LÄN</t>
        </is>
      </c>
      <c r="G101" t="inlineStr">
        <is>
          <t>NORDMALING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46263</v>
      </c>
      <c r="F102" t="inlineStr">
        <is>
          <t>VÄSTERBOTTENS LÄN</t>
        </is>
      </c>
      <c r="G102" t="inlineStr">
        <is>
          <t>NORDMALING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46263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46263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46263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45126</v>
      </c>
      <c r="E106" s="1" t="n">
        <v>46263</v>
      </c>
      <c r="F106" t="inlineStr">
        <is>
          <t>VÄSTERBOTTENS LÄN</t>
        </is>
      </c>
      <c r="G106" t="inlineStr">
        <is>
          <t>NORDMALING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46263</v>
      </c>
      <c r="F107" t="inlineStr">
        <is>
          <t>VÄSTERBOTTENS LÄN</t>
        </is>
      </c>
      <c r="G107" t="inlineStr">
        <is>
          <t>NORDMALING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46263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46263</v>
      </c>
      <c r="F109" t="inlineStr">
        <is>
          <t>VÄSTERBOTTENS LÄN</t>
        </is>
      </c>
      <c r="G109" t="inlineStr">
        <is>
          <t>NORDMALING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45030</v>
      </c>
      <c r="E110" s="1" t="n">
        <v>46263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46263</v>
      </c>
      <c r="F111" t="inlineStr">
        <is>
          <t>VÄSTERBOTTENS LÄN</t>
        </is>
      </c>
      <c r="G111" t="inlineStr">
        <is>
          <t>NORDMALING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46263</v>
      </c>
      <c r="F112" t="inlineStr">
        <is>
          <t>VÄSTERBOTTENS LÄN</t>
        </is>
      </c>
      <c r="G112" t="inlineStr">
        <is>
          <t>NORDMALING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46263</v>
      </c>
      <c r="F113" t="inlineStr">
        <is>
          <t>VÄSTERBOTTENS LÄN</t>
        </is>
      </c>
      <c r="G113" t="inlineStr">
        <is>
          <t>NORDMALING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46263</v>
      </c>
      <c r="F114" t="inlineStr">
        <is>
          <t>VÄSTERBOTTENS LÄN</t>
        </is>
      </c>
      <c r="G114" t="inlineStr">
        <is>
          <t>NORDMALING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46263</v>
      </c>
      <c r="F115" t="inlineStr">
        <is>
          <t>VÄSTERBOTTENS LÄN</t>
        </is>
      </c>
      <c r="G115" t="inlineStr">
        <is>
          <t>NORDMALING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46263</v>
      </c>
      <c r="F116" t="inlineStr">
        <is>
          <t>VÄSTERBOTTENS LÄN</t>
        </is>
      </c>
      <c r="G116" t="inlineStr">
        <is>
          <t>NORDMALING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45216</v>
      </c>
      <c r="E117" s="1" t="n">
        <v>46263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46263</v>
      </c>
      <c r="F118" t="inlineStr">
        <is>
          <t>VÄSTERBOTTENS LÄN</t>
        </is>
      </c>
      <c r="G118" t="inlineStr">
        <is>
          <t>NORDMALING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45962</v>
      </c>
      <c r="E119" s="1" t="n">
        <v>46263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46263</v>
      </c>
      <c r="F120" t="inlineStr">
        <is>
          <t>VÄSTERBOTTENS LÄN</t>
        </is>
      </c>
      <c r="G120" t="inlineStr">
        <is>
          <t>NORDMALING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61616-2023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45261</v>
      </c>
      <c r="E121" s="1" t="n">
        <v>46263</v>
      </c>
      <c r="F121" t="inlineStr">
        <is>
          <t>VÄSTERBOTTENS LÄN</t>
        </is>
      </c>
      <c r="G121" t="inlineStr">
        <is>
          <t>NORDMALING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46263</v>
      </c>
      <c r="F122" t="inlineStr">
        <is>
          <t>VÄSTERBOTTENS LÄN</t>
        </is>
      </c>
      <c r="G122" t="inlineStr">
        <is>
          <t>NORDMALING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46263</v>
      </c>
      <c r="F123" t="inlineStr">
        <is>
          <t>VÄSTERBOTTENS LÄN</t>
        </is>
      </c>
      <c r="G123" t="inlineStr">
        <is>
          <t>NORDMALING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46263</v>
      </c>
      <c r="F124" t="inlineStr">
        <is>
          <t>VÄSTERBOTTENS LÄN</t>
        </is>
      </c>
      <c r="G124" t="inlineStr">
        <is>
          <t>NORDMALING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45883</v>
      </c>
      <c r="E125" s="1" t="n">
        <v>46263</v>
      </c>
      <c r="F125" t="inlineStr">
        <is>
          <t>VÄSTERBOTTENS LÄN</t>
        </is>
      </c>
      <c r="G125" t="inlineStr">
        <is>
          <t>NORDMALING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46263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46263</v>
      </c>
      <c r="F127" t="inlineStr">
        <is>
          <t>VÄSTERBOTTENS LÄN</t>
        </is>
      </c>
      <c r="G127" t="inlineStr">
        <is>
          <t>NORDMALING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46263</v>
      </c>
      <c r="F128" t="inlineStr">
        <is>
          <t>VÄSTERBOTTENS LÄN</t>
        </is>
      </c>
      <c r="G128" t="inlineStr">
        <is>
          <t>NORDMALING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46263</v>
      </c>
      <c r="F129" t="inlineStr">
        <is>
          <t>VÄSTERBOTTENS LÄN</t>
        </is>
      </c>
      <c r="G129" t="inlineStr">
        <is>
          <t>NORDMALING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46263</v>
      </c>
      <c r="F130" t="inlineStr">
        <is>
          <t>VÄSTERBOTTENS LÄN</t>
        </is>
      </c>
      <c r="G130" t="inlineStr">
        <is>
          <t>NORDMALING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46263</v>
      </c>
      <c r="F131" t="inlineStr">
        <is>
          <t>VÄSTERBOTTENS LÄN</t>
        </is>
      </c>
      <c r="G131" t="inlineStr">
        <is>
          <t>NORDMALING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46263</v>
      </c>
      <c r="F132" t="inlineStr">
        <is>
          <t>VÄSTERBOTTENS LÄN</t>
        </is>
      </c>
      <c r="G132" t="inlineStr">
        <is>
          <t>NORDMALING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44909</v>
      </c>
      <c r="E133" s="1" t="n">
        <v>46263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46263</v>
      </c>
      <c r="F134" t="inlineStr">
        <is>
          <t>VÄSTERBOTTENS LÄN</t>
        </is>
      </c>
      <c r="G134" t="inlineStr">
        <is>
          <t>NORDMALING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61793-2023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45265</v>
      </c>
      <c r="E135" s="1" t="n">
        <v>46263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45036</v>
      </c>
      <c r="E136" s="1" t="n">
        <v>46263</v>
      </c>
      <c r="F136" t="inlineStr">
        <is>
          <t>VÄSTERBOTTENS LÄN</t>
        </is>
      </c>
      <c r="G136" t="inlineStr">
        <is>
          <t>NORDMALING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46263</v>
      </c>
      <c r="F137" t="inlineStr">
        <is>
          <t>VÄSTERBOTTENS LÄN</t>
        </is>
      </c>
      <c r="G137" t="inlineStr">
        <is>
          <t>NORDMALING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46263</v>
      </c>
      <c r="F138" t="inlineStr">
        <is>
          <t>VÄSTERBOTTENS LÄN</t>
        </is>
      </c>
      <c r="G138" t="inlineStr">
        <is>
          <t>NORDMALING</t>
        </is>
      </c>
      <c r="I138" t="n">
        <v>20.3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46263</v>
      </c>
      <c r="F139" t="inlineStr">
        <is>
          <t>VÄSTERBOTTENS LÄN</t>
        </is>
      </c>
      <c r="G139" t="inlineStr">
        <is>
          <t>NORDMALING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45489</v>
      </c>
      <c r="E140" s="1" t="n">
        <v>46263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46263</v>
      </c>
      <c r="F141" t="inlineStr">
        <is>
          <t>VÄSTERBOTTENS LÄN</t>
        </is>
      </c>
      <c r="G141" t="inlineStr">
        <is>
          <t>NORDMALING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46263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46263</v>
      </c>
      <c r="F143" t="inlineStr">
        <is>
          <t>VÄSTERBOTTENS LÄN</t>
        </is>
      </c>
      <c r="G143" t="inlineStr">
        <is>
          <t>NORDMALING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46263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46263</v>
      </c>
      <c r="F145" t="inlineStr">
        <is>
          <t>VÄSTERBOTTENS LÄN</t>
        </is>
      </c>
      <c r="G145" t="inlineStr">
        <is>
          <t>NORDMALING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46263</v>
      </c>
      <c r="F146" t="inlineStr">
        <is>
          <t>VÄSTERBOTTENS LÄN</t>
        </is>
      </c>
      <c r="G146" t="inlineStr">
        <is>
          <t>NORDMALING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46263</v>
      </c>
      <c r="F147" t="inlineStr">
        <is>
          <t>VÄSTERBOTTENS LÄN</t>
        </is>
      </c>
      <c r="G147" t="inlineStr">
        <is>
          <t>NORDMALING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46263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46263</v>
      </c>
      <c r="F149" t="inlineStr">
        <is>
          <t>VÄSTERBOTTENS LÄN</t>
        </is>
      </c>
      <c r="G149" t="inlineStr">
        <is>
          <t>NORDMALING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46263</v>
      </c>
      <c r="F150" t="inlineStr">
        <is>
          <t>VÄSTERBOTTENS LÄN</t>
        </is>
      </c>
      <c r="G150" t="inlineStr">
        <is>
          <t>NORDMALING</t>
        </is>
      </c>
      <c r="I150" t="n">
        <v>10.4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45525</v>
      </c>
      <c r="E151" s="1" t="n">
        <v>46263</v>
      </c>
      <c r="F151" t="inlineStr">
        <is>
          <t>VÄSTERBOTTENS LÄN</t>
        </is>
      </c>
      <c r="G151" t="inlineStr">
        <is>
          <t>NORDMALING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45453</v>
      </c>
      <c r="E152" s="1" t="n">
        <v>46263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46263</v>
      </c>
      <c r="F153" t="inlineStr">
        <is>
          <t>VÄSTERBOTTENS LÄN</t>
        </is>
      </c>
      <c r="G153" t="inlineStr">
        <is>
          <t>NORDMALING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46263</v>
      </c>
      <c r="F154" t="inlineStr">
        <is>
          <t>VÄSTERBOTTENS LÄN</t>
        </is>
      </c>
      <c r="G154" t="inlineStr">
        <is>
          <t>NORDMALING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46263</v>
      </c>
      <c r="F155" t="inlineStr">
        <is>
          <t>VÄSTERBOTTENS LÄN</t>
        </is>
      </c>
      <c r="G155" t="inlineStr">
        <is>
          <t>NORDMALING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46263</v>
      </c>
      <c r="F156" t="inlineStr">
        <is>
          <t>VÄSTERBOTTENS LÄN</t>
        </is>
      </c>
      <c r="G156" t="inlineStr">
        <is>
          <t>NORDMALING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45900</v>
      </c>
      <c r="E157" s="1" t="n">
        <v>46263</v>
      </c>
      <c r="F157" t="inlineStr">
        <is>
          <t>VÄSTERBOTTENS LÄN</t>
        </is>
      </c>
      <c r="G157" t="inlineStr">
        <is>
          <t>NORDMALING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45021</v>
      </c>
      <c r="E158" s="1" t="n">
        <v>46263</v>
      </c>
      <c r="F158" t="inlineStr">
        <is>
          <t>VÄSTERBOTTENS LÄN</t>
        </is>
      </c>
      <c r="G158" t="inlineStr">
        <is>
          <t>NORDMALING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46263</v>
      </c>
      <c r="F159" t="inlineStr">
        <is>
          <t>VÄSTERBOTTENS LÄN</t>
        </is>
      </c>
      <c r="G159" t="inlineStr">
        <is>
          <t>NORDMALING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65688-2021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44515</v>
      </c>
      <c r="E160" s="1" t="n">
        <v>46263</v>
      </c>
      <c r="F160" t="inlineStr">
        <is>
          <t>VÄSTERBOTTENS LÄN</t>
        </is>
      </c>
      <c r="G160" t="inlineStr">
        <is>
          <t>NORDMALING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62119-2022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44921</v>
      </c>
      <c r="E161" s="1" t="n">
        <v>46263</v>
      </c>
      <c r="F161" t="inlineStr">
        <is>
          <t>VÄSTERBOTTENS LÄN</t>
        </is>
      </c>
      <c r="G161" t="inlineStr">
        <is>
          <t>NORDMALING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46263</v>
      </c>
      <c r="F162" t="inlineStr">
        <is>
          <t>VÄSTERBOTTENS LÄN</t>
        </is>
      </c>
      <c r="G162" t="inlineStr">
        <is>
          <t>NORDMALING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46263</v>
      </c>
      <c r="F163" t="inlineStr">
        <is>
          <t>VÄSTERBOTTENS LÄN</t>
        </is>
      </c>
      <c r="G163" t="inlineStr">
        <is>
          <t>NORDMALING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44922</v>
      </c>
      <c r="E164" s="1" t="n">
        <v>46263</v>
      </c>
      <c r="F164" t="inlineStr">
        <is>
          <t>VÄSTERBOTTENS LÄN</t>
        </is>
      </c>
      <c r="G164" t="inlineStr">
        <is>
          <t>NORDMALING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45482</v>
      </c>
      <c r="E165" s="1" t="n">
        <v>46263</v>
      </c>
      <c r="F165" t="inlineStr">
        <is>
          <t>VÄSTERBOTTENS LÄN</t>
        </is>
      </c>
      <c r="G165" t="inlineStr">
        <is>
          <t>NORDMALING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46263</v>
      </c>
      <c r="F166" t="inlineStr">
        <is>
          <t>VÄSTERBOTTENS LÄN</t>
        </is>
      </c>
      <c r="G166" t="inlineStr">
        <is>
          <t>NORDMALING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46263</v>
      </c>
      <c r="F167" t="inlineStr">
        <is>
          <t>VÄSTERBOTTENS LÄN</t>
        </is>
      </c>
      <c r="G167" t="inlineStr">
        <is>
          <t>NORDMALING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46263</v>
      </c>
      <c r="F168" t="inlineStr">
        <is>
          <t>VÄSTERBOTTENS LÄN</t>
        </is>
      </c>
      <c r="G168" t="inlineStr">
        <is>
          <t>NORDMALING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46263</v>
      </c>
      <c r="F169" t="inlineStr">
        <is>
          <t>VÄSTERBOTTENS LÄN</t>
        </is>
      </c>
      <c r="G169" t="inlineStr">
        <is>
          <t>NORDMALING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46263</v>
      </c>
      <c r="F170" t="inlineStr">
        <is>
          <t>VÄSTERBOTTENS LÄN</t>
        </is>
      </c>
      <c r="G170" t="inlineStr">
        <is>
          <t>NORDMALING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46263</v>
      </c>
      <c r="F171" t="inlineStr">
        <is>
          <t>VÄSTERBOTTENS LÄN</t>
        </is>
      </c>
      <c r="G171" t="inlineStr">
        <is>
          <t>NORDMALING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46263</v>
      </c>
      <c r="F172" t="inlineStr">
        <is>
          <t>VÄSTERBOTTENS LÄN</t>
        </is>
      </c>
      <c r="G172" t="inlineStr">
        <is>
          <t>NORDMALING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46263</v>
      </c>
      <c r="F173" t="inlineStr">
        <is>
          <t>VÄSTERBOTTENS LÄN</t>
        </is>
      </c>
      <c r="G173" t="inlineStr">
        <is>
          <t>NORDMALING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46263</v>
      </c>
      <c r="F174" t="inlineStr">
        <is>
          <t>VÄSTERBOTTENS LÄN</t>
        </is>
      </c>
      <c r="G174" t="inlineStr">
        <is>
          <t>NORDMALING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46263</v>
      </c>
      <c r="F175" t="inlineStr">
        <is>
          <t>VÄSTERBOTTENS LÄN</t>
        </is>
      </c>
      <c r="G175" t="inlineStr">
        <is>
          <t>NORDMALING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45327</v>
      </c>
      <c r="E176" s="1" t="n">
        <v>46263</v>
      </c>
      <c r="F176" t="inlineStr">
        <is>
          <t>VÄSTERBOTTENS LÄN</t>
        </is>
      </c>
      <c r="G176" t="inlineStr">
        <is>
          <t>NORDMALING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46263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45923</v>
      </c>
      <c r="E178" s="1" t="n">
        <v>46263</v>
      </c>
      <c r="F178" t="inlineStr">
        <is>
          <t>VÄSTERBOTTENS LÄN</t>
        </is>
      </c>
      <c r="G178" t="inlineStr">
        <is>
          <t>NORDMALING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46263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46263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46263</v>
      </c>
      <c r="F181" t="inlineStr">
        <is>
          <t>VÄSTERBOTTENS LÄN</t>
        </is>
      </c>
      <c r="G181" t="inlineStr">
        <is>
          <t>NORDMALING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36814-2024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45538</v>
      </c>
      <c r="E182" s="1" t="n">
        <v>46263</v>
      </c>
      <c r="F182" t="inlineStr">
        <is>
          <t>VÄSTERBOTTENS LÄN</t>
        </is>
      </c>
      <c r="G182" t="inlineStr">
        <is>
          <t>NORDMALING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48234-2024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46263</v>
      </c>
      <c r="F183" t="inlineStr">
        <is>
          <t>VÄSTERBOTTENS LÄN</t>
        </is>
      </c>
      <c r="G183" t="inlineStr">
        <is>
          <t>NORDMALING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46263</v>
      </c>
      <c r="F184" t="inlineStr">
        <is>
          <t>VÄSTERBOTTENS LÄN</t>
        </is>
      </c>
      <c r="G184" t="inlineStr">
        <is>
          <t>NORDMALING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46263</v>
      </c>
      <c r="F185" t="inlineStr">
        <is>
          <t>VÄSTERBOTTENS LÄN</t>
        </is>
      </c>
      <c r="G185" t="inlineStr">
        <is>
          <t>NORDMALING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46263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46263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46263</v>
      </c>
      <c r="F188" t="inlineStr">
        <is>
          <t>VÄSTERBOTTENS LÄN</t>
        </is>
      </c>
      <c r="G188" t="inlineStr">
        <is>
          <t>NORDMALING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46263</v>
      </c>
      <c r="F189" t="inlineStr">
        <is>
          <t>VÄSTERBOTTENS LÄN</t>
        </is>
      </c>
      <c r="G189" t="inlineStr">
        <is>
          <t>NORDMALING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46263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46263</v>
      </c>
      <c r="F191" t="inlineStr">
        <is>
          <t>VÄSTERBOTTENS LÄN</t>
        </is>
      </c>
      <c r="G191" t="inlineStr">
        <is>
          <t>NORDMALING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34184-2023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46263</v>
      </c>
      <c r="F192" t="inlineStr">
        <is>
          <t>VÄSTERBOTTENS LÄN</t>
        </is>
      </c>
      <c r="G192" t="inlineStr">
        <is>
          <t>NORDMALING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46263</v>
      </c>
      <c r="F193" t="inlineStr">
        <is>
          <t>VÄSTERBOTTENS LÄN</t>
        </is>
      </c>
      <c r="G193" t="inlineStr">
        <is>
          <t>NORDMALING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46263</v>
      </c>
      <c r="F194" t="inlineStr">
        <is>
          <t>VÄSTERBOTTENS LÄN</t>
        </is>
      </c>
      <c r="G194" t="inlineStr">
        <is>
          <t>NORDMALING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46263</v>
      </c>
      <c r="F195" t="inlineStr">
        <is>
          <t>VÄSTERBOTTENS LÄN</t>
        </is>
      </c>
      <c r="G195" t="inlineStr">
        <is>
          <t>NORDMALING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46263</v>
      </c>
      <c r="F196" t="inlineStr">
        <is>
          <t>VÄSTERBOTTENS LÄN</t>
        </is>
      </c>
      <c r="G196" t="inlineStr">
        <is>
          <t>NORDMALING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46263</v>
      </c>
      <c r="F197" t="inlineStr">
        <is>
          <t>VÄSTERBOTTENS LÄN</t>
        </is>
      </c>
      <c r="G197" t="inlineStr">
        <is>
          <t>NORDMALING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46263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46263</v>
      </c>
      <c r="F199" t="inlineStr">
        <is>
          <t>VÄSTERBOTTENS LÄN</t>
        </is>
      </c>
      <c r="G199" t="inlineStr">
        <is>
          <t>NORDMALING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46263</v>
      </c>
      <c r="F200" t="inlineStr">
        <is>
          <t>VÄSTERBOTTENS LÄN</t>
        </is>
      </c>
      <c r="G200" t="inlineStr">
        <is>
          <t>NORDMALING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45491</v>
      </c>
      <c r="E201" s="1" t="n">
        <v>46263</v>
      </c>
      <c r="F201" t="inlineStr">
        <is>
          <t>VÄSTERBOTTENS LÄN</t>
        </is>
      </c>
      <c r="G201" t="inlineStr">
        <is>
          <t>NORDMALING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46263</v>
      </c>
      <c r="F202" t="inlineStr">
        <is>
          <t>VÄSTERBOTTENS LÄN</t>
        </is>
      </c>
      <c r="G202" t="inlineStr">
        <is>
          <t>NORDMALING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46263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46263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46263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46263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46263</v>
      </c>
      <c r="F207" t="inlineStr">
        <is>
          <t>VÄSTERBOTTENS LÄN</t>
        </is>
      </c>
      <c r="G207" t="inlineStr">
        <is>
          <t>NORDMALING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46263</v>
      </c>
      <c r="F208" t="inlineStr">
        <is>
          <t>VÄSTERBOTTENS LÄN</t>
        </is>
      </c>
      <c r="G208" t="inlineStr">
        <is>
          <t>NORDMALING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46263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46263</v>
      </c>
      <c r="F210" t="inlineStr">
        <is>
          <t>VÄSTERBOTTENS LÄN</t>
        </is>
      </c>
      <c r="G210" t="inlineStr">
        <is>
          <t>NORDMALING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46263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45993</v>
      </c>
      <c r="E212" s="1" t="n">
        <v>46263</v>
      </c>
      <c r="F212" t="inlineStr">
        <is>
          <t>VÄSTERBOTTENS LÄN</t>
        </is>
      </c>
      <c r="G212" t="inlineStr">
        <is>
          <t>NORDMALING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46263</v>
      </c>
      <c r="F213" t="inlineStr">
        <is>
          <t>VÄSTERBOTTENS LÄN</t>
        </is>
      </c>
      <c r="G213" t="inlineStr">
        <is>
          <t>NORDMALING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46263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46263</v>
      </c>
      <c r="F215" t="inlineStr">
        <is>
          <t>VÄSTERBOTTENS LÄN</t>
        </is>
      </c>
      <c r="G215" t="inlineStr">
        <is>
          <t>NORDMALING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45993</v>
      </c>
      <c r="E216" s="1" t="n">
        <v>46263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49847-2025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46263</v>
      </c>
      <c r="F217" t="inlineStr">
        <is>
          <t>VÄSTERBOTTENS LÄN</t>
        </is>
      </c>
      <c r="G217" t="inlineStr">
        <is>
          <t>NORDMALING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46263</v>
      </c>
      <c r="F218" t="inlineStr">
        <is>
          <t>VÄSTERBOTTENS LÄN</t>
        </is>
      </c>
      <c r="G218" t="inlineStr">
        <is>
          <t>NORDMALING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60113-2025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45994</v>
      </c>
      <c r="E219" s="1" t="n">
        <v>46263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45988</v>
      </c>
      <c r="E220" s="1" t="n">
        <v>46263</v>
      </c>
      <c r="F220" t="inlineStr">
        <is>
          <t>VÄSTERBOTTENS LÄN</t>
        </is>
      </c>
      <c r="G220" t="inlineStr">
        <is>
          <t>NORDMALING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46263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46263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46263</v>
      </c>
      <c r="F223" t="inlineStr">
        <is>
          <t>VÄSTERBOTTENS LÄN</t>
        </is>
      </c>
      <c r="G223" t="inlineStr">
        <is>
          <t>NORDMALING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46263</v>
      </c>
      <c r="F224" t="inlineStr">
        <is>
          <t>VÄSTERBOTTENS LÄN</t>
        </is>
      </c>
      <c r="G224" t="inlineStr">
        <is>
          <t>NORDMALING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46263</v>
      </c>
      <c r="F225" t="inlineStr">
        <is>
          <t>VÄSTERBOTTENS LÄN</t>
        </is>
      </c>
      <c r="G225" t="inlineStr">
        <is>
          <t>NORDMALING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44609</v>
      </c>
      <c r="E226" s="1" t="n">
        <v>46263</v>
      </c>
      <c r="F226" t="inlineStr">
        <is>
          <t>VÄSTERBOTTENS LÄN</t>
        </is>
      </c>
      <c r="G226" t="inlineStr">
        <is>
          <t>NORDMALING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46263</v>
      </c>
      <c r="F227" t="inlineStr">
        <is>
          <t>VÄSTERBOTTENS LÄN</t>
        </is>
      </c>
      <c r="G227" t="inlineStr">
        <is>
          <t>NORDMALING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46263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45950</v>
      </c>
      <c r="E229" s="1" t="n">
        <v>46263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61167-2025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46263</v>
      </c>
      <c r="F230" t="inlineStr">
        <is>
          <t>VÄSTERBOTTENS LÄN</t>
        </is>
      </c>
      <c r="G230" t="inlineStr">
        <is>
          <t>NORDMALING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46263</v>
      </c>
      <c r="F231" t="inlineStr">
        <is>
          <t>VÄSTERBOTTENS LÄN</t>
        </is>
      </c>
      <c r="G231" t="inlineStr">
        <is>
          <t>NORDMALING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46263</v>
      </c>
      <c r="F232" t="inlineStr">
        <is>
          <t>VÄSTERBOTTENS LÄN</t>
        </is>
      </c>
      <c r="G232" t="inlineStr">
        <is>
          <t>NORDMALING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29606-2025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45825</v>
      </c>
      <c r="E233" s="1" t="n">
        <v>46263</v>
      </c>
      <c r="F233" t="inlineStr">
        <is>
          <t>VÄSTERBOTTENS LÄN</t>
        </is>
      </c>
      <c r="G233" t="inlineStr">
        <is>
          <t>NORDMALING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46263</v>
      </c>
      <c r="F234" t="inlineStr">
        <is>
          <t>VÄSTERBOTTENS LÄN</t>
        </is>
      </c>
      <c r="G234" t="inlineStr">
        <is>
          <t>NORDMALING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46263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61138-2025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46263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46263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46263</v>
      </c>
      <c r="F238" t="inlineStr">
        <is>
          <t>VÄSTERBOTTENS LÄN</t>
        </is>
      </c>
      <c r="G238" t="inlineStr">
        <is>
          <t>NORDMALING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46263</v>
      </c>
      <c r="F239" t="inlineStr">
        <is>
          <t>VÄSTERBOTTENS LÄN</t>
        </is>
      </c>
      <c r="G239" t="inlineStr">
        <is>
          <t>NORDMALING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46263</v>
      </c>
      <c r="F240" t="inlineStr">
        <is>
          <t>VÄSTERBOTTENS LÄN</t>
        </is>
      </c>
      <c r="G240" t="inlineStr">
        <is>
          <t>NORDMALING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46263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45586</v>
      </c>
      <c r="E242" s="1" t="n">
        <v>46263</v>
      </c>
      <c r="F242" t="inlineStr">
        <is>
          <t>VÄSTERBOTTENS LÄN</t>
        </is>
      </c>
      <c r="G242" t="inlineStr">
        <is>
          <t>NORDMALING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46263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54784-2021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44473</v>
      </c>
      <c r="E244" s="1" t="n">
        <v>46263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46263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46263</v>
      </c>
      <c r="F246" t="inlineStr">
        <is>
          <t>VÄSTERBOTTENS LÄN</t>
        </is>
      </c>
      <c r="G246" t="inlineStr">
        <is>
          <t>NORDMALING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46263</v>
      </c>
      <c r="F247" t="inlineStr">
        <is>
          <t>VÄSTERBOTTENS LÄN</t>
        </is>
      </c>
      <c r="G247" t="inlineStr">
        <is>
          <t>NORDMALING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46263</v>
      </c>
      <c r="F248" t="inlineStr">
        <is>
          <t>VÄSTERBOTTENS LÄN</t>
        </is>
      </c>
      <c r="G248" t="inlineStr">
        <is>
          <t>NORDMALING</t>
        </is>
      </c>
      <c r="I248" t="n">
        <v>11.3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46263</v>
      </c>
      <c r="F249" t="inlineStr">
        <is>
          <t>VÄSTERBOTTENS LÄN</t>
        </is>
      </c>
      <c r="G249" t="inlineStr">
        <is>
          <t>NORDMALING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46263</v>
      </c>
      <c r="F250" t="inlineStr">
        <is>
          <t>VÄSTERBOTTENS LÄN</t>
        </is>
      </c>
      <c r="G250" t="inlineStr">
        <is>
          <t>NORDMALING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46263</v>
      </c>
      <c r="F251" t="inlineStr">
        <is>
          <t>VÄSTERBOTTENS LÄN</t>
        </is>
      </c>
      <c r="G251" t="inlineStr">
        <is>
          <t>NORDMALING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46263</v>
      </c>
      <c r="F252" t="inlineStr">
        <is>
          <t>VÄSTERBOTTENS LÄN</t>
        </is>
      </c>
      <c r="G252" t="inlineStr">
        <is>
          <t>NORDMALING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46263</v>
      </c>
      <c r="F253" t="inlineStr">
        <is>
          <t>VÄSTERBOTTENS LÄN</t>
        </is>
      </c>
      <c r="G253" t="inlineStr">
        <is>
          <t>NORDMALING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46263</v>
      </c>
      <c r="F254" t="inlineStr">
        <is>
          <t>VÄSTERBOTTENS LÄN</t>
        </is>
      </c>
      <c r="G254" t="inlineStr">
        <is>
          <t>NORDMALING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59389-2022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44905</v>
      </c>
      <c r="E255" s="1" t="n">
        <v>46263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46263</v>
      </c>
      <c r="F256" t="inlineStr">
        <is>
          <t>VÄSTERBOTTENS LÄN</t>
        </is>
      </c>
      <c r="G256" t="inlineStr">
        <is>
          <t>NORDMALING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46263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46263</v>
      </c>
      <c r="F258" t="inlineStr">
        <is>
          <t>VÄSTERBOTTENS LÄN</t>
        </is>
      </c>
      <c r="G258" t="inlineStr">
        <is>
          <t>NORDMALING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46263</v>
      </c>
      <c r="F259" t="inlineStr">
        <is>
          <t>VÄSTERBOTTENS LÄN</t>
        </is>
      </c>
      <c r="G259" t="inlineStr">
        <is>
          <t>NORDMALING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46263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46263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46263</v>
      </c>
      <c r="F262" t="inlineStr">
        <is>
          <t>VÄSTERBOTTENS LÄN</t>
        </is>
      </c>
      <c r="G262" t="inlineStr">
        <is>
          <t>NORDMALING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19300-2023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45049</v>
      </c>
      <c r="E263" s="1" t="n">
        <v>46263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Kyrkan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46263</v>
      </c>
      <c r="F264" t="inlineStr">
        <is>
          <t>VÄSTERBOTTENS LÄN</t>
        </is>
      </c>
      <c r="G264" t="inlineStr">
        <is>
          <t>NORDMALING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24010-2022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44722</v>
      </c>
      <c r="E265" s="1" t="n">
        <v>46263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46263</v>
      </c>
      <c r="F266" t="inlineStr">
        <is>
          <t>VÄSTERBOTTENS LÄN</t>
        </is>
      </c>
      <c r="G266" t="inlineStr">
        <is>
          <t>NORDMALING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45852</v>
      </c>
      <c r="E267" s="1" t="n">
        <v>46263</v>
      </c>
      <c r="F267" t="inlineStr">
        <is>
          <t>VÄSTERBOTTENS LÄN</t>
        </is>
      </c>
      <c r="G267" t="inlineStr">
        <is>
          <t>NORDMALING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45470</v>
      </c>
      <c r="E268" s="1" t="n">
        <v>46263</v>
      </c>
      <c r="F268" t="inlineStr">
        <is>
          <t>VÄSTERBOTTENS LÄN</t>
        </is>
      </c>
      <c r="G268" t="inlineStr">
        <is>
          <t>NORDMALING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44812</v>
      </c>
      <c r="E269" s="1" t="n">
        <v>46263</v>
      </c>
      <c r="F269" t="inlineStr">
        <is>
          <t>VÄSTERBOTTENS LÄN</t>
        </is>
      </c>
      <c r="G269" t="inlineStr">
        <is>
          <t>NORDMALING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46263</v>
      </c>
      <c r="F270" t="inlineStr">
        <is>
          <t>VÄSTERBOTTENS LÄN</t>
        </is>
      </c>
      <c r="G270" t="inlineStr">
        <is>
          <t>NORDMALING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46263</v>
      </c>
      <c r="F271" t="inlineStr">
        <is>
          <t>VÄSTERBOTTENS LÄN</t>
        </is>
      </c>
      <c r="G271" t="inlineStr">
        <is>
          <t>NORDMALING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51746-2021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46263</v>
      </c>
      <c r="F272" t="inlineStr">
        <is>
          <t>VÄSTERBOTTENS LÄN</t>
        </is>
      </c>
      <c r="G272" t="inlineStr">
        <is>
          <t>NORDMALING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46263</v>
      </c>
      <c r="F273" t="inlineStr">
        <is>
          <t>VÄSTERBOTTENS LÄN</t>
        </is>
      </c>
      <c r="G273" t="inlineStr">
        <is>
          <t>NORDMALING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45525</v>
      </c>
      <c r="E274" s="1" t="n">
        <v>46263</v>
      </c>
      <c r="F274" t="inlineStr">
        <is>
          <t>VÄSTERBOTTENS LÄN</t>
        </is>
      </c>
      <c r="G274" t="inlineStr">
        <is>
          <t>NORDMALING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46263</v>
      </c>
      <c r="F275" t="inlineStr">
        <is>
          <t>VÄSTERBOTTENS LÄN</t>
        </is>
      </c>
      <c r="G275" t="inlineStr">
        <is>
          <t>NORDMALING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24712-2023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45075</v>
      </c>
      <c r="E276" s="1" t="n">
        <v>46263</v>
      </c>
      <c r="F276" t="inlineStr">
        <is>
          <t>VÄSTERBOTTENS LÄN</t>
        </is>
      </c>
      <c r="G276" t="inlineStr">
        <is>
          <t>NORDMALING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46263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Holmen skog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46263</v>
      </c>
      <c r="F278" t="inlineStr">
        <is>
          <t>VÄSTERBOTTENS LÄN</t>
        </is>
      </c>
      <c r="G278" t="inlineStr">
        <is>
          <t>NORDMALING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32183-2023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45119</v>
      </c>
      <c r="E279" s="1" t="n">
        <v>46263</v>
      </c>
      <c r="F279" t="inlineStr">
        <is>
          <t>VÄSTERBOTTENS LÄN</t>
        </is>
      </c>
      <c r="G279" t="inlineStr">
        <is>
          <t>NORDMALING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46263</v>
      </c>
      <c r="F280" t="inlineStr">
        <is>
          <t>VÄSTERBOTTENS LÄN</t>
        </is>
      </c>
      <c r="G280" t="inlineStr">
        <is>
          <t>NORDMALING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46263</v>
      </c>
      <c r="F281" t="inlineStr">
        <is>
          <t>VÄSTERBOTTENS LÄN</t>
        </is>
      </c>
      <c r="G281" t="inlineStr">
        <is>
          <t>NORDMALING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35803-2023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45147</v>
      </c>
      <c r="E282" s="1" t="n">
        <v>46263</v>
      </c>
      <c r="F282" t="inlineStr">
        <is>
          <t>VÄSTERBOTTENS LÄN</t>
        </is>
      </c>
      <c r="G282" t="inlineStr">
        <is>
          <t>NORDMALING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46263</v>
      </c>
      <c r="F283" t="inlineStr">
        <is>
          <t>VÄSTERBOTTENS LÄN</t>
        </is>
      </c>
      <c r="G283" t="inlineStr">
        <is>
          <t>NORDMALING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46263</v>
      </c>
      <c r="F284" t="inlineStr">
        <is>
          <t>VÄSTERBOTTENS LÄN</t>
        </is>
      </c>
      <c r="G284" t="inlineStr">
        <is>
          <t>NORDMALING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46263</v>
      </c>
      <c r="F285" t="inlineStr">
        <is>
          <t>VÄSTERBOTTENS LÄN</t>
        </is>
      </c>
      <c r="G285" t="inlineStr">
        <is>
          <t>NORDMALING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44742</v>
      </c>
      <c r="E286" s="1" t="n">
        <v>46263</v>
      </c>
      <c r="F286" t="inlineStr">
        <is>
          <t>VÄSTERBOTTENS LÄN</t>
        </is>
      </c>
      <c r="G286" t="inlineStr">
        <is>
          <t>NORDMALING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46263</v>
      </c>
      <c r="F287" t="inlineStr">
        <is>
          <t>VÄSTERBOTTENS LÄN</t>
        </is>
      </c>
      <c r="G287" t="inlineStr">
        <is>
          <t>NORDMALING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46263</v>
      </c>
      <c r="F288" t="inlineStr">
        <is>
          <t>VÄSTERBOTTENS LÄN</t>
        </is>
      </c>
      <c r="G288" t="inlineStr">
        <is>
          <t>NORDMALING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63266-2025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46010</v>
      </c>
      <c r="E289" s="1" t="n">
        <v>46263</v>
      </c>
      <c r="F289" t="inlineStr">
        <is>
          <t>VÄSTERBOTTENS LÄN</t>
        </is>
      </c>
      <c r="G289" t="inlineStr">
        <is>
          <t>NORDMALING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46263</v>
      </c>
      <c r="F290" t="inlineStr">
        <is>
          <t>VÄSTERBOTTENS LÄN</t>
        </is>
      </c>
      <c r="G290" t="inlineStr">
        <is>
          <t>NORDMALING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46263</v>
      </c>
      <c r="F291" t="inlineStr">
        <is>
          <t>VÄSTERBOTTENS LÄN</t>
        </is>
      </c>
      <c r="G291" t="inlineStr">
        <is>
          <t>NORDMALING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46263</v>
      </c>
      <c r="F292" t="inlineStr">
        <is>
          <t>VÄSTERBOTTENS LÄN</t>
        </is>
      </c>
      <c r="G292" t="inlineStr">
        <is>
          <t>NORDMALING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46263</v>
      </c>
      <c r="F293" t="inlineStr">
        <is>
          <t>VÄSTERBOTTENS LÄN</t>
        </is>
      </c>
      <c r="G293" t="inlineStr">
        <is>
          <t>NORDMALING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46263</v>
      </c>
      <c r="F294" t="inlineStr">
        <is>
          <t>VÄSTERBOTTENS LÄN</t>
        </is>
      </c>
      <c r="G294" t="inlineStr">
        <is>
          <t>NORDMALING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46263</v>
      </c>
      <c r="F295" t="inlineStr">
        <is>
          <t>VÄSTERBOTTENS LÄN</t>
        </is>
      </c>
      <c r="G295" t="inlineStr">
        <is>
          <t>NORDMALING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46263</v>
      </c>
      <c r="F296" t="inlineStr">
        <is>
          <t>VÄSTERBOTTENS LÄN</t>
        </is>
      </c>
      <c r="G296" t="inlineStr">
        <is>
          <t>NORDMALING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46263</v>
      </c>
      <c r="F297" t="inlineStr">
        <is>
          <t>VÄSTERBOTTENS LÄN</t>
        </is>
      </c>
      <c r="G297" t="inlineStr">
        <is>
          <t>NORDMALING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46263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46018</v>
      </c>
      <c r="E299" s="1" t="n">
        <v>46263</v>
      </c>
      <c r="F299" t="inlineStr">
        <is>
          <t>VÄSTERBOTTENS LÄN</t>
        </is>
      </c>
      <c r="G299" t="inlineStr">
        <is>
          <t>NORDMALING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46018</v>
      </c>
      <c r="E300" s="1" t="n">
        <v>46263</v>
      </c>
      <c r="F300" t="inlineStr">
        <is>
          <t>VÄSTERBOTTENS LÄN</t>
        </is>
      </c>
      <c r="G300" t="inlineStr">
        <is>
          <t>NORDMALING</t>
        </is>
      </c>
      <c r="I300" t="n">
        <v>16.2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46018</v>
      </c>
      <c r="E301" s="1" t="n">
        <v>46263</v>
      </c>
      <c r="F301" t="inlineStr">
        <is>
          <t>VÄSTERBOTTENS LÄN</t>
        </is>
      </c>
      <c r="G301" t="inlineStr">
        <is>
          <t>NORDMALING</t>
        </is>
      </c>
      <c r="I301" t="n">
        <v>12.8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46020</v>
      </c>
      <c r="E302" s="1" t="n">
        <v>46263</v>
      </c>
      <c r="F302" t="inlineStr">
        <is>
          <t>VÄSTERBOTTENS LÄN</t>
        </is>
      </c>
      <c r="G302" t="inlineStr">
        <is>
          <t>NORDMALING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45051</v>
      </c>
      <c r="E303" s="1" t="n">
        <v>46263</v>
      </c>
      <c r="F303" t="inlineStr">
        <is>
          <t>VÄSTERBOTTENS LÄN</t>
        </is>
      </c>
      <c r="G303" t="inlineStr">
        <is>
          <t>NORDMALING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63922-2025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46020</v>
      </c>
      <c r="E304" s="1" t="n">
        <v>46263</v>
      </c>
      <c r="F304" t="inlineStr">
        <is>
          <t>VÄSTERBOTTENS LÄN</t>
        </is>
      </c>
      <c r="G304" t="inlineStr">
        <is>
          <t>NORDMALING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46022</v>
      </c>
      <c r="E305" s="1" t="n">
        <v>46263</v>
      </c>
      <c r="F305" t="inlineStr">
        <is>
          <t>VÄSTERBOTTENS LÄN</t>
        </is>
      </c>
      <c r="G305" t="inlineStr">
        <is>
          <t>NORDMALING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46263</v>
      </c>
      <c r="F306" t="inlineStr">
        <is>
          <t>VÄSTERBOTTENS LÄN</t>
        </is>
      </c>
      <c r="G306" t="inlineStr">
        <is>
          <t>NORDMALING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59605-2022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44907</v>
      </c>
      <c r="E307" s="1" t="n">
        <v>46263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47063-2024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46263</v>
      </c>
      <c r="F308" t="inlineStr">
        <is>
          <t>VÄSTERBOTTENS LÄN</t>
        </is>
      </c>
      <c r="G308" t="inlineStr">
        <is>
          <t>NORDMALING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70028-2021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46263</v>
      </c>
      <c r="F309" t="inlineStr">
        <is>
          <t>VÄSTERBOTTENS LÄN</t>
        </is>
      </c>
      <c r="G309" t="inlineStr">
        <is>
          <t>NORDMALING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45173</v>
      </c>
      <c r="E310" s="1" t="n">
        <v>46263</v>
      </c>
      <c r="F310" t="inlineStr">
        <is>
          <t>VÄSTERBOTTENS LÄN</t>
        </is>
      </c>
      <c r="G310" t="inlineStr">
        <is>
          <t>NORDMALING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45503</v>
      </c>
      <c r="E311" s="1" t="n">
        <v>46263</v>
      </c>
      <c r="F311" t="inlineStr">
        <is>
          <t>VÄSTERBOTTENS LÄN</t>
        </is>
      </c>
      <c r="G311" t="inlineStr">
        <is>
          <t>NORDMALING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46263</v>
      </c>
      <c r="F312" t="inlineStr">
        <is>
          <t>VÄSTERBOTTENS LÄN</t>
        </is>
      </c>
      <c r="G312" t="inlineStr">
        <is>
          <t>NORDMALING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45736</v>
      </c>
      <c r="E313" s="1" t="n">
        <v>46263</v>
      </c>
      <c r="F313" t="inlineStr">
        <is>
          <t>VÄSTERBOTTENS LÄN</t>
        </is>
      </c>
      <c r="G313" t="inlineStr">
        <is>
          <t>NORDMALING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46028</v>
      </c>
      <c r="E314" s="1" t="n">
        <v>46263</v>
      </c>
      <c r="F314" t="inlineStr">
        <is>
          <t>VÄSTERBOTTENS LÄN</t>
        </is>
      </c>
      <c r="G314" t="inlineStr">
        <is>
          <t>NORDMALING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64498-2023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45280</v>
      </c>
      <c r="E315" s="1" t="n">
        <v>46263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46263</v>
      </c>
      <c r="F316" t="inlineStr">
        <is>
          <t>VÄSTERBOTTENS LÄN</t>
        </is>
      </c>
      <c r="G316" t="inlineStr">
        <is>
          <t>NORDMALING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46263</v>
      </c>
      <c r="F317" t="inlineStr">
        <is>
          <t>VÄSTERBOTTENS LÄN</t>
        </is>
      </c>
      <c r="G317" t="inlineStr">
        <is>
          <t>NORDMALING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46263</v>
      </c>
      <c r="F318" t="inlineStr">
        <is>
          <t>VÄSTERBOTTENS LÄN</t>
        </is>
      </c>
      <c r="G318" t="inlineStr">
        <is>
          <t>NORDMALING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46032</v>
      </c>
      <c r="E319" s="1" t="n">
        <v>46263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Holmen skog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69516-2021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46263</v>
      </c>
      <c r="F320" t="inlineStr">
        <is>
          <t>VÄSTERBOTTENS LÄN</t>
        </is>
      </c>
      <c r="G320" t="inlineStr">
        <is>
          <t>NORDMALING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44834</v>
      </c>
      <c r="E321" s="1" t="n">
        <v>46263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Holmen skog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46263</v>
      </c>
      <c r="F322" t="inlineStr">
        <is>
          <t>VÄSTERBOTTENS LÄN</t>
        </is>
      </c>
      <c r="G322" t="inlineStr">
        <is>
          <t>NORDMALING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46263</v>
      </c>
      <c r="F323" t="inlineStr">
        <is>
          <t>VÄSTERBOTTENS LÄN</t>
        </is>
      </c>
      <c r="G323" t="inlineStr">
        <is>
          <t>NORDMALING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46263</v>
      </c>
      <c r="F324" t="inlineStr">
        <is>
          <t>VÄSTERBOTTENS LÄN</t>
        </is>
      </c>
      <c r="G324" t="inlineStr">
        <is>
          <t>NORDMALING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46263</v>
      </c>
      <c r="F325" t="inlineStr">
        <is>
          <t>VÄSTERBOTTENS LÄN</t>
        </is>
      </c>
      <c r="G325" t="inlineStr">
        <is>
          <t>NORDMALING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46263</v>
      </c>
      <c r="F326" t="inlineStr">
        <is>
          <t>VÄSTERBOTTENS LÄN</t>
        </is>
      </c>
      <c r="G326" t="inlineStr">
        <is>
          <t>NORDMALING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45102</v>
      </c>
      <c r="E327" s="1" t="n">
        <v>46263</v>
      </c>
      <c r="F327" t="inlineStr">
        <is>
          <t>VÄSTERBOTTENS LÄN</t>
        </is>
      </c>
      <c r="G327" t="inlineStr">
        <is>
          <t>NORDMALING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46263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35291-2023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45145</v>
      </c>
      <c r="E329" s="1" t="n">
        <v>46263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46048</v>
      </c>
      <c r="E330" s="1" t="n">
        <v>46263</v>
      </c>
      <c r="F330" t="inlineStr">
        <is>
          <t>VÄSTERBOTTENS LÄN</t>
        </is>
      </c>
      <c r="G330" t="inlineStr">
        <is>
          <t>NORDMALING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46263</v>
      </c>
      <c r="F331" t="inlineStr">
        <is>
          <t>VÄSTERBOTTENS LÄN</t>
        </is>
      </c>
      <c r="G331" t="inlineStr">
        <is>
          <t>NORDMALING</t>
        </is>
      </c>
      <c r="I331" t="n">
        <v>22.4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6969-2024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45343</v>
      </c>
      <c r="E332" s="1" t="n">
        <v>46263</v>
      </c>
      <c r="F332" t="inlineStr">
        <is>
          <t>VÄSTERBOTTENS LÄN</t>
        </is>
      </c>
      <c r="G332" t="inlineStr">
        <is>
          <t>NORDMALING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46263</v>
      </c>
      <c r="F333" t="inlineStr">
        <is>
          <t>VÄSTERBOTTENS LÄN</t>
        </is>
      </c>
      <c r="G333" t="inlineStr">
        <is>
          <t>NORDMALING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46263</v>
      </c>
      <c r="F334" t="inlineStr">
        <is>
          <t>VÄSTERBOTTENS LÄN</t>
        </is>
      </c>
      <c r="G334" t="inlineStr">
        <is>
          <t>NORDMALING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46263</v>
      </c>
      <c r="F335" t="inlineStr">
        <is>
          <t>VÄSTERBOTTENS LÄN</t>
        </is>
      </c>
      <c r="G335" t="inlineStr">
        <is>
          <t>NORDMALING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45378</v>
      </c>
      <c r="E336" s="1" t="n">
        <v>46263</v>
      </c>
      <c r="F336" t="inlineStr">
        <is>
          <t>VÄSTERBOTTENS LÄN</t>
        </is>
      </c>
      <c r="G336" t="inlineStr">
        <is>
          <t>NORDMALING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45419</v>
      </c>
      <c r="E337" s="1" t="n">
        <v>46263</v>
      </c>
      <c r="F337" t="inlineStr">
        <is>
          <t>VÄSTERBOTTENS LÄN</t>
        </is>
      </c>
      <c r="G337" t="inlineStr">
        <is>
          <t>NORDMALING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46263</v>
      </c>
      <c r="F338" t="inlineStr">
        <is>
          <t>VÄSTERBOTTENS LÄN</t>
        </is>
      </c>
      <c r="G338" t="inlineStr">
        <is>
          <t>NORDMALING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46263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48945-2022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44859</v>
      </c>
      <c r="E340" s="1" t="n">
        <v>46263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46263</v>
      </c>
      <c r="F341" t="inlineStr">
        <is>
          <t>VÄSTERBOTTENS LÄN</t>
        </is>
      </c>
      <c r="G341" t="inlineStr">
        <is>
          <t>NORDMALING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46263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46263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45491</v>
      </c>
      <c r="E344" s="1" t="n">
        <v>46263</v>
      </c>
      <c r="F344" t="inlineStr">
        <is>
          <t>VÄSTERBOTTENS LÄN</t>
        </is>
      </c>
      <c r="G344" t="inlineStr">
        <is>
          <t>NORDMALING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46263</v>
      </c>
      <c r="F345" t="inlineStr">
        <is>
          <t>VÄSTERBOTTENS LÄN</t>
        </is>
      </c>
      <c r="G345" t="inlineStr">
        <is>
          <t>NORDMALING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46263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46263</v>
      </c>
      <c r="F347" t="inlineStr">
        <is>
          <t>VÄSTERBOTTENS LÄN</t>
        </is>
      </c>
      <c r="G347" t="inlineStr">
        <is>
          <t>NORDMALING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46263</v>
      </c>
      <c r="F348" t="inlineStr">
        <is>
          <t>VÄSTERBOTTENS LÄN</t>
        </is>
      </c>
      <c r="G348" t="inlineStr">
        <is>
          <t>NORDMALING</t>
        </is>
      </c>
      <c r="I348" t="n">
        <v>19.1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46263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44949</v>
      </c>
      <c r="E350" s="1" t="n">
        <v>46263</v>
      </c>
      <c r="F350" t="inlineStr">
        <is>
          <t>VÄSTERBOTTENS LÄN</t>
        </is>
      </c>
      <c r="G350" t="inlineStr">
        <is>
          <t>NORDMALING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46263</v>
      </c>
      <c r="F351" t="inlineStr">
        <is>
          <t>VÄSTERBOTTENS LÄN</t>
        </is>
      </c>
      <c r="G351" t="inlineStr">
        <is>
          <t>NORDMALING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45139</v>
      </c>
      <c r="E352" s="1" t="n">
        <v>46263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46263</v>
      </c>
      <c r="F353" t="inlineStr">
        <is>
          <t>VÄSTERBOTTENS LÄN</t>
        </is>
      </c>
      <c r="G353" t="inlineStr">
        <is>
          <t>NORDMALING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46263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46263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42320-2024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46263</v>
      </c>
      <c r="F356" t="inlineStr">
        <is>
          <t>VÄSTERBOTTENS LÄN</t>
        </is>
      </c>
      <c r="G356" t="inlineStr">
        <is>
          <t>NORDMALING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57590-2022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46263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46263</v>
      </c>
      <c r="F358" t="inlineStr">
        <is>
          <t>VÄSTERBOTTENS LÄN</t>
        </is>
      </c>
      <c r="G358" t="inlineStr">
        <is>
          <t>NORDMALING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45569</v>
      </c>
      <c r="E359" s="1" t="n">
        <v>46263</v>
      </c>
      <c r="F359" t="inlineStr">
        <is>
          <t>VÄSTERBOTTENS LÄN</t>
        </is>
      </c>
      <c r="G359" t="inlineStr">
        <is>
          <t>NORDMALING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46263</v>
      </c>
      <c r="F360" t="inlineStr">
        <is>
          <t>VÄSTERBOTTENS LÄN</t>
        </is>
      </c>
      <c r="G360" t="inlineStr">
        <is>
          <t>NORDMALING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45344</v>
      </c>
      <c r="E361" s="1" t="n">
        <v>46263</v>
      </c>
      <c r="F361" t="inlineStr">
        <is>
          <t>VÄSTERBOTTENS LÄN</t>
        </is>
      </c>
      <c r="G361" t="inlineStr">
        <is>
          <t>NORDMALING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45764</v>
      </c>
      <c r="E362" s="1" t="n">
        <v>46263</v>
      </c>
      <c r="F362" t="inlineStr">
        <is>
          <t>VÄSTERBOTTENS LÄN</t>
        </is>
      </c>
      <c r="G362" t="inlineStr">
        <is>
          <t>NORDMALING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45443</v>
      </c>
      <c r="E363" s="1" t="n">
        <v>46263</v>
      </c>
      <c r="F363" t="inlineStr">
        <is>
          <t>VÄSTERBOTTENS LÄN</t>
        </is>
      </c>
      <c r="G363" t="inlineStr">
        <is>
          <t>NORDMALING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45447</v>
      </c>
      <c r="E364" s="1" t="n">
        <v>46263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Holmen skog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69519-2021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44531</v>
      </c>
      <c r="E365" s="1" t="n">
        <v>46263</v>
      </c>
      <c r="F365" t="inlineStr">
        <is>
          <t>VÄSTERBOTTENS LÄN</t>
        </is>
      </c>
      <c r="G365" t="inlineStr">
        <is>
          <t>NORDMALING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45141</v>
      </c>
      <c r="E366" s="1" t="n">
        <v>46263</v>
      </c>
      <c r="F366" t="inlineStr">
        <is>
          <t>VÄSTERBOTTENS LÄN</t>
        </is>
      </c>
      <c r="G366" t="inlineStr">
        <is>
          <t>NORDMALING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72018-2021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46263</v>
      </c>
      <c r="F367" t="inlineStr">
        <is>
          <t>VÄSTERBOTTENS LÄN</t>
        </is>
      </c>
      <c r="G367" t="inlineStr">
        <is>
          <t>NORDMALING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24415-2024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45457</v>
      </c>
      <c r="E368" s="1" t="n">
        <v>46263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46263</v>
      </c>
      <c r="F369" t="inlineStr">
        <is>
          <t>VÄSTERBOTTENS LÄN</t>
        </is>
      </c>
      <c r="G369" t="inlineStr">
        <is>
          <t>NORDMALING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46263</v>
      </c>
      <c r="F370" t="inlineStr">
        <is>
          <t>VÄSTERBOTTENS LÄN</t>
        </is>
      </c>
      <c r="G370" t="inlineStr">
        <is>
          <t>NORDMALING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46263</v>
      </c>
      <c r="F371" t="inlineStr">
        <is>
          <t>VÄSTERBOTTENS LÄN</t>
        </is>
      </c>
      <c r="G371" t="inlineStr">
        <is>
          <t>NORDMALING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45180</v>
      </c>
      <c r="E372" s="1" t="n">
        <v>46263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46263</v>
      </c>
      <c r="F373" t="inlineStr">
        <is>
          <t>VÄSTERBOTTENS LÄN</t>
        </is>
      </c>
      <c r="G373" t="inlineStr">
        <is>
          <t>NORDMALING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45673</v>
      </c>
      <c r="E374" s="1" t="n">
        <v>46263</v>
      </c>
      <c r="F374" t="inlineStr">
        <is>
          <t>VÄSTERBOTTENS LÄN</t>
        </is>
      </c>
      <c r="G374" t="inlineStr">
        <is>
          <t>NORDMALING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46263</v>
      </c>
      <c r="F375" t="inlineStr">
        <is>
          <t>VÄSTERBOTTENS LÄN</t>
        </is>
      </c>
      <c r="G375" t="inlineStr">
        <is>
          <t>NORDMALING</t>
        </is>
      </c>
      <c r="I375" t="n">
        <v>12.5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46263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46263</v>
      </c>
      <c r="F377" t="inlineStr">
        <is>
          <t>VÄSTERBOTTENS LÄN</t>
        </is>
      </c>
      <c r="G377" t="inlineStr">
        <is>
          <t>NORDMALING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44981</v>
      </c>
      <c r="E378" s="1" t="n">
        <v>46263</v>
      </c>
      <c r="F378" t="inlineStr">
        <is>
          <t>VÄSTERBOTTENS LÄN</t>
        </is>
      </c>
      <c r="G378" t="inlineStr">
        <is>
          <t>NORDMALING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46263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46263</v>
      </c>
      <c r="F380" t="inlineStr">
        <is>
          <t>VÄSTERBOTTENS LÄN</t>
        </is>
      </c>
      <c r="G380" t="inlineStr">
        <is>
          <t>NORDMALING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34904-2023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46263</v>
      </c>
      <c r="F381" t="inlineStr">
        <is>
          <t>VÄSTERBOTTENS LÄN</t>
        </is>
      </c>
      <c r="G381" t="inlineStr">
        <is>
          <t>NORDMALING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46263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47516-2024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45587</v>
      </c>
      <c r="E383" s="1" t="n">
        <v>46263</v>
      </c>
      <c r="F383" t="inlineStr">
        <is>
          <t>VÄSTERBOTTENS LÄN</t>
        </is>
      </c>
      <c r="G383" t="inlineStr">
        <is>
          <t>NORDMALING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45158</v>
      </c>
      <c r="E384" s="1" t="n">
        <v>46263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46263</v>
      </c>
      <c r="F385" t="inlineStr">
        <is>
          <t>VÄSTERBOTTENS LÄN</t>
        </is>
      </c>
      <c r="G385" t="inlineStr">
        <is>
          <t>NORDMALING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46263</v>
      </c>
      <c r="F386" t="inlineStr">
        <is>
          <t>VÄSTERBOTTENS LÄN</t>
        </is>
      </c>
      <c r="G386" t="inlineStr">
        <is>
          <t>NORDMALING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45524</v>
      </c>
      <c r="E387" s="1" t="n">
        <v>46263</v>
      </c>
      <c r="F387" t="inlineStr">
        <is>
          <t>VÄSTERBOTTENS LÄN</t>
        </is>
      </c>
      <c r="G387" t="inlineStr">
        <is>
          <t>NORDMALING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45574</v>
      </c>
      <c r="E388" s="1" t="n">
        <v>46263</v>
      </c>
      <c r="F388" t="inlineStr">
        <is>
          <t>VÄSTERBOTTENS LÄN</t>
        </is>
      </c>
      <c r="G388" t="inlineStr">
        <is>
          <t>NORDMALING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5258-2024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45330</v>
      </c>
      <c r="E389" s="1" t="n">
        <v>46263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45525</v>
      </c>
      <c r="E390" s="1" t="n">
        <v>46263</v>
      </c>
      <c r="F390" t="inlineStr">
        <is>
          <t>VÄSTERBOTTENS LÄN</t>
        </is>
      </c>
      <c r="G390" t="inlineStr">
        <is>
          <t>NORDMALING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46263</v>
      </c>
      <c r="F391" t="inlineStr">
        <is>
          <t>VÄSTERBOTTENS LÄN</t>
        </is>
      </c>
      <c r="G391" t="inlineStr">
        <is>
          <t>NORDMALING</t>
        </is>
      </c>
      <c r="I391" t="n">
        <v>20.1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45187</v>
      </c>
      <c r="E392" s="1" t="n">
        <v>46263</v>
      </c>
      <c r="F392" t="inlineStr">
        <is>
          <t>VÄSTERBOTTENS LÄN</t>
        </is>
      </c>
      <c r="G392" t="inlineStr">
        <is>
          <t>NORDMALING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25344-2024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46263</v>
      </c>
      <c r="F393" t="inlineStr">
        <is>
          <t>VÄSTERBOTTENS LÄN</t>
        </is>
      </c>
      <c r="G393" t="inlineStr">
        <is>
          <t>NORDMALING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46263</v>
      </c>
      <c r="F394" t="inlineStr">
        <is>
          <t>VÄSTERBOTTENS LÄN</t>
        </is>
      </c>
      <c r="G394" t="inlineStr">
        <is>
          <t>NORDMALING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46263</v>
      </c>
      <c r="F395" t="inlineStr">
        <is>
          <t>VÄSTERBOTTENS LÄN</t>
        </is>
      </c>
      <c r="G395" t="inlineStr">
        <is>
          <t>NORDMALING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45712</v>
      </c>
      <c r="E396" s="1" t="n">
        <v>46263</v>
      </c>
      <c r="F396" t="inlineStr">
        <is>
          <t>VÄSTERBOTTENS LÄN</t>
        </is>
      </c>
      <c r="G396" t="inlineStr">
        <is>
          <t>NORDMALING</t>
        </is>
      </c>
      <c r="I396" t="n">
        <v>11.1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46263</v>
      </c>
      <c r="F397" t="inlineStr">
        <is>
          <t>VÄSTERBOTTENS LÄN</t>
        </is>
      </c>
      <c r="G397" t="inlineStr">
        <is>
          <t>NORDMALING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46263</v>
      </c>
      <c r="F398" t="inlineStr">
        <is>
          <t>VÄSTERBOTTENS LÄN</t>
        </is>
      </c>
      <c r="G398" t="inlineStr">
        <is>
          <t>NORDMALING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46263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18232-2024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45420</v>
      </c>
      <c r="E400" s="1" t="n">
        <v>46263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46263</v>
      </c>
      <c r="F401" t="inlineStr">
        <is>
          <t>VÄSTERBOTTENS LÄN</t>
        </is>
      </c>
      <c r="G401" t="inlineStr">
        <is>
          <t>NORDMALING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46263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46263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46263</v>
      </c>
      <c r="F404" t="inlineStr">
        <is>
          <t>VÄSTERBOTTENS LÄN</t>
        </is>
      </c>
      <c r="G404" t="inlineStr">
        <is>
          <t>NORDMALING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46263</v>
      </c>
      <c r="F405" t="inlineStr">
        <is>
          <t>VÄSTERBOTTENS LÄN</t>
        </is>
      </c>
      <c r="G405" t="inlineStr">
        <is>
          <t>NORDMALING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44854</v>
      </c>
      <c r="E406" s="1" t="n">
        <v>46263</v>
      </c>
      <c r="F406" t="inlineStr">
        <is>
          <t>VÄSTERBOTTENS LÄN</t>
        </is>
      </c>
      <c r="G406" t="inlineStr">
        <is>
          <t>NORDMALING</t>
        </is>
      </c>
      <c r="I406" t="n">
        <v>10.5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48940-2022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44859</v>
      </c>
      <c r="E407" s="1" t="n">
        <v>46263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51832-2024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45607</v>
      </c>
      <c r="E408" s="1" t="n">
        <v>46263</v>
      </c>
      <c r="F408" t="inlineStr">
        <is>
          <t>VÄSTERBOTTENS LÄN</t>
        </is>
      </c>
      <c r="G408" t="inlineStr">
        <is>
          <t>NORDMALING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46263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72841-2021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44547</v>
      </c>
      <c r="E410" s="1" t="n">
        <v>46263</v>
      </c>
      <c r="F410" t="inlineStr">
        <is>
          <t>VÄSTERBOTTENS LÄN</t>
        </is>
      </c>
      <c r="G410" t="inlineStr">
        <is>
          <t>NORDMALING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46263</v>
      </c>
      <c r="F411" t="inlineStr">
        <is>
          <t>VÄSTERBOTTENS LÄN</t>
        </is>
      </c>
      <c r="G411" t="inlineStr">
        <is>
          <t>NORDMALING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45638</v>
      </c>
      <c r="E412" s="1" t="n">
        <v>46263</v>
      </c>
      <c r="F412" t="inlineStr">
        <is>
          <t>VÄSTERBOTTENS LÄN</t>
        </is>
      </c>
      <c r="G412" t="inlineStr">
        <is>
          <t>NORDMALING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33612-2022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44789</v>
      </c>
      <c r="E413" s="1" t="n">
        <v>46263</v>
      </c>
      <c r="F413" t="inlineStr">
        <is>
          <t>VÄSTERBOTTENS LÄN</t>
        </is>
      </c>
      <c r="G413" t="inlineStr">
        <is>
          <t>NORDMALING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46263</v>
      </c>
      <c r="F414" t="inlineStr">
        <is>
          <t>VÄSTERBOTTENS LÄN</t>
        </is>
      </c>
      <c r="G414" t="inlineStr">
        <is>
          <t>NORDMALING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34685-2023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45140</v>
      </c>
      <c r="E415" s="1" t="n">
        <v>46263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45139</v>
      </c>
      <c r="E416" s="1" t="n">
        <v>46263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46263</v>
      </c>
      <c r="F417" t="inlineStr">
        <is>
          <t>VÄSTERBOTTENS LÄN</t>
        </is>
      </c>
      <c r="G417" t="inlineStr">
        <is>
          <t>NORDMALING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18042-2026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46125</v>
      </c>
      <c r="E418" s="1" t="n">
        <v>46263</v>
      </c>
      <c r="F418" t="inlineStr">
        <is>
          <t>VÄSTERBOTTENS LÄN</t>
        </is>
      </c>
      <c r="G418" t="inlineStr">
        <is>
          <t>NORDMALING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45775</v>
      </c>
      <c r="E419" s="1" t="n">
        <v>46263</v>
      </c>
      <c r="F419" t="inlineStr">
        <is>
          <t>VÄSTERBOTTENS LÄN</t>
        </is>
      </c>
      <c r="G419" t="inlineStr">
        <is>
          <t>NORDMALING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45775</v>
      </c>
      <c r="E420" s="1" t="n">
        <v>46263</v>
      </c>
      <c r="F420" t="inlineStr">
        <is>
          <t>VÄSTERBOTTENS LÄN</t>
        </is>
      </c>
      <c r="G420" t="inlineStr">
        <is>
          <t>NORDMALING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46263</v>
      </c>
      <c r="F421" t="inlineStr">
        <is>
          <t>VÄSTERBOTTENS LÄN</t>
        </is>
      </c>
      <c r="G421" t="inlineStr">
        <is>
          <t>NORDMALING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18839-2026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46129</v>
      </c>
      <c r="E422" s="1" t="n">
        <v>46263</v>
      </c>
      <c r="F422" t="inlineStr">
        <is>
          <t>VÄSTERBOTTENS LÄN</t>
        </is>
      </c>
      <c r="G422" t="inlineStr">
        <is>
          <t>NORDMALING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46263</v>
      </c>
      <c r="F423" t="inlineStr">
        <is>
          <t>VÄSTERBOTTENS LÄN</t>
        </is>
      </c>
      <c r="G423" t="inlineStr">
        <is>
          <t>NORDMALING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46263</v>
      </c>
      <c r="F424" t="inlineStr">
        <is>
          <t>VÄSTERBOTTENS LÄN</t>
        </is>
      </c>
      <c r="G424" t="inlineStr">
        <is>
          <t>NORDMALING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55305-2023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45237</v>
      </c>
      <c r="E425" s="1" t="n">
        <v>46263</v>
      </c>
      <c r="F425" t="inlineStr">
        <is>
          <t>VÄSTERBOTTENS LÄN</t>
        </is>
      </c>
      <c r="G425" t="inlineStr">
        <is>
          <t>NORDMALING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46263</v>
      </c>
      <c r="F426" t="inlineStr">
        <is>
          <t>VÄSTERBOTTENS LÄN</t>
        </is>
      </c>
      <c r="G426" t="inlineStr">
        <is>
          <t>NORDMALING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46263</v>
      </c>
      <c r="F427" t="inlineStr">
        <is>
          <t>VÄSTERBOTTENS LÄN</t>
        </is>
      </c>
      <c r="G427" t="inlineStr">
        <is>
          <t>NORDMALING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39816-2023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45167</v>
      </c>
      <c r="E428" s="1" t="n">
        <v>46263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44687</v>
      </c>
      <c r="E429" s="1" t="n">
        <v>46263</v>
      </c>
      <c r="F429" t="inlineStr">
        <is>
          <t>VÄSTERBOTTENS LÄN</t>
        </is>
      </c>
      <c r="G429" t="inlineStr">
        <is>
          <t>NORDMALING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46263</v>
      </c>
      <c r="F430" t="inlineStr">
        <is>
          <t>VÄSTERBOTTENS LÄN</t>
        </is>
      </c>
      <c r="G430" t="inlineStr">
        <is>
          <t>NORDMALING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46263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45665</v>
      </c>
      <c r="E432" s="1" t="n">
        <v>46263</v>
      </c>
      <c r="F432" t="inlineStr">
        <is>
          <t>VÄSTERBOTTENS LÄN</t>
        </is>
      </c>
      <c r="G432" t="inlineStr">
        <is>
          <t>NORDMALING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45239</v>
      </c>
      <c r="E433" s="1" t="n">
        <v>46263</v>
      </c>
      <c r="F433" t="inlineStr">
        <is>
          <t>VÄSTERBOTTENS LÄN</t>
        </is>
      </c>
      <c r="G433" t="inlineStr">
        <is>
          <t>NORDMALING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45158</v>
      </c>
      <c r="E434" s="1" t="n">
        <v>46263</v>
      </c>
      <c r="F434" t="inlineStr">
        <is>
          <t>VÄSTERBOTTENS LÄN</t>
        </is>
      </c>
      <c r="G434" t="inlineStr">
        <is>
          <t>NORDMALING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46263</v>
      </c>
      <c r="F435" t="inlineStr">
        <is>
          <t>VÄSTERBOTTENS LÄN</t>
        </is>
      </c>
      <c r="G435" t="inlineStr">
        <is>
          <t>NORDMALING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46263</v>
      </c>
      <c r="F436" t="inlineStr">
        <is>
          <t>VÄSTERBOTTENS LÄN</t>
        </is>
      </c>
      <c r="G436" t="inlineStr">
        <is>
          <t>NORDMALING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46263</v>
      </c>
      <c r="F437" t="inlineStr">
        <is>
          <t>VÄSTERBOTTENS LÄN</t>
        </is>
      </c>
      <c r="G437" t="inlineStr">
        <is>
          <t>NORDMALING</t>
        </is>
      </c>
      <c r="I437" t="n">
        <v>16.1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37362-2025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45877</v>
      </c>
      <c r="E438" s="1" t="n">
        <v>46263</v>
      </c>
      <c r="F438" t="inlineStr">
        <is>
          <t>VÄSTERBOTTENS LÄN</t>
        </is>
      </c>
      <c r="G438" t="inlineStr">
        <is>
          <t>NORDMALING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46263</v>
      </c>
      <c r="F439" t="inlineStr">
        <is>
          <t>VÄSTERBOTTENS LÄN</t>
        </is>
      </c>
      <c r="G439" t="inlineStr">
        <is>
          <t>NORDMALING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44756</v>
      </c>
      <c r="E440" s="1" t="n">
        <v>46263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61795-2023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45265</v>
      </c>
      <c r="E441" s="1" t="n">
        <v>46263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46263</v>
      </c>
      <c r="F442" t="inlineStr">
        <is>
          <t>VÄSTERBOTTENS LÄN</t>
        </is>
      </c>
      <c r="G442" t="inlineStr">
        <is>
          <t>NORDMALING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46139</v>
      </c>
      <c r="E443" s="1" t="n">
        <v>46263</v>
      </c>
      <c r="F443" t="inlineStr">
        <is>
          <t>VÄSTERBOTTENS LÄN</t>
        </is>
      </c>
      <c r="G443" t="inlineStr">
        <is>
          <t>NORDMALING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39198-2022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44816</v>
      </c>
      <c r="E444" s="1" t="n">
        <v>46263</v>
      </c>
      <c r="F444" t="inlineStr">
        <is>
          <t>VÄSTERBOTTENS LÄN</t>
        </is>
      </c>
      <c r="G444" t="inlineStr">
        <is>
          <t>NORDMALING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58613-2022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44902</v>
      </c>
      <c r="E445" s="1" t="n">
        <v>46263</v>
      </c>
      <c r="F445" t="inlineStr">
        <is>
          <t>VÄSTERBOTTENS LÄN</t>
        </is>
      </c>
      <c r="G445" t="inlineStr">
        <is>
          <t>NORDMALING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46263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44938</v>
      </c>
      <c r="E447" s="1" t="n">
        <v>46263</v>
      </c>
      <c r="F447" t="inlineStr">
        <is>
          <t>VÄSTERBOTTENS LÄN</t>
        </is>
      </c>
      <c r="G447" t="inlineStr">
        <is>
          <t>NORDMALING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45736</v>
      </c>
      <c r="E448" s="1" t="n">
        <v>46263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46263</v>
      </c>
      <c r="F449" t="inlineStr">
        <is>
          <t>VÄSTERBOTTENS LÄN</t>
        </is>
      </c>
      <c r="G449" t="inlineStr">
        <is>
          <t>NORDMALING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54169-2024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45616</v>
      </c>
      <c r="E450" s="1" t="n">
        <v>46263</v>
      </c>
      <c r="F450" t="inlineStr">
        <is>
          <t>VÄSTERBOTTENS LÄN</t>
        </is>
      </c>
      <c r="G450" t="inlineStr">
        <is>
          <t>NORDMALING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45167</v>
      </c>
      <c r="E451" s="1" t="n">
        <v>46263</v>
      </c>
      <c r="F451" t="inlineStr">
        <is>
          <t>VÄSTERBOTTENS LÄN</t>
        </is>
      </c>
      <c r="G451" t="inlineStr">
        <is>
          <t>NORDMALING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8103-2025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45707</v>
      </c>
      <c r="E452" s="1" t="n">
        <v>46263</v>
      </c>
      <c r="F452" t="inlineStr">
        <is>
          <t>VÄSTERBOTTENS LÄN</t>
        </is>
      </c>
      <c r="G452" t="inlineStr">
        <is>
          <t>NORDMALING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45505</v>
      </c>
      <c r="E453" s="1" t="n">
        <v>46263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45536</v>
      </c>
      <c r="E454" s="1" t="n">
        <v>46263</v>
      </c>
      <c r="F454" t="inlineStr">
        <is>
          <t>VÄSTERBOTTENS LÄN</t>
        </is>
      </c>
      <c r="G454" t="inlineStr">
        <is>
          <t>NORDMALING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44922</v>
      </c>
      <c r="E455" s="1" t="n">
        <v>46263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45433</v>
      </c>
      <c r="E456" s="1" t="n">
        <v>46263</v>
      </c>
      <c r="F456" t="inlineStr">
        <is>
          <t>VÄSTERBOTTENS LÄN</t>
        </is>
      </c>
      <c r="G456" t="inlineStr">
        <is>
          <t>NORDMALING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46263</v>
      </c>
      <c r="F457" t="inlineStr">
        <is>
          <t>VÄSTERBOTTENS LÄN</t>
        </is>
      </c>
      <c r="G457" t="inlineStr">
        <is>
          <t>NORDMALING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45775</v>
      </c>
      <c r="E458" s="1" t="n">
        <v>46263</v>
      </c>
      <c r="F458" t="inlineStr">
        <is>
          <t>VÄSTERBOTTENS LÄN</t>
        </is>
      </c>
      <c r="G458" t="inlineStr">
        <is>
          <t>NORDMALING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46263</v>
      </c>
      <c r="F459" t="inlineStr">
        <is>
          <t>VÄSTERBOTTENS LÄN</t>
        </is>
      </c>
      <c r="G459" t="inlineStr">
        <is>
          <t>NORDMALING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61657-2022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44916</v>
      </c>
      <c r="E460" s="1" t="n">
        <v>46263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46263</v>
      </c>
      <c r="F461" t="inlineStr">
        <is>
          <t>VÄSTERBOTTENS LÄN</t>
        </is>
      </c>
      <c r="G461" t="inlineStr">
        <is>
          <t>NORDMALING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46263</v>
      </c>
      <c r="F462" t="inlineStr">
        <is>
          <t>VÄSTERBOTTENS LÄN</t>
        </is>
      </c>
      <c r="G462" t="inlineStr">
        <is>
          <t>NORDMALING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44949</v>
      </c>
      <c r="E463" s="1" t="n">
        <v>46263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44816</v>
      </c>
      <c r="E464" s="1" t="n">
        <v>46263</v>
      </c>
      <c r="F464" t="inlineStr">
        <is>
          <t>VÄSTERBOTTENS LÄN</t>
        </is>
      </c>
      <c r="G464" t="inlineStr">
        <is>
          <t>NORDMALING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21607-2022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44706</v>
      </c>
      <c r="E465" s="1" t="n">
        <v>46263</v>
      </c>
      <c r="F465" t="inlineStr">
        <is>
          <t>VÄSTERBOTTENS LÄN</t>
        </is>
      </c>
      <c r="G465" t="inlineStr">
        <is>
          <t>NORDMALING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45247</v>
      </c>
      <c r="E466" s="1" t="n">
        <v>46263</v>
      </c>
      <c r="F466" t="inlineStr">
        <is>
          <t>VÄSTERBOTTENS LÄN</t>
        </is>
      </c>
      <c r="G466" t="inlineStr">
        <is>
          <t>NORDMALING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46263</v>
      </c>
      <c r="F467" t="inlineStr">
        <is>
          <t>VÄSTERBOTTENS LÄN</t>
        </is>
      </c>
      <c r="G467" t="inlineStr">
        <is>
          <t>NORDMALING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45348</v>
      </c>
      <c r="E468" s="1" t="n">
        <v>46263</v>
      </c>
      <c r="F468" t="inlineStr">
        <is>
          <t>VÄSTERBOTTENS LÄN</t>
        </is>
      </c>
      <c r="G468" t="inlineStr">
        <is>
          <t>NORDMALING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7007-2024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45343</v>
      </c>
      <c r="E469" s="1" t="n">
        <v>46263</v>
      </c>
      <c r="F469" t="inlineStr">
        <is>
          <t>VÄSTERBOTTENS LÄN</t>
        </is>
      </c>
      <c r="G469" t="inlineStr">
        <is>
          <t>NORDMALING</t>
        </is>
      </c>
      <c r="H469" t="inlineStr">
        <is>
          <t>Kommuner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9860-2022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44620</v>
      </c>
      <c r="E470" s="1" t="n">
        <v>46263</v>
      </c>
      <c r="F470" t="inlineStr">
        <is>
          <t>VÄSTERBOTTENS LÄN</t>
        </is>
      </c>
      <c r="G470" t="inlineStr">
        <is>
          <t>NORDMALING</t>
        </is>
      </c>
      <c r="I470" t="n">
        <v>82.40000000000001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45034</v>
      </c>
      <c r="E471" s="1" t="n">
        <v>46263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21079-2024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46263</v>
      </c>
      <c r="F472" t="inlineStr">
        <is>
          <t>VÄSTERBOTTENS LÄN</t>
        </is>
      </c>
      <c r="G472" t="inlineStr">
        <is>
          <t>NORDMALING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53986-2022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44881</v>
      </c>
      <c r="E473" s="1" t="n">
        <v>46263</v>
      </c>
      <c r="F473" t="inlineStr">
        <is>
          <t>VÄSTERBOTTENS LÄN</t>
        </is>
      </c>
      <c r="G473" t="inlineStr">
        <is>
          <t>NORDMALING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45673</v>
      </c>
      <c r="E474" s="1" t="n">
        <v>46263</v>
      </c>
      <c r="F474" t="inlineStr">
        <is>
          <t>VÄSTERBOTTENS LÄN</t>
        </is>
      </c>
      <c r="G474" t="inlineStr">
        <is>
          <t>NORDMALING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26197-2022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44735</v>
      </c>
      <c r="E475" s="1" t="n">
        <v>46263</v>
      </c>
      <c r="F475" t="inlineStr">
        <is>
          <t>VÄSTERBOTTENS LÄN</t>
        </is>
      </c>
      <c r="G475" t="inlineStr">
        <is>
          <t>NORDMALING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45961</v>
      </c>
      <c r="E476" s="1" t="n">
        <v>46263</v>
      </c>
      <c r="F476" t="inlineStr">
        <is>
          <t>VÄSTERBOTTENS LÄN</t>
        </is>
      </c>
      <c r="G476" t="inlineStr">
        <is>
          <t>NORDMALING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46263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45890</v>
      </c>
      <c r="E478" s="1" t="n">
        <v>46263</v>
      </c>
      <c r="F478" t="inlineStr">
        <is>
          <t>VÄSTERBOTTENS LÄN</t>
        </is>
      </c>
      <c r="G478" t="inlineStr">
        <is>
          <t>NORDMALING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49417-2022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46263</v>
      </c>
      <c r="F479" t="inlineStr">
        <is>
          <t>VÄSTERBOTTENS LÄN</t>
        </is>
      </c>
      <c r="G479" t="inlineStr">
        <is>
          <t>NORDMALING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14689-2025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45742</v>
      </c>
      <c r="E480" s="1" t="n">
        <v>46263</v>
      </c>
      <c r="F480" t="inlineStr">
        <is>
          <t>VÄSTERBOTTENS LÄN</t>
        </is>
      </c>
      <c r="G480" t="inlineStr">
        <is>
          <t>NORDMALING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45021</v>
      </c>
      <c r="E481" s="1" t="n">
        <v>46263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46263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45996</v>
      </c>
      <c r="E483" s="1" t="n">
        <v>46263</v>
      </c>
      <c r="F483" t="inlineStr">
        <is>
          <t>VÄSTERBOTTENS LÄN</t>
        </is>
      </c>
      <c r="G483" t="inlineStr">
        <is>
          <t>NORDMALING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46263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44888</v>
      </c>
      <c r="E485" s="1" t="n">
        <v>46263</v>
      </c>
      <c r="F485" t="inlineStr">
        <is>
          <t>VÄSTERBOTTENS LÄN</t>
        </is>
      </c>
      <c r="G485" t="inlineStr">
        <is>
          <t>NORDMALING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20721-2026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46263</v>
      </c>
      <c r="F486" t="inlineStr">
        <is>
          <t>VÄSTERBOTTENS LÄN</t>
        </is>
      </c>
      <c r="G486" t="inlineStr">
        <is>
          <t>NORDMALING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44972</v>
      </c>
      <c r="E487" s="1" t="n">
        <v>46263</v>
      </c>
      <c r="F487" t="inlineStr">
        <is>
          <t>VÄSTERBOTTENS LÄN</t>
        </is>
      </c>
      <c r="G487" t="inlineStr">
        <is>
          <t>NORDMALING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52149-2024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45608</v>
      </c>
      <c r="E488" s="1" t="n">
        <v>46263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46263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Holmen skog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20328-2024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45435</v>
      </c>
      <c r="E490" s="1" t="n">
        <v>46263</v>
      </c>
      <c r="F490" t="inlineStr">
        <is>
          <t>VÄSTERBOTTENS LÄN</t>
        </is>
      </c>
      <c r="G490" t="inlineStr">
        <is>
          <t>NORDMALING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45407</v>
      </c>
      <c r="E491" s="1" t="n">
        <v>46263</v>
      </c>
      <c r="F491" t="inlineStr">
        <is>
          <t>VÄSTERBOTTENS LÄN</t>
        </is>
      </c>
      <c r="G491" t="inlineStr">
        <is>
          <t>NORDMALING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45754</v>
      </c>
      <c r="E492" s="1" t="n">
        <v>46263</v>
      </c>
      <c r="F492" t="inlineStr">
        <is>
          <t>VÄSTERBOTTENS LÄN</t>
        </is>
      </c>
      <c r="G492" t="inlineStr">
        <is>
          <t>NORDMALING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44387-2023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46263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SCA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33343-2022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44788</v>
      </c>
      <c r="E494" s="1" t="n">
        <v>46263</v>
      </c>
      <c r="F494" t="inlineStr">
        <is>
          <t>VÄSTERBOTTENS LÄN</t>
        </is>
      </c>
      <c r="G494" t="inlineStr">
        <is>
          <t>NORDMALING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51824-2024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46263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44968</v>
      </c>
      <c r="E496" s="1" t="n">
        <v>46263</v>
      </c>
      <c r="F496" t="inlineStr">
        <is>
          <t>VÄSTERBOTTENS LÄN</t>
        </is>
      </c>
      <c r="G496" t="inlineStr">
        <is>
          <t>NORDMALING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46263</v>
      </c>
      <c r="F497" t="inlineStr">
        <is>
          <t>VÄSTERBOTTENS LÄN</t>
        </is>
      </c>
      <c r="G497" t="inlineStr">
        <is>
          <t>NORDMALING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24850-2023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45078</v>
      </c>
      <c r="E498" s="1" t="n">
        <v>46263</v>
      </c>
      <c r="F498" t="inlineStr">
        <is>
          <t>VÄSTERBOTTENS LÄN</t>
        </is>
      </c>
      <c r="G498" t="inlineStr">
        <is>
          <t>NORDMALING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45665</v>
      </c>
      <c r="E499" s="1" t="n">
        <v>46263</v>
      </c>
      <c r="F499" t="inlineStr">
        <is>
          <t>VÄSTERBOTTENS LÄN</t>
        </is>
      </c>
      <c r="G499" t="inlineStr">
        <is>
          <t>NORDMALING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45676</v>
      </c>
      <c r="E500" s="1" t="n">
        <v>46263</v>
      </c>
      <c r="F500" t="inlineStr">
        <is>
          <t>VÄSTERBOTTENS LÄN</t>
        </is>
      </c>
      <c r="G500" t="inlineStr">
        <is>
          <t>NORDMALING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46151</v>
      </c>
      <c r="E501" s="1" t="n">
        <v>46263</v>
      </c>
      <c r="F501" t="inlineStr">
        <is>
          <t>VÄSTERBOTTENS LÄN</t>
        </is>
      </c>
      <c r="G501" t="inlineStr">
        <is>
          <t>NORDMALING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45713</v>
      </c>
      <c r="E502" s="1" t="n">
        <v>46263</v>
      </c>
      <c r="F502" t="inlineStr">
        <is>
          <t>VÄSTERBOTTENS LÄN</t>
        </is>
      </c>
      <c r="G502" t="inlineStr">
        <is>
          <t>NORDMALING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45264</v>
      </c>
      <c r="E503" s="1" t="n">
        <v>46263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Sveaskog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46151</v>
      </c>
      <c r="E504" s="1" t="n">
        <v>46263</v>
      </c>
      <c r="F504" t="inlineStr">
        <is>
          <t>VÄSTERBOTTENS LÄN</t>
        </is>
      </c>
      <c r="G504" t="inlineStr">
        <is>
          <t>NORDMALING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56277-2023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45241</v>
      </c>
      <c r="E505" s="1" t="n">
        <v>46263</v>
      </c>
      <c r="F505" t="inlineStr">
        <is>
          <t>VÄSTERBOTTENS LÄN</t>
        </is>
      </c>
      <c r="G505" t="inlineStr">
        <is>
          <t>NORDMALING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43491-2024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45568</v>
      </c>
      <c r="E506" s="1" t="n">
        <v>46263</v>
      </c>
      <c r="F506" t="inlineStr">
        <is>
          <t>VÄSTERBOTTENS LÄN</t>
        </is>
      </c>
      <c r="G506" t="inlineStr">
        <is>
          <t>NORDMALING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45568</v>
      </c>
      <c r="E507" s="1" t="n">
        <v>46263</v>
      </c>
      <c r="F507" t="inlineStr">
        <is>
          <t>VÄSTERBOTTENS LÄN</t>
        </is>
      </c>
      <c r="G507" t="inlineStr">
        <is>
          <t>NORDMALING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46263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46263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502-2025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45664</v>
      </c>
      <c r="E510" s="1" t="n">
        <v>46263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45429</v>
      </c>
      <c r="E511" s="1" t="n">
        <v>46263</v>
      </c>
      <c r="F511" t="inlineStr">
        <is>
          <t>VÄSTERBOTTENS LÄN</t>
        </is>
      </c>
      <c r="G511" t="inlineStr">
        <is>
          <t>NORDMALING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19038-2025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46263</v>
      </c>
      <c r="F512" t="inlineStr">
        <is>
          <t>VÄSTERBOTTENS LÄN</t>
        </is>
      </c>
      <c r="G512" t="inlineStr">
        <is>
          <t>NORDMALING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48932-2023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46263</v>
      </c>
      <c r="F513" t="inlineStr">
        <is>
          <t>VÄSTERBOTTENS LÄN</t>
        </is>
      </c>
      <c r="G513" t="inlineStr">
        <is>
          <t>NORDMALING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23005-2026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46160</v>
      </c>
      <c r="E514" s="1" t="n">
        <v>46263</v>
      </c>
      <c r="F514" t="inlineStr">
        <is>
          <t>VÄSTERBOTTENS LÄN</t>
        </is>
      </c>
      <c r="G514" t="inlineStr">
        <is>
          <t>NORDMALING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46263</v>
      </c>
      <c r="F515" t="inlineStr">
        <is>
          <t>VÄSTERBOTTENS LÄN</t>
        </is>
      </c>
      <c r="G515" t="inlineStr">
        <is>
          <t>NORDMALING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46263</v>
      </c>
      <c r="F516" t="inlineStr">
        <is>
          <t>VÄSTERBOTTENS LÄN</t>
        </is>
      </c>
      <c r="G516" t="inlineStr">
        <is>
          <t>NORDMALING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46263</v>
      </c>
      <c r="F517" t="inlineStr">
        <is>
          <t>VÄSTERBOTTENS LÄN</t>
        </is>
      </c>
      <c r="G517" t="inlineStr">
        <is>
          <t>NORDMALING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23017-2026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46161</v>
      </c>
      <c r="E518" s="1" t="n">
        <v>46263</v>
      </c>
      <c r="F518" t="inlineStr">
        <is>
          <t>VÄSTERBOTTENS LÄN</t>
        </is>
      </c>
      <c r="G518" t="inlineStr">
        <is>
          <t>NORDMALING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46161</v>
      </c>
      <c r="E519" s="1" t="n">
        <v>46263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46161</v>
      </c>
      <c r="E520" s="1" t="n">
        <v>46263</v>
      </c>
      <c r="F520" t="inlineStr">
        <is>
          <t>VÄSTERBOTTENS LÄN</t>
        </is>
      </c>
      <c r="G520" t="inlineStr">
        <is>
          <t>NORDMALING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46263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45691</v>
      </c>
      <c r="E522" s="1" t="n">
        <v>46263</v>
      </c>
      <c r="F522" t="inlineStr">
        <is>
          <t>VÄSTERBOTTENS LÄN</t>
        </is>
      </c>
      <c r="G522" t="inlineStr">
        <is>
          <t>NORDMALING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46263</v>
      </c>
      <c r="F523" t="inlineStr">
        <is>
          <t>VÄSTERBOTTENS LÄN</t>
        </is>
      </c>
      <c r="G523" t="inlineStr">
        <is>
          <t>NORDMALING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25214-2026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46263</v>
      </c>
      <c r="F524" t="inlineStr">
        <is>
          <t>VÄSTERBOTTENS LÄN</t>
        </is>
      </c>
      <c r="G524" t="inlineStr">
        <is>
          <t>NORDMALING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46263</v>
      </c>
      <c r="F525" t="inlineStr">
        <is>
          <t>VÄSTERBOTTENS LÄN</t>
        </is>
      </c>
      <c r="G525" t="inlineStr">
        <is>
          <t>NORDMALING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46263</v>
      </c>
      <c r="F526" t="inlineStr">
        <is>
          <t>VÄSTERBOTTENS LÄN</t>
        </is>
      </c>
      <c r="G526" t="inlineStr">
        <is>
          <t>NORDMALING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46263</v>
      </c>
      <c r="F527" t="inlineStr">
        <is>
          <t>VÄSTERBOTTENS LÄN</t>
        </is>
      </c>
      <c r="G527" t="inlineStr">
        <is>
          <t>NORDMALING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46263</v>
      </c>
      <c r="F528" t="inlineStr">
        <is>
          <t>VÄSTERBOTTENS LÄN</t>
        </is>
      </c>
      <c r="G528" t="inlineStr">
        <is>
          <t>NORDMALING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46263</v>
      </c>
      <c r="F529" t="inlineStr">
        <is>
          <t>VÄSTERBOTTENS LÄN</t>
        </is>
      </c>
      <c r="G529" t="inlineStr">
        <is>
          <t>NORDMALING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46263</v>
      </c>
      <c r="F530" t="inlineStr">
        <is>
          <t>VÄSTERBOTTENS LÄN</t>
        </is>
      </c>
      <c r="G530" t="inlineStr">
        <is>
          <t>NORDMALING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26796-2026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46185</v>
      </c>
      <c r="E531" s="1" t="n">
        <v>46263</v>
      </c>
      <c r="F531" t="inlineStr">
        <is>
          <t>VÄSTERBOTTENS LÄN</t>
        </is>
      </c>
      <c r="G531" t="inlineStr">
        <is>
          <t>NORDMALING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46263</v>
      </c>
      <c r="F532" t="inlineStr">
        <is>
          <t>VÄSTERBOTTENS LÄN</t>
        </is>
      </c>
      <c r="G532" t="inlineStr">
        <is>
          <t>NORDMALING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45326-2025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46263</v>
      </c>
      <c r="F533" t="inlineStr">
        <is>
          <t>VÄSTERBOTTENS LÄN</t>
        </is>
      </c>
      <c r="G533" t="inlineStr">
        <is>
          <t>NORDMALING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27964-2026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46263</v>
      </c>
      <c r="F534" t="inlineStr">
        <is>
          <t>VÄSTERBOTTENS LÄN</t>
        </is>
      </c>
      <c r="G534" t="inlineStr">
        <is>
          <t>NORDMALING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46263</v>
      </c>
      <c r="F535" t="inlineStr">
        <is>
          <t>VÄSTERBOTTENS LÄN</t>
        </is>
      </c>
      <c r="G535" t="inlineStr">
        <is>
          <t>NORDMALING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46263</v>
      </c>
      <c r="F536" t="inlineStr">
        <is>
          <t>VÄSTERBOTTENS LÄN</t>
        </is>
      </c>
      <c r="G536" t="inlineStr">
        <is>
          <t>NORDMALING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46239</v>
      </c>
      <c r="E537" s="1" t="n">
        <v>46263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Kyrkan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46263</v>
      </c>
      <c r="F538" t="inlineStr">
        <is>
          <t>VÄSTERBOTTENS LÄN</t>
        </is>
      </c>
      <c r="G538" t="inlineStr">
        <is>
          <t>NORDMALING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46239</v>
      </c>
      <c r="E539" s="1" t="n">
        <v>46263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Kyrkan</t>
        </is>
      </c>
      <c r="I539" t="n">
        <v>9.699999999999999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46263</v>
      </c>
      <c r="F540" t="inlineStr">
        <is>
          <t>VÄSTERBOTTENS LÄN</t>
        </is>
      </c>
      <c r="G540" t="inlineStr">
        <is>
          <t>NORDMALING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46263</v>
      </c>
      <c r="F541" t="inlineStr">
        <is>
          <t>VÄSTERBOTTENS LÄN</t>
        </is>
      </c>
      <c r="G541" t="inlineStr">
        <is>
          <t>NORDMALING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46263</v>
      </c>
      <c r="F542" t="inlineStr">
        <is>
          <t>VÄSTERBOTTENS LÄN</t>
        </is>
      </c>
      <c r="G542" t="inlineStr">
        <is>
          <t>NORDMALING</t>
        </is>
      </c>
      <c r="I542" t="n">
        <v>6.1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46263</v>
      </c>
      <c r="F543" t="inlineStr">
        <is>
          <t>VÄSTERBOTTENS LÄN</t>
        </is>
      </c>
      <c r="G543" t="inlineStr">
        <is>
          <t>NORDMALING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46263</v>
      </c>
      <c r="F544" t="inlineStr">
        <is>
          <t>VÄSTERBOTTENS LÄN</t>
        </is>
      </c>
      <c r="G544" t="inlineStr">
        <is>
          <t>NORDMALING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46263</v>
      </c>
      <c r="F545" t="inlineStr">
        <is>
          <t>VÄSTERBOTTENS LÄN</t>
        </is>
      </c>
      <c r="G545" t="inlineStr">
        <is>
          <t>NORDMALING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32983-2026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46263</v>
      </c>
      <c r="F546" t="inlineStr">
        <is>
          <t>VÄSTERBOTTENS LÄN</t>
        </is>
      </c>
      <c r="G546" t="inlineStr">
        <is>
          <t>NORDMALING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46263</v>
      </c>
      <c r="F547" t="inlineStr">
        <is>
          <t>VÄSTERBOTTENS LÄN</t>
        </is>
      </c>
      <c r="G547" t="inlineStr">
        <is>
          <t>NORDMALING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46263</v>
      </c>
      <c r="F548" t="inlineStr">
        <is>
          <t>VÄSTERBOTTENS LÄN</t>
        </is>
      </c>
      <c r="G548" t="inlineStr">
        <is>
          <t>NORDMALING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46263</v>
      </c>
      <c r="F549" t="inlineStr">
        <is>
          <t>VÄSTERBOTTENS LÄN</t>
        </is>
      </c>
      <c r="G549" t="inlineStr">
        <is>
          <t>NORDMALING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46263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46263</v>
      </c>
      <c r="F551" t="inlineStr">
        <is>
          <t>VÄSTERBOTTENS LÄN</t>
        </is>
      </c>
      <c r="G551" t="inlineStr">
        <is>
          <t>NORDMALING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46263</v>
      </c>
      <c r="F552" t="inlineStr">
        <is>
          <t>VÄSTERBOTTENS LÄN</t>
        </is>
      </c>
      <c r="G552" t="inlineStr">
        <is>
          <t>NORDMALING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46263</v>
      </c>
      <c r="F553" t="inlineStr">
        <is>
          <t>VÄSTERBOTTENS LÄN</t>
        </is>
      </c>
      <c r="G553" t="inlineStr">
        <is>
          <t>NORDMALING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46263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46263</v>
      </c>
      <c r="F555" t="inlineStr">
        <is>
          <t>VÄSTERBOTTENS LÄN</t>
        </is>
      </c>
      <c r="G555" t="inlineStr">
        <is>
          <t>NORDMALING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46263</v>
      </c>
      <c r="F556" t="inlineStr">
        <is>
          <t>VÄSTERBOTTENS LÄN</t>
        </is>
      </c>
      <c r="G556" t="inlineStr">
        <is>
          <t>NORDMALING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46263</v>
      </c>
      <c r="F557" t="inlineStr">
        <is>
          <t>VÄSTERBOTTENS LÄN</t>
        </is>
      </c>
      <c r="G557" t="inlineStr">
        <is>
          <t>NORDMALING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46263</v>
      </c>
      <c r="F558" t="inlineStr">
        <is>
          <t>VÄSTERBOTTENS LÄN</t>
        </is>
      </c>
      <c r="G558" t="inlineStr">
        <is>
          <t>NORDMALING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46263</v>
      </c>
      <c r="F559" t="inlineStr">
        <is>
          <t>VÄSTERBOTTENS LÄN</t>
        </is>
      </c>
      <c r="G559" t="inlineStr">
        <is>
          <t>NORDMALING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33167-2026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46263</v>
      </c>
      <c r="F560" t="inlineStr">
        <is>
          <t>VÄSTERBOTTENS LÄN</t>
        </is>
      </c>
      <c r="G560" t="inlineStr">
        <is>
          <t>NORDMALING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46263</v>
      </c>
      <c r="F561" t="inlineStr">
        <is>
          <t>VÄSTERBOTTENS LÄN</t>
        </is>
      </c>
      <c r="G561" t="inlineStr">
        <is>
          <t>NORDMALING</t>
        </is>
      </c>
      <c r="I561" t="n">
        <v>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46263</v>
      </c>
      <c r="F562" t="inlineStr">
        <is>
          <t>VÄSTERBOTTENS LÄN</t>
        </is>
      </c>
      <c r="G562" t="inlineStr">
        <is>
          <t>NORDMALING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46263</v>
      </c>
      <c r="F563" t="inlineStr">
        <is>
          <t>VÄSTERBOTTENS LÄN</t>
        </is>
      </c>
      <c r="G563" t="inlineStr">
        <is>
          <t>NORDMALING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46263</v>
      </c>
      <c r="F564" t="inlineStr">
        <is>
          <t>VÄSTERBOTTENS LÄN</t>
        </is>
      </c>
      <c r="G564" t="inlineStr">
        <is>
          <t>NORDMALING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46263</v>
      </c>
      <c r="F565" t="inlineStr">
        <is>
          <t>VÄSTERBOTTENS LÄN</t>
        </is>
      </c>
      <c r="G565" t="inlineStr">
        <is>
          <t>NORDMALING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46263</v>
      </c>
      <c r="F566" t="inlineStr">
        <is>
          <t>VÄSTERBOTTENS LÄN</t>
        </is>
      </c>
      <c r="G566" t="inlineStr">
        <is>
          <t>NORDMALING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46245</v>
      </c>
      <c r="E567" s="1" t="n">
        <v>46263</v>
      </c>
      <c r="F567" t="inlineStr">
        <is>
          <t>VÄSTERBOTTENS LÄN</t>
        </is>
      </c>
      <c r="G567" t="inlineStr">
        <is>
          <t>NORDMALING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46263</v>
      </c>
      <c r="F568" t="inlineStr">
        <is>
          <t>VÄSTERBOTTENS LÄN</t>
        </is>
      </c>
      <c r="G568" t="inlineStr">
        <is>
          <t>NORDMALING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46263</v>
      </c>
      <c r="F569" t="inlineStr">
        <is>
          <t>VÄSTERBOTTENS LÄN</t>
        </is>
      </c>
      <c r="G569" t="inlineStr">
        <is>
          <t>NORDMALING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46263</v>
      </c>
      <c r="F570" t="inlineStr">
        <is>
          <t>VÄSTERBOTTENS LÄN</t>
        </is>
      </c>
      <c r="G570" t="inlineStr">
        <is>
          <t>NORDMALING</t>
        </is>
      </c>
      <c r="I570" t="n">
        <v>8.1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30943-2026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46263</v>
      </c>
      <c r="F571" t="inlineStr">
        <is>
          <t>VÄSTERBOTTENS LÄN</t>
        </is>
      </c>
      <c r="G571" t="inlineStr">
        <is>
          <t>NORDMALING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46263</v>
      </c>
      <c r="F572" t="inlineStr">
        <is>
          <t>VÄSTERBOTTENS LÄN</t>
        </is>
      </c>
      <c r="G572" t="inlineStr">
        <is>
          <t>NORDMALING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30938-2026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46263</v>
      </c>
      <c r="F573" t="inlineStr">
        <is>
          <t>VÄSTERBOTTENS LÄN</t>
        </is>
      </c>
      <c r="G573" t="inlineStr">
        <is>
          <t>NORDMALING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46263</v>
      </c>
      <c r="F574" t="inlineStr">
        <is>
          <t>VÄSTERBOTTENS LÄN</t>
        </is>
      </c>
      <c r="G574" t="inlineStr">
        <is>
          <t>NORDMALING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46253</v>
      </c>
      <c r="E575" s="1" t="n">
        <v>46263</v>
      </c>
      <c r="F575" t="inlineStr">
        <is>
          <t>VÄSTERBOTTENS LÄN</t>
        </is>
      </c>
      <c r="G575" t="inlineStr">
        <is>
          <t>NORDMALING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46253</v>
      </c>
      <c r="E576" s="1" t="n">
        <v>46263</v>
      </c>
      <c r="F576" t="inlineStr">
        <is>
          <t>VÄSTERBOTTENS LÄN</t>
        </is>
      </c>
      <c r="G576" t="inlineStr">
        <is>
          <t>NORDMALING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46263</v>
      </c>
      <c r="F577" t="inlineStr">
        <is>
          <t>VÄSTERBOTTENS LÄN</t>
        </is>
      </c>
      <c r="G577" t="inlineStr">
        <is>
          <t>NORDMALING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46263</v>
      </c>
      <c r="F578" t="inlineStr">
        <is>
          <t>VÄSTERBOTTENS LÄN</t>
        </is>
      </c>
      <c r="G578" t="inlineStr">
        <is>
          <t>NORDMALING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46263</v>
      </c>
      <c r="F579" t="inlineStr">
        <is>
          <t>VÄSTERBOTTENS LÄN</t>
        </is>
      </c>
      <c r="G579" t="inlineStr">
        <is>
          <t>NORDMALING</t>
        </is>
      </c>
      <c r="I579" t="n">
        <v>8.5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46263</v>
      </c>
      <c r="F580" t="inlineStr">
        <is>
          <t>VÄSTERBOTTENS LÄN</t>
        </is>
      </c>
      <c r="G580" t="inlineStr">
        <is>
          <t>NORDMALING</t>
        </is>
      </c>
      <c r="I580" t="n">
        <v>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46263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Kyrkan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46263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46263</v>
      </c>
      <c r="F583" t="inlineStr">
        <is>
          <t>VÄSTERBOTTENS LÄN</t>
        </is>
      </c>
      <c r="G583" t="inlineStr">
        <is>
          <t>NORDMALING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46263</v>
      </c>
      <c r="F584" t="inlineStr">
        <is>
          <t>VÄSTERBOTTENS LÄN</t>
        </is>
      </c>
      <c r="G584" t="inlineStr">
        <is>
          <t>NORDMALING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46263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46258</v>
      </c>
      <c r="E586" s="1" t="n">
        <v>46263</v>
      </c>
      <c r="F586" t="inlineStr">
        <is>
          <t>VÄSTERBOTTENS LÄN</t>
        </is>
      </c>
      <c r="G586" t="inlineStr">
        <is>
          <t>NORDMALING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46263</v>
      </c>
      <c r="F587" t="inlineStr">
        <is>
          <t>VÄSTERBOTTENS LÄN</t>
        </is>
      </c>
      <c r="G587" t="inlineStr">
        <is>
          <t>NORDMALING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46262</v>
      </c>
      <c r="E588" s="1" t="n">
        <v>46263</v>
      </c>
      <c r="F588" t="inlineStr">
        <is>
          <t>VÄSTERBOTTENS LÄN</t>
        </is>
      </c>
      <c r="G588" t="inlineStr">
        <is>
          <t>NORDMALING</t>
        </is>
      </c>
      <c r="H588" t="inlineStr">
        <is>
          <t>Kyrkan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46262</v>
      </c>
      <c r="E589" s="1" t="n">
        <v>46263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Kyrkan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830-2022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44603</v>
      </c>
      <c r="E590" s="1" t="n">
        <v>46263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183.1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44559</v>
      </c>
      <c r="E591" s="1" t="n">
        <v>46263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Holmen skog AB</t>
        </is>
      </c>
      <c r="I591" t="n">
        <v>18.8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3963-2024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45567</v>
      </c>
      <c r="E592" s="1" t="n">
        <v>46263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8278-2021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44489</v>
      </c>
      <c r="E593" s="1" t="n">
        <v>46263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73-2025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45667</v>
      </c>
      <c r="E594" s="1" t="n">
        <v>46263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9259-2021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44517</v>
      </c>
      <c r="E595" s="1" t="n">
        <v>46263</v>
      </c>
      <c r="F595" t="inlineStr">
        <is>
          <t>VÄSTERBOTTENS LÄN</t>
        </is>
      </c>
      <c r="G595" t="inlineStr">
        <is>
          <t>NORDMALING</t>
        </is>
      </c>
      <c r="I595" t="n">
        <v>17.8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4194-2023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45250</v>
      </c>
      <c r="E596" s="1" t="n">
        <v>46263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Holmen skog AB</t>
        </is>
      </c>
      <c r="I596" t="n">
        <v>27.6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5071-2024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45638</v>
      </c>
      <c r="E597" s="1" t="n">
        <v>46263</v>
      </c>
      <c r="F597" t="inlineStr">
        <is>
          <t>VÄSTERBOTTENS LÄN</t>
        </is>
      </c>
      <c r="G597" t="inlineStr">
        <is>
          <t>NORDMALING</t>
        </is>
      </c>
      <c r="I597" t="n">
        <v>19.9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1247-2025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45762</v>
      </c>
      <c r="E598" s="1" t="n">
        <v>46263</v>
      </c>
      <c r="F598" t="inlineStr">
        <is>
          <t>VÄSTERBOTTENS LÄN</t>
        </is>
      </c>
      <c r="G598" t="inlineStr">
        <is>
          <t>NORDMALING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1248-2025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46263</v>
      </c>
      <c r="F599" t="inlineStr">
        <is>
          <t>VÄSTERBOTTENS LÄN</t>
        </is>
      </c>
      <c r="G599" t="inlineStr">
        <is>
          <t>NORDMALING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440-2026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46070</v>
      </c>
      <c r="E600" s="1" t="n">
        <v>46263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73.59999999999999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443-2026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46263</v>
      </c>
      <c r="F601" t="inlineStr">
        <is>
          <t>VÄSTERBOTTENS LÄN</t>
        </is>
      </c>
      <c r="G601" t="inlineStr">
        <is>
          <t>NORDMALING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445-2026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46263</v>
      </c>
      <c r="F602" t="inlineStr">
        <is>
          <t>VÄSTERBOTTENS LÄN</t>
        </is>
      </c>
      <c r="G602" t="inlineStr">
        <is>
          <t>NORDMALING</t>
        </is>
      </c>
      <c r="I602" t="n">
        <v>13.4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444-2026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46263</v>
      </c>
      <c r="F603" t="inlineStr">
        <is>
          <t>VÄSTERBOTTENS LÄN</t>
        </is>
      </c>
      <c r="G603" t="inlineStr">
        <is>
          <t>NORDMALING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1170-2026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46135</v>
      </c>
      <c r="E604" s="1" t="n">
        <v>46263</v>
      </c>
      <c r="F604" t="inlineStr">
        <is>
          <t>VÄSTERBOTTENS LÄN</t>
        </is>
      </c>
      <c r="G604" t="inlineStr">
        <is>
          <t>NORDMALING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>
      <c r="A605" t="inlineStr">
        <is>
          <t>S 1299-2026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46148</v>
      </c>
      <c r="E605" s="1" t="n">
        <v>46263</v>
      </c>
      <c r="F605" t="inlineStr">
        <is>
          <t>VÄSTERBOTTENS LÄN</t>
        </is>
      </c>
      <c r="G605" t="inlineStr">
        <is>
          <t>NORDMALING</t>
        </is>
      </c>
      <c r="I605" t="n">
        <v>17.6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2026-08-29T01:51:36Z</dcterms:created>
  <dcterms:modified xmlns:dcterms="http://purl.org/dc/terms/" xmlns:xsi="http://www.w3.org/2001/XMLSchema-instance" xsi:type="dcterms:W3CDTF">2026-08-29T01:51:37Z</dcterms:modified>
</cp:coreProperties>
</file>