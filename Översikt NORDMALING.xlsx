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46284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46284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46284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46284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46284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46284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46284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46284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46284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46284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46284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46284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46284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46284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46284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46284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46284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46284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46284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46284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46284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46284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46284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46284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46284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46284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46284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46284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46284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46284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46284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46284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46284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46284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46284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46284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46284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46284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46284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46284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46284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46284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46284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46284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5595-2025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45693</v>
      </c>
      <c r="E46" s="1" t="n">
        <v>46284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HYPERLINK("https://klasma.github.io/Logging_2401/artfynd/A 5595-2025 artfynd.xlsx", "A 5595-2025")</f>
        <v/>
      </c>
      <c r="X46">
        <f>HYPERLINK("https://klasma.github.io/Logging_2401/kartor/A 5595-2025 karta.png", "A 5595-2025")</f>
        <v/>
      </c>
      <c r="Y46">
        <f>HYPERLINK("https://klasma.github.io/Logging_2401/kartor_geotiff/A 5595-2025 georefererad karta.tif", "A 5595-2025")</f>
        <v/>
      </c>
      <c r="AA46">
        <f>HYPERLINK("https://klasma.github.io/Logging_2401/klagomål/A 5595-2025 FSC-klagomål.docx", "A 5595-2025")</f>
        <v/>
      </c>
      <c r="AB46">
        <f>HYPERLINK("https://klasma.github.io/Logging_2401/klagomålsmail/A 5595-2025 FSC-klagomål mail.docx", "A 5595-2025")</f>
        <v/>
      </c>
      <c r="AC46">
        <f>HYPERLINK("https://klasma.github.io/Logging_2401/tillsyn/A 5595-2025 tillsynsbegäran.docx", "A 5595-2025")</f>
        <v/>
      </c>
      <c r="AD46">
        <f>HYPERLINK("https://klasma.github.io/Logging_2401/tillsynsmail/A 5595-2025 tillsynsbegäran mail.docx", "A 5595-2025")</f>
        <v/>
      </c>
      <c r="AE46">
        <f>HYPERLINK("https://klasma.github.io/Logging_2401/fåglar/A 5595-2025 prioriterade fågelarter.docx", "A 5595-2025")</f>
        <v/>
      </c>
    </row>
    <row r="47" ht="15" customHeight="1">
      <c r="A47" t="inlineStr">
        <is>
          <t>A 54893-2024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45618</v>
      </c>
      <c r="E47" s="1" t="n">
        <v>46284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Gammelgransskål</t>
        </is>
      </c>
      <c r="W47">
        <f>HYPERLINK("https://klasma.github.io/Logging_2401/artfynd/A 54893-2024 artfynd.xlsx", "A 54893-2024")</f>
        <v/>
      </c>
      <c r="X47">
        <f>HYPERLINK("https://klasma.github.io/Logging_2401/kartor/A 54893-2024 karta.png", "A 54893-2024")</f>
        <v/>
      </c>
      <c r="Y47">
        <f>HYPERLINK("https://klasma.github.io/Logging_2401/kartor_geotiff/A 54893-2024 georefererad karta.tif", "A 54893-2024")</f>
        <v/>
      </c>
      <c r="AA47">
        <f>HYPERLINK("https://klasma.github.io/Logging_2401/klagomål/A 54893-2024 FSC-klagomål.docx", "A 54893-2024")</f>
        <v/>
      </c>
      <c r="AB47">
        <f>HYPERLINK("https://klasma.github.io/Logging_2401/klagomålsmail/A 54893-2024 FSC-klagomål mail.docx", "A 54893-2024")</f>
        <v/>
      </c>
      <c r="AC47">
        <f>HYPERLINK("https://klasma.github.io/Logging_2401/tillsyn/A 54893-2024 tillsynsbegäran.docx", "A 54893-2024")</f>
        <v/>
      </c>
      <c r="AD47">
        <f>HYPERLINK("https://klasma.github.io/Logging_2401/tillsynsmail/A 54893-2024 tillsynsbegäran mail.docx", "A 54893-2024")</f>
        <v/>
      </c>
    </row>
    <row r="48" ht="15" customHeight="1">
      <c r="A48" t="inlineStr">
        <is>
          <t>A 33496-2022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46284</v>
      </c>
      <c r="F48" t="inlineStr">
        <is>
          <t>VÄSTERBOTTENS LÄN</t>
        </is>
      </c>
      <c r="G48" t="inlineStr">
        <is>
          <t>NORDMALING</t>
        </is>
      </c>
      <c r="I48" t="n">
        <v>6.5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Buskskvätta</t>
        </is>
      </c>
      <c r="W48">
        <f>HYPERLINK("https://klasma.github.io/Logging_2401/artfynd/A 33496-2022 artfynd.xlsx", "A 33496-2022")</f>
        <v/>
      </c>
      <c r="X48">
        <f>HYPERLINK("https://klasma.github.io/Logging_2401/kartor/A 33496-2022 karta.png", "A 33496-2022")</f>
        <v/>
      </c>
      <c r="Y48">
        <f>HYPERLINK("https://klasma.github.io/Logging_2401/kartor_geotiff/A 33496-2022 georefererad karta.tif", "A 33496-2022")</f>
        <v/>
      </c>
      <c r="AA48">
        <f>HYPERLINK("https://klasma.github.io/Logging_2401/klagomål/A 33496-2022 FSC-klagomål.docx", "A 33496-2022")</f>
        <v/>
      </c>
      <c r="AB48">
        <f>HYPERLINK("https://klasma.github.io/Logging_2401/klagomålsmail/A 33496-2022 FSC-klagomål mail.docx", "A 33496-2022")</f>
        <v/>
      </c>
      <c r="AC48">
        <f>HYPERLINK("https://klasma.github.io/Logging_2401/tillsyn/A 33496-2022 tillsynsbegäran.docx", "A 33496-2022")</f>
        <v/>
      </c>
      <c r="AD48">
        <f>HYPERLINK("https://klasma.github.io/Logging_2401/tillsynsmail/A 33496-2022 tillsynsbegäran mail.docx", "A 33496-2022")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46284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46284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46284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39851-2023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46284</v>
      </c>
      <c r="F52" t="inlineStr">
        <is>
          <t>VÄSTERBOTTENS LÄN</t>
        </is>
      </c>
      <c r="G52" t="inlineStr">
        <is>
          <t>NORDMALING</t>
        </is>
      </c>
      <c r="I52" t="n">
        <v>2.2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39851-2023 artfynd.xlsx", "A 39851-2023")</f>
        <v/>
      </c>
      <c r="X52">
        <f>HYPERLINK("https://klasma.github.io/Logging_2401/kartor/A 39851-2023 karta.png", "A 39851-2023")</f>
        <v/>
      </c>
      <c r="Y52">
        <f>HYPERLINK("https://klasma.github.io/Logging_2401/kartor_geotiff/A 39851-2023 georefererad karta.tif", "A 39851-2023")</f>
        <v/>
      </c>
      <c r="AA52">
        <f>HYPERLINK("https://klasma.github.io/Logging_2401/klagomål/A 39851-2023 FSC-klagomål.docx", "A 39851-2023")</f>
        <v/>
      </c>
      <c r="AB52">
        <f>HYPERLINK("https://klasma.github.io/Logging_2401/klagomålsmail/A 39851-2023 FSC-klagomål mail.docx", "A 39851-2023")</f>
        <v/>
      </c>
      <c r="AC52">
        <f>HYPERLINK("https://klasma.github.io/Logging_2401/tillsyn/A 39851-2023 tillsynsbegäran.docx", "A 39851-2023")</f>
        <v/>
      </c>
      <c r="AD52">
        <f>HYPERLINK("https://klasma.github.io/Logging_2401/tillsynsmail/A 39851-2023 tillsynsbegäran mail.docx", "A 39851-2023")</f>
        <v/>
      </c>
      <c r="AE52">
        <f>HYPERLINK("https://klasma.github.io/Logging_2401/fåglar/A 39851-2023 prioriterade fågelarter.docx", "A 39851-2023")</f>
        <v/>
      </c>
    </row>
    <row r="53" ht="15" customHeight="1">
      <c r="A53" t="inlineStr">
        <is>
          <t>A 61149-2022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44908</v>
      </c>
      <c r="E53" s="1" t="n">
        <v>46284</v>
      </c>
      <c r="F53" t="inlineStr">
        <is>
          <t>VÄSTERBOTTENS LÄN</t>
        </is>
      </c>
      <c r="G53" t="inlineStr">
        <is>
          <t>NORDMALING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HYPERLINK("https://klasma.github.io/Logging_2401/artfynd/A 61149-2022 artfynd.xlsx", "A 61149-2022")</f>
        <v/>
      </c>
      <c r="X53">
        <f>HYPERLINK("https://klasma.github.io/Logging_2401/kartor/A 61149-2022 karta.png", "A 61149-2022")</f>
        <v/>
      </c>
      <c r="Y53">
        <f>HYPERLINK("https://klasma.github.io/Logging_2401/kartor_geotiff/A 61149-2022 georefererad karta.tif", "A 61149-2022")</f>
        <v/>
      </c>
      <c r="AA53">
        <f>HYPERLINK("https://klasma.github.io/Logging_2401/klagomål/A 61149-2022 FSC-klagomål.docx", "A 61149-2022")</f>
        <v/>
      </c>
      <c r="AB53">
        <f>HYPERLINK("https://klasma.github.io/Logging_2401/klagomålsmail/A 61149-2022 FSC-klagomål mail.docx", "A 61149-2022")</f>
        <v/>
      </c>
      <c r="AC53">
        <f>HYPERLINK("https://klasma.github.io/Logging_2401/tillsyn/A 61149-2022 tillsynsbegäran.docx", "A 61149-2022")</f>
        <v/>
      </c>
      <c r="AD53">
        <f>HYPERLINK("https://klasma.github.io/Logging_2401/tillsynsmail/A 61149-2022 tillsynsbegäran mail.docx", "A 61149-2022")</f>
        <v/>
      </c>
      <c r="AE53">
        <f>HYPERLINK("https://klasma.github.io/Logging_2401/fåglar/A 61149-2022 prioriterade fågelarter.docx", "A 61149-2022")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46284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61867-2024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45651</v>
      </c>
      <c r="E55" s="1" t="n">
        <v>46284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HYPERLINK("https://klasma.github.io/Logging_2401/artfynd/A 61867-2024 artfynd.xlsx", "A 61867-2024")</f>
        <v/>
      </c>
      <c r="X55">
        <f>HYPERLINK("https://klasma.github.io/Logging_2401/kartor/A 61867-2024 karta.png", "A 61867-2024")</f>
        <v/>
      </c>
      <c r="Y55">
        <f>HYPERLINK("https://klasma.github.io/Logging_2401/kartor_geotiff/A 61867-2024 georefererad karta.tif", "A 61867-2024")</f>
        <v/>
      </c>
      <c r="AA55">
        <f>HYPERLINK("https://klasma.github.io/Logging_2401/klagomål/A 61867-2024 FSC-klagomål.docx", "A 61867-2024")</f>
        <v/>
      </c>
      <c r="AB55">
        <f>HYPERLINK("https://klasma.github.io/Logging_2401/klagomålsmail/A 61867-2024 FSC-klagomål mail.docx", "A 61867-2024")</f>
        <v/>
      </c>
      <c r="AC55">
        <f>HYPERLINK("https://klasma.github.io/Logging_2401/tillsyn/A 61867-2024 tillsynsbegäran.docx", "A 61867-2024")</f>
        <v/>
      </c>
      <c r="AD55">
        <f>HYPERLINK("https://klasma.github.io/Logging_2401/tillsynsmail/A 61867-2024 tillsynsbegäran mail.docx", "A 61867-2024")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46284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46284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35292-2023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46284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Vedskivlav</t>
        </is>
      </c>
      <c r="W58">
        <f>HYPERLINK("https://klasma.github.io/Logging_2401/artfynd/A 35292-2023 artfynd.xlsx", "A 35292-2023")</f>
        <v/>
      </c>
      <c r="X58">
        <f>HYPERLINK("https://klasma.github.io/Logging_2401/kartor/A 35292-2023 karta.png", "A 35292-2023")</f>
        <v/>
      </c>
      <c r="Y58">
        <f>HYPERLINK("https://klasma.github.io/Logging_2401/kartor_geotiff/A 35292-2023 georefererad karta.tif", "A 35292-2023")</f>
        <v/>
      </c>
      <c r="AA58">
        <f>HYPERLINK("https://klasma.github.io/Logging_2401/klagomål/A 35292-2023 FSC-klagomål.docx", "A 35292-2023")</f>
        <v/>
      </c>
      <c r="AB58">
        <f>HYPERLINK("https://klasma.github.io/Logging_2401/klagomålsmail/A 35292-2023 FSC-klagomål mail.docx", "A 35292-2023")</f>
        <v/>
      </c>
      <c r="AC58">
        <f>HYPERLINK("https://klasma.github.io/Logging_2401/tillsyn/A 35292-2023 tillsynsbegäran.docx", "A 35292-2023")</f>
        <v/>
      </c>
      <c r="AD58">
        <f>HYPERLINK("https://klasma.github.io/Logging_2401/tillsynsmail/A 35292-2023 tillsynsbegäran mail.docx", "A 35292-2023")</f>
        <v/>
      </c>
    </row>
    <row r="59" ht="15" customHeight="1">
      <c r="A59" t="inlineStr">
        <is>
          <t>A 72873-2021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44547</v>
      </c>
      <c r="E59" s="1" t="n">
        <v>46284</v>
      </c>
      <c r="F59" t="inlineStr">
        <is>
          <t>VÄSTERBOTTENS LÄN</t>
        </is>
      </c>
      <c r="G59" t="inlineStr">
        <is>
          <t>NORDMALING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72873-2021 artfynd.xlsx", "A 72873-2021")</f>
        <v/>
      </c>
      <c r="X59">
        <f>HYPERLINK("https://klasma.github.io/Logging_2401/kartor/A 72873-2021 karta.png", "A 72873-2021")</f>
        <v/>
      </c>
      <c r="Y59">
        <f>HYPERLINK("https://klasma.github.io/Logging_2401/kartor_geotiff/A 72873-2021 georefererad karta.tif", "A 72873-2021")</f>
        <v/>
      </c>
      <c r="AA59">
        <f>HYPERLINK("https://klasma.github.io/Logging_2401/klagomål/A 72873-2021 FSC-klagomål.docx", "A 72873-2021")</f>
        <v/>
      </c>
      <c r="AB59">
        <f>HYPERLINK("https://klasma.github.io/Logging_2401/klagomålsmail/A 72873-2021 FSC-klagomål mail.docx", "A 72873-2021")</f>
        <v/>
      </c>
      <c r="AC59">
        <f>HYPERLINK("https://klasma.github.io/Logging_2401/tillsyn/A 72873-2021 tillsynsbegäran.docx", "A 72873-2021")</f>
        <v/>
      </c>
      <c r="AD59">
        <f>HYPERLINK("https://klasma.github.io/Logging_2401/tillsynsmail/A 72873-2021 tillsynsbegäran mail.docx", "A 72873-2021")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46284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S 9341-2021</t>
        </is>
      </c>
      <c r="B61" t="inlineStr">
        <is>
          <t>samrådsanmälan</t>
        </is>
      </c>
      <c r="C61" t="inlineStr">
        <is>
          <t>Skogsgödsling</t>
        </is>
      </c>
      <c r="D61" s="1" t="n">
        <v>44519</v>
      </c>
      <c r="E61" s="1" t="n">
        <v>46284</v>
      </c>
      <c r="F61" t="inlineStr">
        <is>
          <t>VÄSTERBOTTENS LÄN</t>
        </is>
      </c>
      <c r="G61" t="inlineStr">
        <is>
          <t>NORDMALING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Skrovlig taggsvamp</t>
        </is>
      </c>
      <c r="W61">
        <f>HYPERLINK("https://klasma.github.io/Logging_2401/artfynd/S 9341-2021 artfynd.xlsx", "S 9341-2021")</f>
        <v/>
      </c>
      <c r="X61">
        <f>HYPERLINK("https://klasma.github.io/Logging_2401/kartor/S 9341-2021 karta.png", "S 9341-2021")</f>
        <v/>
      </c>
      <c r="Y61">
        <f>HYPERLINK("https://klasma.github.io/Logging_2401/kartor_geotiff/S 9341-2021 georefererad karta.tif", "S 9341-2021")</f>
        <v/>
      </c>
      <c r="AA61">
        <f>HYPERLINK("https://klasma.github.io/Logging_2401/klagomål/S 9341-2021 FSC-klagomål.docx", "S 9341-2021")</f>
        <v/>
      </c>
      <c r="AB61">
        <f>HYPERLINK("https://klasma.github.io/Logging_2401/klagomålsmail/S 9341-2021 FSC-klagomål mail.docx", "S 9341-2021")</f>
        <v/>
      </c>
      <c r="AC61">
        <f>HYPERLINK("https://klasma.github.io/Logging_2401/tillsyn/S 9341-2021 tillsynsbegäran.docx", "S 9341-2021")</f>
        <v/>
      </c>
      <c r="AD61">
        <f>HYPERLINK("https://klasma.github.io/Logging_2401/tillsynsmail/S 9341-2021 tillsynsbegäran mail.docx", "S 9341-2021")</f>
        <v/>
      </c>
    </row>
    <row r="62" ht="15" customHeight="1">
      <c r="A62" t="inlineStr">
        <is>
          <t>S 1702-2026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46183</v>
      </c>
      <c r="E62" s="1" t="n">
        <v>46284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Igelkott</t>
        </is>
      </c>
      <c r="W62">
        <f>HYPERLINK("https://klasma.github.io/Logging_2401/artfynd/S 1702-2026 artfynd.xlsx", "S 1702-2026")</f>
        <v/>
      </c>
      <c r="X62">
        <f>HYPERLINK("https://klasma.github.io/Logging_2401/kartor/S 1702-2026 karta.png", "S 1702-2026")</f>
        <v/>
      </c>
      <c r="Y62">
        <f>HYPERLINK("https://klasma.github.io/Logging_2401/kartor_geotiff/S 1702-2026 georefererad karta.tif", "S 1702-2026")</f>
        <v/>
      </c>
      <c r="AA62">
        <f>HYPERLINK("https://klasma.github.io/Logging_2401/klagomål/S 1702-2026 FSC-klagomål.docx", "S 1702-2026")</f>
        <v/>
      </c>
      <c r="AB62">
        <f>HYPERLINK("https://klasma.github.io/Logging_2401/klagomålsmail/S 1702-2026 FSC-klagomål mail.docx", "S 1702-2026")</f>
        <v/>
      </c>
      <c r="AC62">
        <f>HYPERLINK("https://klasma.github.io/Logging_2401/tillsyn/S 1702-2026 tillsynsbegäran.docx", "S 1702-2026")</f>
        <v/>
      </c>
      <c r="AD62">
        <f>HYPERLINK("https://klasma.github.io/Logging_2401/tillsynsmail/S 1702-2026 tillsynsbegäran mail.docx", "S 1702-2026")</f>
        <v/>
      </c>
    </row>
    <row r="63" ht="15" customHeight="1">
      <c r="A63" t="inlineStr">
        <is>
          <t>A 48329-2022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46284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46284</v>
      </c>
      <c r="F64" t="inlineStr">
        <is>
          <t>VÄSTERBOTTENS LÄN</t>
        </is>
      </c>
      <c r="G64" t="inlineStr">
        <is>
          <t>NORDMALING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46284</v>
      </c>
      <c r="F65" t="inlineStr">
        <is>
          <t>VÄSTERBOTTENS LÄN</t>
        </is>
      </c>
      <c r="G65" t="inlineStr">
        <is>
          <t>NORDMALING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46284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46284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46284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46284</v>
      </c>
      <c r="F69" t="inlineStr">
        <is>
          <t>VÄSTERBOTTENS LÄN</t>
        </is>
      </c>
      <c r="G69" t="inlineStr">
        <is>
          <t>NORDMALING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46284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46284</v>
      </c>
      <c r="F71" t="inlineStr">
        <is>
          <t>VÄSTERBOTTENS LÄN</t>
        </is>
      </c>
      <c r="G71" t="inlineStr">
        <is>
          <t>NORDMALING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46284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46284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46284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44859</v>
      </c>
      <c r="E75" s="1" t="n">
        <v>46284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44744</v>
      </c>
      <c r="E76" s="1" t="n">
        <v>46284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44859</v>
      </c>
      <c r="E77" s="1" t="n">
        <v>46284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44859</v>
      </c>
      <c r="E78" s="1" t="n">
        <v>46284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46284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46284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44651</v>
      </c>
      <c r="E81" s="1" t="n">
        <v>46284</v>
      </c>
      <c r="F81" t="inlineStr">
        <is>
          <t>VÄSTERBOTTENS LÄN</t>
        </is>
      </c>
      <c r="G81" t="inlineStr">
        <is>
          <t>NORDMALING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46284</v>
      </c>
      <c r="F82" t="inlineStr">
        <is>
          <t>VÄSTERBOTTENS LÄN</t>
        </is>
      </c>
      <c r="G82" t="inlineStr">
        <is>
          <t>NORDMALING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46284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46284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46284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46284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46284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46284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46284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46284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46284</v>
      </c>
      <c r="F92" t="inlineStr">
        <is>
          <t>VÄSTERBOTTENS LÄN</t>
        </is>
      </c>
      <c r="G92" t="inlineStr">
        <is>
          <t>NORDMALING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44469</v>
      </c>
      <c r="E93" s="1" t="n">
        <v>46284</v>
      </c>
      <c r="F93" t="inlineStr">
        <is>
          <t>VÄSTERBOTTENS LÄN</t>
        </is>
      </c>
      <c r="G93" t="inlineStr">
        <is>
          <t>NORDMALING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46284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46284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46284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46284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46284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46284</v>
      </c>
      <c r="F99" t="inlineStr">
        <is>
          <t>VÄSTERBOTTENS LÄN</t>
        </is>
      </c>
      <c r="G99" t="inlineStr">
        <is>
          <t>NORDMALING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46284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46284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46284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46284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46284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46284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46284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46284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46284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46284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46284</v>
      </c>
      <c r="F110" t="inlineStr">
        <is>
          <t>VÄSTERBOTTENS LÄN</t>
        </is>
      </c>
      <c r="G110" t="inlineStr">
        <is>
          <t>NORDMALING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46284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46284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Holmen skog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46284</v>
      </c>
      <c r="F113" t="inlineStr">
        <is>
          <t>VÄSTERBOTTENS LÄN</t>
        </is>
      </c>
      <c r="G113" t="inlineStr">
        <is>
          <t>NORDMALING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46284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46284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46284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46284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46284</v>
      </c>
      <c r="F118" t="inlineStr">
        <is>
          <t>VÄSTERBOTTENS LÄN</t>
        </is>
      </c>
      <c r="G118" t="inlineStr">
        <is>
          <t>NORDMALING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45622</v>
      </c>
      <c r="E119" s="1" t="n">
        <v>46284</v>
      </c>
      <c r="F119" t="inlineStr">
        <is>
          <t>VÄSTERBOTTENS LÄN</t>
        </is>
      </c>
      <c r="G119" t="inlineStr">
        <is>
          <t>NORDMALING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46284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46284</v>
      </c>
      <c r="F121" t="inlineStr">
        <is>
          <t>VÄSTERBOTTENS LÄN</t>
        </is>
      </c>
      <c r="G121" t="inlineStr">
        <is>
          <t>NORDMALING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45469</v>
      </c>
      <c r="E122" s="1" t="n">
        <v>46284</v>
      </c>
      <c r="F122" t="inlineStr">
        <is>
          <t>VÄSTERBOTTENS LÄN</t>
        </is>
      </c>
      <c r="G122" t="inlineStr">
        <is>
          <t>NORDMALING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45343</v>
      </c>
      <c r="E123" s="1" t="n">
        <v>46284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Kommuner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30715-2022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44763</v>
      </c>
      <c r="E124" s="1" t="n">
        <v>46284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46284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46284</v>
      </c>
      <c r="F126" t="inlineStr">
        <is>
          <t>VÄSTERBOTTENS LÄN</t>
        </is>
      </c>
      <c r="G126" t="inlineStr">
        <is>
          <t>NORDMALING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46284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46284</v>
      </c>
      <c r="F128" t="inlineStr">
        <is>
          <t>VÄSTERBOTTENS LÄN</t>
        </is>
      </c>
      <c r="G128" t="inlineStr">
        <is>
          <t>NORDMALING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46284</v>
      </c>
      <c r="F129" t="inlineStr">
        <is>
          <t>VÄSTERBOTTENS LÄN</t>
        </is>
      </c>
      <c r="G129" t="inlineStr">
        <is>
          <t>NORDMALING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46284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45491</v>
      </c>
      <c r="E131" s="1" t="n">
        <v>46284</v>
      </c>
      <c r="F131" t="inlineStr">
        <is>
          <t>VÄSTERBOTTENS LÄN</t>
        </is>
      </c>
      <c r="G131" t="inlineStr">
        <is>
          <t>NORDMALING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46284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46284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46284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46284</v>
      </c>
      <c r="F135" t="inlineStr">
        <is>
          <t>VÄSTERBOTTENS LÄN</t>
        </is>
      </c>
      <c r="G135" t="inlineStr">
        <is>
          <t>NORDMALING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46284</v>
      </c>
      <c r="F136" t="inlineStr">
        <is>
          <t>VÄSTERBOTTENS LÄN</t>
        </is>
      </c>
      <c r="G136" t="inlineStr">
        <is>
          <t>NORDMALING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45245</v>
      </c>
      <c r="E137" s="1" t="n">
        <v>46284</v>
      </c>
      <c r="F137" t="inlineStr">
        <is>
          <t>VÄSTERBOTTENS LÄN</t>
        </is>
      </c>
      <c r="G137" t="inlineStr">
        <is>
          <t>NORDMALING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46284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46284</v>
      </c>
      <c r="F139" t="inlineStr">
        <is>
          <t>VÄSTERBOTTENS LÄN</t>
        </is>
      </c>
      <c r="G139" t="inlineStr">
        <is>
          <t>NORDMALING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45587</v>
      </c>
      <c r="E140" s="1" t="n">
        <v>46284</v>
      </c>
      <c r="F140" t="inlineStr">
        <is>
          <t>VÄSTERBOTTENS LÄN</t>
        </is>
      </c>
      <c r="G140" t="inlineStr">
        <is>
          <t>NORDMALING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46284</v>
      </c>
      <c r="F141" t="inlineStr">
        <is>
          <t>VÄSTERBOTTENS LÄN</t>
        </is>
      </c>
      <c r="G141" t="inlineStr">
        <is>
          <t>NORDMALING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46284</v>
      </c>
      <c r="F142" t="inlineStr">
        <is>
          <t>VÄSTERBOTTENS LÄN</t>
        </is>
      </c>
      <c r="G142" t="inlineStr">
        <is>
          <t>NORDMALING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46284</v>
      </c>
      <c r="F143" t="inlineStr">
        <is>
          <t>VÄSTERBOTTENS LÄN</t>
        </is>
      </c>
      <c r="G143" t="inlineStr">
        <is>
          <t>NORDMALING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46284</v>
      </c>
      <c r="F144" t="inlineStr">
        <is>
          <t>VÄSTERBOTTENS LÄN</t>
        </is>
      </c>
      <c r="G144" t="inlineStr">
        <is>
          <t>NORDMALING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44905</v>
      </c>
      <c r="E145" s="1" t="n">
        <v>46284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46284</v>
      </c>
      <c r="F146" t="inlineStr">
        <is>
          <t>VÄSTERBOTTENS LÄN</t>
        </is>
      </c>
      <c r="G146" t="inlineStr">
        <is>
          <t>NORDMALING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44916</v>
      </c>
      <c r="E147" s="1" t="n">
        <v>46284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44515</v>
      </c>
      <c r="E148" s="1" t="n">
        <v>46284</v>
      </c>
      <c r="F148" t="inlineStr">
        <is>
          <t>VÄSTERBOTTENS LÄN</t>
        </is>
      </c>
      <c r="G148" t="inlineStr">
        <is>
          <t>NORDMALING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46284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46284</v>
      </c>
      <c r="F150" t="inlineStr">
        <is>
          <t>VÄSTERBOTTENS LÄN</t>
        </is>
      </c>
      <c r="G150" t="inlineStr">
        <is>
          <t>NORDMALING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46284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46284</v>
      </c>
      <c r="F152" t="inlineStr">
        <is>
          <t>VÄSTERBOTTENS LÄN</t>
        </is>
      </c>
      <c r="G152" t="inlineStr">
        <is>
          <t>NORDMALING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46284</v>
      </c>
      <c r="F153" t="inlineStr">
        <is>
          <t>VÄSTERBOTTENS LÄN</t>
        </is>
      </c>
      <c r="G153" t="inlineStr">
        <is>
          <t>NORDMALING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46284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46284</v>
      </c>
      <c r="F155" t="inlineStr">
        <is>
          <t>VÄSTERBOTTENS LÄN</t>
        </is>
      </c>
      <c r="G155" t="inlineStr">
        <is>
          <t>NORDMALING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45173</v>
      </c>
      <c r="E156" s="1" t="n">
        <v>46284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46284</v>
      </c>
      <c r="F157" t="inlineStr">
        <is>
          <t>VÄSTERBOTTENS LÄN</t>
        </is>
      </c>
      <c r="G157" t="inlineStr">
        <is>
          <t>NORDMALING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44687</v>
      </c>
      <c r="E158" s="1" t="n">
        <v>46284</v>
      </c>
      <c r="F158" t="inlineStr">
        <is>
          <t>VÄSTERBOTTENS LÄN</t>
        </is>
      </c>
      <c r="G158" t="inlineStr">
        <is>
          <t>NORDMALING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46284</v>
      </c>
      <c r="F159" t="inlineStr">
        <is>
          <t>VÄSTERBOTTENS LÄN</t>
        </is>
      </c>
      <c r="G159" t="inlineStr">
        <is>
          <t>NORDMALING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46284</v>
      </c>
      <c r="F160" t="inlineStr">
        <is>
          <t>VÄSTERBOTTENS LÄN</t>
        </is>
      </c>
      <c r="G160" t="inlineStr">
        <is>
          <t>NORDMALING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46284</v>
      </c>
      <c r="F161" t="inlineStr">
        <is>
          <t>VÄSTERBOTTENS LÄN</t>
        </is>
      </c>
      <c r="G161" t="inlineStr">
        <is>
          <t>NORDMALING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45126</v>
      </c>
      <c r="E162" s="1" t="n">
        <v>46284</v>
      </c>
      <c r="F162" t="inlineStr">
        <is>
          <t>VÄSTERBOTTENS LÄN</t>
        </is>
      </c>
      <c r="G162" t="inlineStr">
        <is>
          <t>NORDMALING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72841-2021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44547</v>
      </c>
      <c r="E163" s="1" t="n">
        <v>46284</v>
      </c>
      <c r="F163" t="inlineStr">
        <is>
          <t>VÄSTERBOTTENS LÄN</t>
        </is>
      </c>
      <c r="G163" t="inlineStr">
        <is>
          <t>NORDMALING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45552</v>
      </c>
      <c r="E164" s="1" t="n">
        <v>46284</v>
      </c>
      <c r="F164" t="inlineStr">
        <is>
          <t>VÄSTERBOTTENS LÄN</t>
        </is>
      </c>
      <c r="G164" t="inlineStr">
        <is>
          <t>NORDMALING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46284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45770</v>
      </c>
      <c r="E166" s="1" t="n">
        <v>46284</v>
      </c>
      <c r="F166" t="inlineStr">
        <is>
          <t>VÄSTERBOTTENS LÄN</t>
        </is>
      </c>
      <c r="G166" t="inlineStr">
        <is>
          <t>NORDMALING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46284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72018-2021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44540</v>
      </c>
      <c r="E168" s="1" t="n">
        <v>46284</v>
      </c>
      <c r="F168" t="inlineStr">
        <is>
          <t>VÄSTERBOTTENS LÄN</t>
        </is>
      </c>
      <c r="G168" t="inlineStr">
        <is>
          <t>NORDMALING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46284</v>
      </c>
      <c r="F169" t="inlineStr">
        <is>
          <t>VÄSTERBOTTENS LÄN</t>
        </is>
      </c>
      <c r="G169" t="inlineStr">
        <is>
          <t>NORDMALING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46284</v>
      </c>
      <c r="F170" t="inlineStr">
        <is>
          <t>VÄSTERBOTTENS LÄN</t>
        </is>
      </c>
      <c r="G170" t="inlineStr">
        <is>
          <t>NORDMALING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46284</v>
      </c>
      <c r="F171" t="inlineStr">
        <is>
          <t>VÄSTERBOTTENS LÄN</t>
        </is>
      </c>
      <c r="G171" t="inlineStr">
        <is>
          <t>NORDMALING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46284</v>
      </c>
      <c r="F172" t="inlineStr">
        <is>
          <t>VÄSTERBOTTENS LÄN</t>
        </is>
      </c>
      <c r="G172" t="inlineStr">
        <is>
          <t>NORDMALING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46284</v>
      </c>
      <c r="F173" t="inlineStr">
        <is>
          <t>VÄSTERBOTTENS LÄN</t>
        </is>
      </c>
      <c r="G173" t="inlineStr">
        <is>
          <t>NORDMALING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46284</v>
      </c>
      <c r="F174" t="inlineStr">
        <is>
          <t>VÄSTERBOTTENS LÄN</t>
        </is>
      </c>
      <c r="G174" t="inlineStr">
        <is>
          <t>NORDMALING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46284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46284</v>
      </c>
      <c r="F176" t="inlineStr">
        <is>
          <t>VÄSTERBOTTENS LÄN</t>
        </is>
      </c>
      <c r="G176" t="inlineStr">
        <is>
          <t>NORDMALING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46284</v>
      </c>
      <c r="F177" t="inlineStr">
        <is>
          <t>VÄSTERBOTTENS LÄN</t>
        </is>
      </c>
      <c r="G177" t="inlineStr">
        <is>
          <t>NORDMALING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46284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45796</v>
      </c>
      <c r="E179" s="1" t="n">
        <v>46284</v>
      </c>
      <c r="F179" t="inlineStr">
        <is>
          <t>VÄSTERBOTTENS LÄN</t>
        </is>
      </c>
      <c r="G179" t="inlineStr">
        <is>
          <t>NORDMALING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46284</v>
      </c>
      <c r="F180" t="inlineStr">
        <is>
          <t>VÄSTERBOTTENS LÄN</t>
        </is>
      </c>
      <c r="G180" t="inlineStr">
        <is>
          <t>NORDMALING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46284</v>
      </c>
      <c r="F181" t="inlineStr">
        <is>
          <t>VÄSTERBOTTENS LÄN</t>
        </is>
      </c>
      <c r="G181" t="inlineStr">
        <is>
          <t>NORDMALING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46284</v>
      </c>
      <c r="F182" t="inlineStr">
        <is>
          <t>VÄSTERBOTTENS LÄN</t>
        </is>
      </c>
      <c r="G182" t="inlineStr">
        <is>
          <t>NORDMALING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46284</v>
      </c>
      <c r="F183" t="inlineStr">
        <is>
          <t>VÄSTERBOTTENS LÄN</t>
        </is>
      </c>
      <c r="G183" t="inlineStr">
        <is>
          <t>NORDMALING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46284</v>
      </c>
      <c r="F184" t="inlineStr">
        <is>
          <t>VÄSTERBOTTENS LÄN</t>
        </is>
      </c>
      <c r="G184" t="inlineStr">
        <is>
          <t>NORDMALING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46284</v>
      </c>
      <c r="F185" t="inlineStr">
        <is>
          <t>VÄSTERBOTTENS LÄN</t>
        </is>
      </c>
      <c r="G185" t="inlineStr">
        <is>
          <t>NORDMALING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46284</v>
      </c>
      <c r="F186" t="inlineStr">
        <is>
          <t>VÄSTERBOTTENS LÄN</t>
        </is>
      </c>
      <c r="G186" t="inlineStr">
        <is>
          <t>NORDMALING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46284</v>
      </c>
      <c r="F187" t="inlineStr">
        <is>
          <t>VÄSTERBOTTENS LÄN</t>
        </is>
      </c>
      <c r="G187" t="inlineStr">
        <is>
          <t>NORDMALING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44834</v>
      </c>
      <c r="E188" s="1" t="n">
        <v>46284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46284</v>
      </c>
      <c r="F189" t="inlineStr">
        <is>
          <t>VÄSTERBOTTENS LÄN</t>
        </is>
      </c>
      <c r="G189" t="inlineStr">
        <is>
          <t>NORDMALING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46284</v>
      </c>
      <c r="F190" t="inlineStr">
        <is>
          <t>VÄSTERBOTTENS LÄN</t>
        </is>
      </c>
      <c r="G190" t="inlineStr">
        <is>
          <t>NORDMALING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46284</v>
      </c>
      <c r="F191" t="inlineStr">
        <is>
          <t>VÄSTERBOTTENS LÄN</t>
        </is>
      </c>
      <c r="G191" t="inlineStr">
        <is>
          <t>NORDMALING</t>
        </is>
      </c>
      <c r="I191" t="n">
        <v>16.1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46284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45536</v>
      </c>
      <c r="E193" s="1" t="n">
        <v>46284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46284</v>
      </c>
      <c r="F194" t="inlineStr">
        <is>
          <t>VÄSTERBOTTENS LÄN</t>
        </is>
      </c>
      <c r="G194" t="inlineStr">
        <is>
          <t>NORDMALING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46284</v>
      </c>
      <c r="F195" t="inlineStr">
        <is>
          <t>VÄSTERBOTTENS LÄN</t>
        </is>
      </c>
      <c r="G195" t="inlineStr">
        <is>
          <t>NORDMALING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46284</v>
      </c>
      <c r="F196" t="inlineStr">
        <is>
          <t>VÄSTERBOTTENS LÄN</t>
        </is>
      </c>
      <c r="G196" t="inlineStr">
        <is>
          <t>NORDMALING</t>
        </is>
      </c>
      <c r="I196" t="n">
        <v>14.8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46284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46284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46284</v>
      </c>
      <c r="F199" t="inlineStr">
        <is>
          <t>VÄSTERBOTTENS LÄN</t>
        </is>
      </c>
      <c r="G199" t="inlineStr">
        <is>
          <t>NORDMALING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46284</v>
      </c>
      <c r="F200" t="inlineStr">
        <is>
          <t>VÄSTERBOTTENS LÄN</t>
        </is>
      </c>
      <c r="G200" t="inlineStr">
        <is>
          <t>NORDMALING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46284</v>
      </c>
      <c r="F201" t="inlineStr">
        <is>
          <t>VÄSTERBOTTENS LÄN</t>
        </is>
      </c>
      <c r="G201" t="inlineStr">
        <is>
          <t>NORDMALING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46284</v>
      </c>
      <c r="F202" t="inlineStr">
        <is>
          <t>VÄSTERBOTTENS LÄN</t>
        </is>
      </c>
      <c r="G202" t="inlineStr">
        <is>
          <t>NORDMALING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61795-2023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45265</v>
      </c>
      <c r="E203" s="1" t="n">
        <v>46284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46284</v>
      </c>
      <c r="F204" t="inlineStr">
        <is>
          <t>VÄSTERBOTTENS LÄN</t>
        </is>
      </c>
      <c r="G204" t="inlineStr">
        <is>
          <t>NORDMALING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46284</v>
      </c>
      <c r="F205" t="inlineStr">
        <is>
          <t>VÄSTERBOTTENS LÄN</t>
        </is>
      </c>
      <c r="G205" t="inlineStr">
        <is>
          <t>NORDMALING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46284</v>
      </c>
      <c r="F206" t="inlineStr">
        <is>
          <t>VÄSTERBOTTENS LÄN</t>
        </is>
      </c>
      <c r="G206" t="inlineStr">
        <is>
          <t>NORDMALING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61793-2023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45265</v>
      </c>
      <c r="E207" s="1" t="n">
        <v>46284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45102</v>
      </c>
      <c r="E208" s="1" t="n">
        <v>46284</v>
      </c>
      <c r="F208" t="inlineStr">
        <is>
          <t>VÄSTERBOTTENS LÄN</t>
        </is>
      </c>
      <c r="G208" t="inlineStr">
        <is>
          <t>NORDMALING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46284</v>
      </c>
      <c r="F209" t="inlineStr">
        <is>
          <t>VÄSTERBOTTENS LÄN</t>
        </is>
      </c>
      <c r="G209" t="inlineStr">
        <is>
          <t>NORDMALING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46284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46284</v>
      </c>
      <c r="F211" t="inlineStr">
        <is>
          <t>VÄSTERBOTTENS LÄN</t>
        </is>
      </c>
      <c r="G211" t="inlineStr">
        <is>
          <t>NORDMALING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46284</v>
      </c>
      <c r="F212" t="inlineStr">
        <is>
          <t>VÄSTERBOTTENS LÄN</t>
        </is>
      </c>
      <c r="G212" t="inlineStr">
        <is>
          <t>NORDMALING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46284</v>
      </c>
      <c r="F213" t="inlineStr">
        <is>
          <t>VÄSTERBOTTENS LÄN</t>
        </is>
      </c>
      <c r="G213" t="inlineStr">
        <is>
          <t>NORDMALING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46877-2025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46284</v>
      </c>
      <c r="F214" t="inlineStr">
        <is>
          <t>VÄSTERBOTTENS LÄN</t>
        </is>
      </c>
      <c r="G214" t="inlineStr">
        <is>
          <t>NORDMALING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46284</v>
      </c>
      <c r="F215" t="inlineStr">
        <is>
          <t>VÄSTERBOTTENS LÄN</t>
        </is>
      </c>
      <c r="G215" t="inlineStr">
        <is>
          <t>NORDMALING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46284</v>
      </c>
      <c r="F216" t="inlineStr">
        <is>
          <t>VÄSTERBOTTENS LÄN</t>
        </is>
      </c>
      <c r="G216" t="inlineStr">
        <is>
          <t>NORDMALING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46284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46284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46284</v>
      </c>
      <c r="F219" t="inlineStr">
        <is>
          <t>VÄSTERBOTTENS LÄN</t>
        </is>
      </c>
      <c r="G219" t="inlineStr">
        <is>
          <t>NORDMALING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46284</v>
      </c>
      <c r="F220" t="inlineStr">
        <is>
          <t>VÄSTERBOTTENS LÄN</t>
        </is>
      </c>
      <c r="G220" t="inlineStr">
        <is>
          <t>NORDMALING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46284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44972</v>
      </c>
      <c r="E222" s="1" t="n">
        <v>46284</v>
      </c>
      <c r="F222" t="inlineStr">
        <is>
          <t>VÄSTERBOTTENS LÄN</t>
        </is>
      </c>
      <c r="G222" t="inlineStr">
        <is>
          <t>NORDMALING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46284</v>
      </c>
      <c r="F223" t="inlineStr">
        <is>
          <t>VÄSTERBOTTENS LÄN</t>
        </is>
      </c>
      <c r="G223" t="inlineStr">
        <is>
          <t>NORDMALING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46284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24850-2023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45078</v>
      </c>
      <c r="E225" s="1" t="n">
        <v>46284</v>
      </c>
      <c r="F225" t="inlineStr">
        <is>
          <t>VÄSTERBOTTENS LÄN</t>
        </is>
      </c>
      <c r="G225" t="inlineStr">
        <is>
          <t>NORDMALING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46284</v>
      </c>
      <c r="F226" t="inlineStr">
        <is>
          <t>VÄSTERBOTTENS LÄN</t>
        </is>
      </c>
      <c r="G226" t="inlineStr">
        <is>
          <t>NORDMALING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46284</v>
      </c>
      <c r="F227" t="inlineStr">
        <is>
          <t>VÄSTERBOTTENS LÄN</t>
        </is>
      </c>
      <c r="G227" t="inlineStr">
        <is>
          <t>NORDMALING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46284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46284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45525</v>
      </c>
      <c r="E230" s="1" t="n">
        <v>46284</v>
      </c>
      <c r="F230" t="inlineStr">
        <is>
          <t>VÄSTERBOTTENS LÄN</t>
        </is>
      </c>
      <c r="G230" t="inlineStr">
        <is>
          <t>NORDMALING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46284</v>
      </c>
      <c r="F231" t="inlineStr">
        <is>
          <t>VÄSTERBOTTENS LÄN</t>
        </is>
      </c>
      <c r="G231" t="inlineStr">
        <is>
          <t>NORDMALING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46284</v>
      </c>
      <c r="F232" t="inlineStr">
        <is>
          <t>VÄSTERBOTTENS LÄN</t>
        </is>
      </c>
      <c r="G232" t="inlineStr">
        <is>
          <t>NORDMALING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46284</v>
      </c>
      <c r="F233" t="inlineStr">
        <is>
          <t>VÄSTERBOTTENS LÄN</t>
        </is>
      </c>
      <c r="G233" t="inlineStr">
        <is>
          <t>NORDMALING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46284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46284</v>
      </c>
      <c r="F235" t="inlineStr">
        <is>
          <t>VÄSTERBOTTENS LÄN</t>
        </is>
      </c>
      <c r="G235" t="inlineStr">
        <is>
          <t>NORDMALING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46284</v>
      </c>
      <c r="F236" t="inlineStr">
        <is>
          <t>VÄSTERBOTTENS LÄN</t>
        </is>
      </c>
      <c r="G236" t="inlineStr">
        <is>
          <t>NORDMALING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46284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46151</v>
      </c>
      <c r="E238" s="1" t="n">
        <v>46284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46151</v>
      </c>
      <c r="E239" s="1" t="n">
        <v>46284</v>
      </c>
      <c r="F239" t="inlineStr">
        <is>
          <t>VÄSTERBOTTENS LÄN</t>
        </is>
      </c>
      <c r="G239" t="inlineStr">
        <is>
          <t>NORDMALING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46284</v>
      </c>
      <c r="F240" t="inlineStr">
        <is>
          <t>VÄSTERBOTTENS LÄN</t>
        </is>
      </c>
      <c r="G240" t="inlineStr">
        <is>
          <t>NORDMALING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46284</v>
      </c>
      <c r="F241" t="inlineStr">
        <is>
          <t>VÄSTERBOTTENS LÄN</t>
        </is>
      </c>
      <c r="G241" t="inlineStr">
        <is>
          <t>NORDMALING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46284</v>
      </c>
      <c r="F242" t="inlineStr">
        <is>
          <t>VÄSTERBOTTENS LÄN</t>
        </is>
      </c>
      <c r="G242" t="inlineStr">
        <is>
          <t>NORDMALING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46284</v>
      </c>
      <c r="F243" t="inlineStr">
        <is>
          <t>VÄSTERBOTTENS LÄN</t>
        </is>
      </c>
      <c r="G243" t="inlineStr">
        <is>
          <t>NORDMALING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46284</v>
      </c>
      <c r="F244" t="inlineStr">
        <is>
          <t>VÄSTERBOTTENS LÄN</t>
        </is>
      </c>
      <c r="G244" t="inlineStr">
        <is>
          <t>NORDMALING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46284</v>
      </c>
      <c r="F245" t="inlineStr">
        <is>
          <t>VÄSTERBOTTENS LÄN</t>
        </is>
      </c>
      <c r="G245" t="inlineStr">
        <is>
          <t>NORDMALING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46284</v>
      </c>
      <c r="F246" t="inlineStr">
        <is>
          <t>VÄSTERBOTTENS LÄN</t>
        </is>
      </c>
      <c r="G246" t="inlineStr">
        <is>
          <t>NORDMALING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45962</v>
      </c>
      <c r="E247" s="1" t="n">
        <v>46284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46284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46284</v>
      </c>
      <c r="F249" t="inlineStr">
        <is>
          <t>VÄSTERBOTTENS LÄN</t>
        </is>
      </c>
      <c r="G249" t="inlineStr">
        <is>
          <t>NORDMALING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46284</v>
      </c>
      <c r="F250" t="inlineStr">
        <is>
          <t>VÄSTERBOTTENS LÄN</t>
        </is>
      </c>
      <c r="G250" t="inlineStr">
        <is>
          <t>NORDMALING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46284</v>
      </c>
      <c r="F251" t="inlineStr">
        <is>
          <t>VÄSTERBOTTENS LÄN</t>
        </is>
      </c>
      <c r="G251" t="inlineStr">
        <is>
          <t>NORDMALING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45158</v>
      </c>
      <c r="E252" s="1" t="n">
        <v>46284</v>
      </c>
      <c r="F252" t="inlineStr">
        <is>
          <t>VÄSTERBOTTENS LÄN</t>
        </is>
      </c>
      <c r="G252" t="inlineStr">
        <is>
          <t>NORDMALING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46284</v>
      </c>
      <c r="F253" t="inlineStr">
        <is>
          <t>VÄSTERBOTTENS LÄN</t>
        </is>
      </c>
      <c r="G253" t="inlineStr">
        <is>
          <t>NORDMALING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45966</v>
      </c>
      <c r="E254" s="1" t="n">
        <v>46284</v>
      </c>
      <c r="F254" t="inlineStr">
        <is>
          <t>VÄSTERBOTTENS LÄN</t>
        </is>
      </c>
      <c r="G254" t="inlineStr">
        <is>
          <t>NORDMALING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45433</v>
      </c>
      <c r="E255" s="1" t="n">
        <v>46284</v>
      </c>
      <c r="F255" t="inlineStr">
        <is>
          <t>VÄSTERBOTTENS LÄN</t>
        </is>
      </c>
      <c r="G255" t="inlineStr">
        <is>
          <t>NORDMALING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46284</v>
      </c>
      <c r="F256" t="inlineStr">
        <is>
          <t>VÄSTERBOTTENS LÄN</t>
        </is>
      </c>
      <c r="G256" t="inlineStr">
        <is>
          <t>NORDMALING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46284</v>
      </c>
      <c r="F257" t="inlineStr">
        <is>
          <t>VÄSTERBOTTENS LÄN</t>
        </is>
      </c>
      <c r="G257" t="inlineStr">
        <is>
          <t>NORDMALING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46284</v>
      </c>
      <c r="F258" t="inlineStr">
        <is>
          <t>VÄSTERBOTTENS LÄN</t>
        </is>
      </c>
      <c r="G258" t="inlineStr">
        <is>
          <t>NORDMALING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48940-2022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44859</v>
      </c>
      <c r="E259" s="1" t="n">
        <v>46284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46284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46284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45435</v>
      </c>
      <c r="E262" s="1" t="n">
        <v>46284</v>
      </c>
      <c r="F262" t="inlineStr">
        <is>
          <t>VÄSTERBOTTENS LÄN</t>
        </is>
      </c>
      <c r="G262" t="inlineStr">
        <is>
          <t>NORDMALING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46284</v>
      </c>
      <c r="F263" t="inlineStr">
        <is>
          <t>VÄSTERBOTTENS LÄN</t>
        </is>
      </c>
      <c r="G263" t="inlineStr">
        <is>
          <t>NORDMALING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46284</v>
      </c>
      <c r="F264" t="inlineStr">
        <is>
          <t>VÄSTERBOTTENS LÄN</t>
        </is>
      </c>
      <c r="G264" t="inlineStr">
        <is>
          <t>NORDMALING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57065-2025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46284</v>
      </c>
      <c r="F265" t="inlineStr">
        <is>
          <t>VÄSTERBOTTENS LÄN</t>
        </is>
      </c>
      <c r="G265" t="inlineStr">
        <is>
          <t>NORDMALING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46284</v>
      </c>
      <c r="F266" t="inlineStr">
        <is>
          <t>VÄSTERBOTTENS LÄN</t>
        </is>
      </c>
      <c r="G266" t="inlineStr">
        <is>
          <t>NORDMALING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46284</v>
      </c>
      <c r="F267" t="inlineStr">
        <is>
          <t>VÄSTERBOTTENS LÄN</t>
        </is>
      </c>
      <c r="G267" t="inlineStr">
        <is>
          <t>NORDMALING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46284</v>
      </c>
      <c r="F268" t="inlineStr">
        <is>
          <t>VÄSTERBOTTENS LÄN</t>
        </is>
      </c>
      <c r="G268" t="inlineStr">
        <is>
          <t>NORDMALING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46284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8103-2025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45707</v>
      </c>
      <c r="E270" s="1" t="n">
        <v>46284</v>
      </c>
      <c r="F270" t="inlineStr">
        <is>
          <t>VÄSTERBOTTENS LÄN</t>
        </is>
      </c>
      <c r="G270" t="inlineStr">
        <is>
          <t>NORDMALING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46284</v>
      </c>
      <c r="F271" t="inlineStr">
        <is>
          <t>VÄSTERBOTTENS LÄN</t>
        </is>
      </c>
      <c r="G271" t="inlineStr">
        <is>
          <t>NORDMALING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46284</v>
      </c>
      <c r="F272" t="inlineStr">
        <is>
          <t>VÄSTERBOTTENS LÄN</t>
        </is>
      </c>
      <c r="G272" t="inlineStr">
        <is>
          <t>NORDMALING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46284</v>
      </c>
      <c r="F273" t="inlineStr">
        <is>
          <t>VÄSTERBOTTENS LÄN</t>
        </is>
      </c>
      <c r="G273" t="inlineStr">
        <is>
          <t>NORDMALING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36814-2024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45538</v>
      </c>
      <c r="E274" s="1" t="n">
        <v>46284</v>
      </c>
      <c r="F274" t="inlineStr">
        <is>
          <t>VÄSTERBOTTENS LÄN</t>
        </is>
      </c>
      <c r="G274" t="inlineStr">
        <is>
          <t>NORDMALING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46284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46284</v>
      </c>
      <c r="F276" t="inlineStr">
        <is>
          <t>VÄSTERBOTTENS LÄN</t>
        </is>
      </c>
      <c r="G276" t="inlineStr">
        <is>
          <t>NORDMALING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46284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45986</v>
      </c>
      <c r="E278" s="1" t="n">
        <v>46284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46284</v>
      </c>
      <c r="F279" t="inlineStr">
        <is>
          <t>VÄSTERBOTTENS LÄN</t>
        </is>
      </c>
      <c r="G279" t="inlineStr">
        <is>
          <t>NORDMALING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46284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23056-2026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46284</v>
      </c>
      <c r="F281" t="inlineStr">
        <is>
          <t>VÄSTERBOTTENS LÄN</t>
        </is>
      </c>
      <c r="G281" t="inlineStr">
        <is>
          <t>NORDMALING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46284</v>
      </c>
      <c r="F282" t="inlineStr">
        <is>
          <t>VÄSTERBOTTENS LÄN</t>
        </is>
      </c>
      <c r="G282" t="inlineStr">
        <is>
          <t>NORDMALING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46284</v>
      </c>
      <c r="F283" t="inlineStr">
        <is>
          <t>VÄSTERBOTTENS LÄN</t>
        </is>
      </c>
      <c r="G283" t="inlineStr">
        <is>
          <t>NORDMALING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23005-2026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46160</v>
      </c>
      <c r="E284" s="1" t="n">
        <v>46284</v>
      </c>
      <c r="F284" t="inlineStr">
        <is>
          <t>VÄSTERBOTTENS LÄN</t>
        </is>
      </c>
      <c r="G284" t="inlineStr">
        <is>
          <t>NORDMALING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46284</v>
      </c>
      <c r="F285" t="inlineStr">
        <is>
          <t>VÄSTERBOTTENS LÄN</t>
        </is>
      </c>
      <c r="G285" t="inlineStr">
        <is>
          <t>NORDMALING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46284</v>
      </c>
      <c r="F286" t="inlineStr">
        <is>
          <t>VÄSTERBOTTENS LÄN</t>
        </is>
      </c>
      <c r="G286" t="inlineStr">
        <is>
          <t>NORDMALING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54784-2021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44473</v>
      </c>
      <c r="E287" s="1" t="n">
        <v>46284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46284</v>
      </c>
      <c r="F288" t="inlineStr">
        <is>
          <t>VÄSTERBOTTENS LÄN</t>
        </is>
      </c>
      <c r="G288" t="inlineStr">
        <is>
          <t>NORDMALING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46284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46284</v>
      </c>
      <c r="F290" t="inlineStr">
        <is>
          <t>VÄSTERBOTTENS LÄN</t>
        </is>
      </c>
      <c r="G290" t="inlineStr">
        <is>
          <t>NORDMALING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46284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46161</v>
      </c>
      <c r="E292" s="1" t="n">
        <v>46284</v>
      </c>
      <c r="F292" t="inlineStr">
        <is>
          <t>VÄSTERBOTTENS LÄN</t>
        </is>
      </c>
      <c r="G292" t="inlineStr">
        <is>
          <t>NORDMALING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45419</v>
      </c>
      <c r="E293" s="1" t="n">
        <v>46284</v>
      </c>
      <c r="F293" t="inlineStr">
        <is>
          <t>VÄSTERBOTTENS LÄN</t>
        </is>
      </c>
      <c r="G293" t="inlineStr">
        <is>
          <t>NORDMALING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46284</v>
      </c>
      <c r="F294" t="inlineStr">
        <is>
          <t>VÄSTERBOTTENS LÄN</t>
        </is>
      </c>
      <c r="G294" t="inlineStr">
        <is>
          <t>NORDMALING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45754</v>
      </c>
      <c r="E295" s="1" t="n">
        <v>46284</v>
      </c>
      <c r="F295" t="inlineStr">
        <is>
          <t>VÄSTERBOTTENS LÄN</t>
        </is>
      </c>
      <c r="G295" t="inlineStr">
        <is>
          <t>NORDMALING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45503</v>
      </c>
      <c r="E296" s="1" t="n">
        <v>46284</v>
      </c>
      <c r="F296" t="inlineStr">
        <is>
          <t>VÄSTERBOTTENS LÄN</t>
        </is>
      </c>
      <c r="G296" t="inlineStr">
        <is>
          <t>NORDMALING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46284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46284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46284</v>
      </c>
      <c r="F299" t="inlineStr">
        <is>
          <t>VÄSTERBOTTENS LÄN</t>
        </is>
      </c>
      <c r="G299" t="inlineStr">
        <is>
          <t>NORDMALING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46284</v>
      </c>
      <c r="F300" t="inlineStr">
        <is>
          <t>VÄSTERBOTTENS LÄN</t>
        </is>
      </c>
      <c r="G300" t="inlineStr">
        <is>
          <t>NORDMALING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46284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46284</v>
      </c>
      <c r="F302" t="inlineStr">
        <is>
          <t>VÄSTERBOTTENS LÄN</t>
        </is>
      </c>
      <c r="G302" t="inlineStr">
        <is>
          <t>NORDMALING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46284</v>
      </c>
      <c r="F303" t="inlineStr">
        <is>
          <t>VÄSTERBOTTENS LÄN</t>
        </is>
      </c>
      <c r="G303" t="inlineStr">
        <is>
          <t>NORDMALING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60113-2025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45994</v>
      </c>
      <c r="E304" s="1" t="n">
        <v>46284</v>
      </c>
      <c r="F304" t="inlineStr">
        <is>
          <t>VÄSTERBOTTENS LÄN</t>
        </is>
      </c>
      <c r="G304" t="inlineStr">
        <is>
          <t>NORDMALING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46284</v>
      </c>
      <c r="F305" t="inlineStr">
        <is>
          <t>VÄSTERBOTTENS LÄN</t>
        </is>
      </c>
      <c r="G305" t="inlineStr">
        <is>
          <t>NORDMALING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64498-2023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45280</v>
      </c>
      <c r="E306" s="1" t="n">
        <v>46284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24415-2024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45457</v>
      </c>
      <c r="E307" s="1" t="n">
        <v>46284</v>
      </c>
      <c r="F307" t="inlineStr">
        <is>
          <t>VÄSTERBOTTENS LÄN</t>
        </is>
      </c>
      <c r="G307" t="inlineStr">
        <is>
          <t>NORDMALING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46284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46284</v>
      </c>
      <c r="F309" t="inlineStr">
        <is>
          <t>VÄSTERBOTTENS LÄN</t>
        </is>
      </c>
      <c r="G309" t="inlineStr">
        <is>
          <t>NORDMALING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46284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45327</v>
      </c>
      <c r="E311" s="1" t="n">
        <v>46284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46284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46284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45691</v>
      </c>
      <c r="E314" s="1" t="n">
        <v>46284</v>
      </c>
      <c r="F314" t="inlineStr">
        <is>
          <t>VÄSTERBOTTENS LÄN</t>
        </is>
      </c>
      <c r="G314" t="inlineStr">
        <is>
          <t>NORDMALING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45615</v>
      </c>
      <c r="E315" s="1" t="n">
        <v>46284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46284</v>
      </c>
      <c r="F316" t="inlineStr">
        <is>
          <t>VÄSTERBOTTENS LÄN</t>
        </is>
      </c>
      <c r="G316" t="inlineStr">
        <is>
          <t>NORDMALING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46284</v>
      </c>
      <c r="F317" t="inlineStr">
        <is>
          <t>VÄSTERBOTTENS LÄN</t>
        </is>
      </c>
      <c r="G317" t="inlineStr">
        <is>
          <t>NORDMALING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46284</v>
      </c>
      <c r="F318" t="inlineStr">
        <is>
          <t>VÄSTERBOTTENS LÄN</t>
        </is>
      </c>
      <c r="G318" t="inlineStr">
        <is>
          <t>NORDMALING</t>
        </is>
      </c>
      <c r="I318" t="n">
        <v>11.3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46284</v>
      </c>
      <c r="F319" t="inlineStr">
        <is>
          <t>VÄSTERBOTTENS LÄN</t>
        </is>
      </c>
      <c r="G319" t="inlineStr">
        <is>
          <t>NORDMALING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46284</v>
      </c>
      <c r="F320" t="inlineStr">
        <is>
          <t>VÄSTERBOTTENS LÄN</t>
        </is>
      </c>
      <c r="G320" t="inlineStr">
        <is>
          <t>NORDMALING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46284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46284</v>
      </c>
      <c r="F322" t="inlineStr">
        <is>
          <t>VÄSTERBOTTENS LÄN</t>
        </is>
      </c>
      <c r="G322" t="inlineStr">
        <is>
          <t>NORDMALING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46284</v>
      </c>
      <c r="F323" t="inlineStr">
        <is>
          <t>VÄSTERBOTTENS LÄN</t>
        </is>
      </c>
      <c r="G323" t="inlineStr">
        <is>
          <t>NORDMALING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45022</v>
      </c>
      <c r="E324" s="1" t="n">
        <v>46284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46284</v>
      </c>
      <c r="F325" t="inlineStr">
        <is>
          <t>VÄSTERBOTTENS LÄN</t>
        </is>
      </c>
      <c r="G325" t="inlineStr">
        <is>
          <t>NORDMALING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46284</v>
      </c>
      <c r="F326" t="inlineStr">
        <is>
          <t>VÄSTERBOTTENS LÄN</t>
        </is>
      </c>
      <c r="G326" t="inlineStr">
        <is>
          <t>NORDMALING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46284</v>
      </c>
      <c r="F327" t="inlineStr">
        <is>
          <t>VÄSTERBOTTENS LÄN</t>
        </is>
      </c>
      <c r="G327" t="inlineStr">
        <is>
          <t>NORDMALING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46284</v>
      </c>
      <c r="F328" t="inlineStr">
        <is>
          <t>VÄSTERBOTTENS LÄN</t>
        </is>
      </c>
      <c r="G328" t="inlineStr">
        <is>
          <t>NORDMALING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46284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46284</v>
      </c>
      <c r="F330" t="inlineStr">
        <is>
          <t>VÄSTERBOTTENS LÄN</t>
        </is>
      </c>
      <c r="G330" t="inlineStr">
        <is>
          <t>NORDMALING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46284</v>
      </c>
      <c r="F331" t="inlineStr">
        <is>
          <t>VÄSTERBOTTENS LÄN</t>
        </is>
      </c>
      <c r="G331" t="inlineStr">
        <is>
          <t>NORDMALING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46284</v>
      </c>
      <c r="F332" t="inlineStr">
        <is>
          <t>VÄSTERBOTTENS LÄN</t>
        </is>
      </c>
      <c r="G332" t="inlineStr">
        <is>
          <t>NORDMALING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46284</v>
      </c>
      <c r="F333" t="inlineStr">
        <is>
          <t>VÄSTERBOTTENS LÄN</t>
        </is>
      </c>
      <c r="G333" t="inlineStr">
        <is>
          <t>NORDMALING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46284</v>
      </c>
      <c r="F334" t="inlineStr">
        <is>
          <t>VÄSTERBOTTENS LÄN</t>
        </is>
      </c>
      <c r="G334" t="inlineStr">
        <is>
          <t>NORDMALING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45330</v>
      </c>
      <c r="E335" s="1" t="n">
        <v>46284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46284</v>
      </c>
      <c r="F336" t="inlineStr">
        <is>
          <t>VÄSTERBOTTENS LÄN</t>
        </is>
      </c>
      <c r="G336" t="inlineStr">
        <is>
          <t>NORDMALING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48945-2022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44859</v>
      </c>
      <c r="E337" s="1" t="n">
        <v>46284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35803-2023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45147</v>
      </c>
      <c r="E338" s="1" t="n">
        <v>46284</v>
      </c>
      <c r="F338" t="inlineStr">
        <is>
          <t>VÄSTERBOTTENS LÄN</t>
        </is>
      </c>
      <c r="G338" t="inlineStr">
        <is>
          <t>NORDMALING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46020</v>
      </c>
      <c r="E339" s="1" t="n">
        <v>46284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46018</v>
      </c>
      <c r="E340" s="1" t="n">
        <v>46284</v>
      </c>
      <c r="F340" t="inlineStr">
        <is>
          <t>VÄSTERBOTTENS LÄN</t>
        </is>
      </c>
      <c r="G340" t="inlineStr">
        <is>
          <t>NORDMALING</t>
        </is>
      </c>
      <c r="I340" t="n">
        <v>12.8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46284</v>
      </c>
      <c r="F341" t="inlineStr">
        <is>
          <t>VÄSTERBOTTENS LÄN</t>
        </is>
      </c>
      <c r="G341" t="inlineStr">
        <is>
          <t>NORDMALING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63922-2025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46020</v>
      </c>
      <c r="E342" s="1" t="n">
        <v>46284</v>
      </c>
      <c r="F342" t="inlineStr">
        <is>
          <t>VÄSTERBOTTENS LÄN</t>
        </is>
      </c>
      <c r="G342" t="inlineStr">
        <is>
          <t>NORDMALING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46018</v>
      </c>
      <c r="E343" s="1" t="n">
        <v>46284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46284</v>
      </c>
      <c r="F344" t="inlineStr">
        <is>
          <t>VÄSTERBOTTENS LÄN</t>
        </is>
      </c>
      <c r="G344" t="inlineStr">
        <is>
          <t>NORDMALING</t>
        </is>
      </c>
      <c r="I344" t="n">
        <v>16.2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64158-2025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46022</v>
      </c>
      <c r="E345" s="1" t="n">
        <v>46284</v>
      </c>
      <c r="F345" t="inlineStr">
        <is>
          <t>VÄSTERBOTTENS LÄN</t>
        </is>
      </c>
      <c r="G345" t="inlineStr">
        <is>
          <t>NORDMALING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46284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46028</v>
      </c>
      <c r="E347" s="1" t="n">
        <v>46284</v>
      </c>
      <c r="F347" t="inlineStr">
        <is>
          <t>VÄSTERBOTTENS LÄN</t>
        </is>
      </c>
      <c r="G347" t="inlineStr">
        <is>
          <t>NORDMALING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46284</v>
      </c>
      <c r="F348" t="inlineStr">
        <is>
          <t>VÄSTERBOTTENS LÄN</t>
        </is>
      </c>
      <c r="G348" t="inlineStr">
        <is>
          <t>NORDMALING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46284</v>
      </c>
      <c r="F349" t="inlineStr">
        <is>
          <t>VÄSTERBOTTENS LÄN</t>
        </is>
      </c>
      <c r="G349" t="inlineStr">
        <is>
          <t>NORDMALING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46284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25214-2026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46171</v>
      </c>
      <c r="E351" s="1" t="n">
        <v>46284</v>
      </c>
      <c r="F351" t="inlineStr">
        <is>
          <t>VÄSTERBOTTENS LÄN</t>
        </is>
      </c>
      <c r="G351" t="inlineStr">
        <is>
          <t>NORDMALING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46284</v>
      </c>
      <c r="F352" t="inlineStr">
        <is>
          <t>VÄSTERBOTTENS LÄN</t>
        </is>
      </c>
      <c r="G352" t="inlineStr">
        <is>
          <t>NORDMALING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46032</v>
      </c>
      <c r="E353" s="1" t="n">
        <v>46284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46284</v>
      </c>
      <c r="F354" t="inlineStr">
        <is>
          <t>VÄSTERBOTTENS LÄN</t>
        </is>
      </c>
      <c r="G354" t="inlineStr">
        <is>
          <t>NORDMALING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46284</v>
      </c>
      <c r="F355" t="inlineStr">
        <is>
          <t>VÄSTERBOTTENS LÄN</t>
        </is>
      </c>
      <c r="G355" t="inlineStr">
        <is>
          <t>NORDMALING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38285-2022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44812</v>
      </c>
      <c r="E356" s="1" t="n">
        <v>46284</v>
      </c>
      <c r="F356" t="inlineStr">
        <is>
          <t>VÄSTERBOTTENS LÄN</t>
        </is>
      </c>
      <c r="G356" t="inlineStr">
        <is>
          <t>NORDMALING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46284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46284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46284</v>
      </c>
      <c r="F359" t="inlineStr">
        <is>
          <t>VÄSTERBOTTENS LÄN</t>
        </is>
      </c>
      <c r="G359" t="inlineStr">
        <is>
          <t>NORDMALING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46284</v>
      </c>
      <c r="F360" t="inlineStr">
        <is>
          <t>VÄSTERBOTTENS LÄN</t>
        </is>
      </c>
      <c r="G360" t="inlineStr">
        <is>
          <t>NORDMALING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46284</v>
      </c>
      <c r="F361" t="inlineStr">
        <is>
          <t>VÄSTERBOTTENS LÄN</t>
        </is>
      </c>
      <c r="G361" t="inlineStr">
        <is>
          <t>NORDMALING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46284</v>
      </c>
      <c r="F362" t="inlineStr">
        <is>
          <t>VÄSTERBOTTENS LÄN</t>
        </is>
      </c>
      <c r="G362" t="inlineStr">
        <is>
          <t>NORDMALING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45568</v>
      </c>
      <c r="E363" s="1" t="n">
        <v>46284</v>
      </c>
      <c r="F363" t="inlineStr">
        <is>
          <t>VÄSTERBOTTENS LÄN</t>
        </is>
      </c>
      <c r="G363" t="inlineStr">
        <is>
          <t>NORDMALING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46284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46284</v>
      </c>
      <c r="F365" t="inlineStr">
        <is>
          <t>VÄSTERBOTTENS LÄN</t>
        </is>
      </c>
      <c r="G365" t="inlineStr">
        <is>
          <t>NORDMALING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46284</v>
      </c>
      <c r="F366" t="inlineStr">
        <is>
          <t>VÄSTERBOTTENS LÄN</t>
        </is>
      </c>
      <c r="G366" t="inlineStr">
        <is>
          <t>NORDMALING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46284</v>
      </c>
      <c r="F367" t="inlineStr">
        <is>
          <t>VÄSTERBOTTENS LÄN</t>
        </is>
      </c>
      <c r="G367" t="inlineStr">
        <is>
          <t>NORDMALING</t>
        </is>
      </c>
      <c r="I367" t="n">
        <v>22.4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33612-2022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44789</v>
      </c>
      <c r="E368" s="1" t="n">
        <v>46284</v>
      </c>
      <c r="F368" t="inlineStr">
        <is>
          <t>VÄSTERBOTTENS LÄN</t>
        </is>
      </c>
      <c r="G368" t="inlineStr">
        <is>
          <t>NORDMALING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46284</v>
      </c>
      <c r="F369" t="inlineStr">
        <is>
          <t>VÄSTERBOTTENS LÄN</t>
        </is>
      </c>
      <c r="G369" t="inlineStr">
        <is>
          <t>NORDMALING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46284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46048</v>
      </c>
      <c r="E371" s="1" t="n">
        <v>46284</v>
      </c>
      <c r="F371" t="inlineStr">
        <is>
          <t>VÄSTERBOTTENS LÄN</t>
        </is>
      </c>
      <c r="G371" t="inlineStr">
        <is>
          <t>NORDMALING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46284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46284</v>
      </c>
      <c r="F373" t="inlineStr">
        <is>
          <t>VÄSTERBOTTENS LÄN</t>
        </is>
      </c>
      <c r="G373" t="inlineStr">
        <is>
          <t>NORDMALING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46284</v>
      </c>
      <c r="F374" t="inlineStr">
        <is>
          <t>VÄSTERBOTTENS LÄN</t>
        </is>
      </c>
      <c r="G374" t="inlineStr">
        <is>
          <t>NORDMALING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46284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48515-2024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46284</v>
      </c>
      <c r="F376" t="inlineStr">
        <is>
          <t>VÄSTERBOTTENS LÄN</t>
        </is>
      </c>
      <c r="G376" t="inlineStr">
        <is>
          <t>NORDMALING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70028-2021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44533</v>
      </c>
      <c r="E377" s="1" t="n">
        <v>46284</v>
      </c>
      <c r="F377" t="inlineStr">
        <is>
          <t>VÄSTERBOTTENS LÄN</t>
        </is>
      </c>
      <c r="G377" t="inlineStr">
        <is>
          <t>NORDMALING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46284</v>
      </c>
      <c r="F378" t="inlineStr">
        <is>
          <t>VÄSTERBOTTENS LÄN</t>
        </is>
      </c>
      <c r="G378" t="inlineStr">
        <is>
          <t>NORDMALING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46284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46284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46284</v>
      </c>
      <c r="F381" t="inlineStr">
        <is>
          <t>VÄSTERBOTTENS LÄN</t>
        </is>
      </c>
      <c r="G381" t="inlineStr">
        <is>
          <t>NORDMALING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46284</v>
      </c>
      <c r="F382" t="inlineStr">
        <is>
          <t>VÄSTERBOTTENS LÄN</t>
        </is>
      </c>
      <c r="G382" t="inlineStr">
        <is>
          <t>NORDMALING</t>
        </is>
      </c>
      <c r="I382" t="n">
        <v>19.1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45525</v>
      </c>
      <c r="E383" s="1" t="n">
        <v>46284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24712-2023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45075</v>
      </c>
      <c r="E384" s="1" t="n">
        <v>46284</v>
      </c>
      <c r="F384" t="inlineStr">
        <is>
          <t>VÄSTERBOTTENS LÄN</t>
        </is>
      </c>
      <c r="G384" t="inlineStr">
        <is>
          <t>NORDMALING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46284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46284</v>
      </c>
      <c r="F386" t="inlineStr">
        <is>
          <t>VÄSTERBOTTENS LÄN</t>
        </is>
      </c>
      <c r="G386" t="inlineStr">
        <is>
          <t>NORDMALING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46284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46284</v>
      </c>
      <c r="F388" t="inlineStr">
        <is>
          <t>VÄSTERBOTTENS LÄN</t>
        </is>
      </c>
      <c r="G388" t="inlineStr">
        <is>
          <t>NORDMALING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45482</v>
      </c>
      <c r="E389" s="1" t="n">
        <v>46284</v>
      </c>
      <c r="F389" t="inlineStr">
        <is>
          <t>VÄSTERBOTTENS LÄN</t>
        </is>
      </c>
      <c r="G389" t="inlineStr">
        <is>
          <t>NORDMALING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46284</v>
      </c>
      <c r="F390" t="inlineStr">
        <is>
          <t>VÄSTERBOTTENS LÄN</t>
        </is>
      </c>
      <c r="G390" t="inlineStr">
        <is>
          <t>NORDMALING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46284</v>
      </c>
      <c r="F391" t="inlineStr">
        <is>
          <t>VÄSTERBOTTENS LÄN</t>
        </is>
      </c>
      <c r="G391" t="inlineStr">
        <is>
          <t>NORDMALING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46284</v>
      </c>
      <c r="F392" t="inlineStr">
        <is>
          <t>VÄSTERBOTTENS LÄN</t>
        </is>
      </c>
      <c r="G392" t="inlineStr">
        <is>
          <t>NORDMALING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46284</v>
      </c>
      <c r="F393" t="inlineStr">
        <is>
          <t>VÄSTERBOTTENS LÄN</t>
        </is>
      </c>
      <c r="G393" t="inlineStr">
        <is>
          <t>NORDMALING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45586</v>
      </c>
      <c r="E394" s="1" t="n">
        <v>46284</v>
      </c>
      <c r="F394" t="inlineStr">
        <is>
          <t>VÄSTERBOTTENS LÄN</t>
        </is>
      </c>
      <c r="G394" t="inlineStr">
        <is>
          <t>NORDMALING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9863-2026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46284</v>
      </c>
      <c r="F395" t="inlineStr">
        <is>
          <t>VÄSTERBOTTENS LÄN</t>
        </is>
      </c>
      <c r="G395" t="inlineStr">
        <is>
          <t>NORDMALING</t>
        </is>
      </c>
      <c r="I395" t="n">
        <v>12.5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46284</v>
      </c>
      <c r="F396" t="inlineStr">
        <is>
          <t>VÄSTERBOTTENS LÄN</t>
        </is>
      </c>
      <c r="G396" t="inlineStr">
        <is>
          <t>NORDMALING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46284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44907</v>
      </c>
      <c r="E398" s="1" t="n">
        <v>46284</v>
      </c>
      <c r="F398" t="inlineStr">
        <is>
          <t>VÄSTERBOTTENS LÄN</t>
        </is>
      </c>
      <c r="G398" t="inlineStr">
        <is>
          <t>NORDMALING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46284</v>
      </c>
      <c r="F399" t="inlineStr">
        <is>
          <t>VÄSTERBOTTENS LÄN</t>
        </is>
      </c>
      <c r="G399" t="inlineStr">
        <is>
          <t>NORDMALING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26796-2026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46185</v>
      </c>
      <c r="E400" s="1" t="n">
        <v>46284</v>
      </c>
      <c r="F400" t="inlineStr">
        <is>
          <t>VÄSTERBOTTENS LÄN</t>
        </is>
      </c>
      <c r="G400" t="inlineStr">
        <is>
          <t>NORDMALING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56674-2021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46284</v>
      </c>
      <c r="F401" t="inlineStr">
        <is>
          <t>VÄSTERBOTTENS LÄN</t>
        </is>
      </c>
      <c r="G401" t="inlineStr">
        <is>
          <t>NORDMALING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46284</v>
      </c>
      <c r="F402" t="inlineStr">
        <is>
          <t>VÄSTERBOTTENS LÄN</t>
        </is>
      </c>
      <c r="G402" t="inlineStr">
        <is>
          <t>NORDMALING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58613-2022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44902</v>
      </c>
      <c r="E403" s="1" t="n">
        <v>46284</v>
      </c>
      <c r="F403" t="inlineStr">
        <is>
          <t>VÄSTERBOTTENS LÄN</t>
        </is>
      </c>
      <c r="G403" t="inlineStr">
        <is>
          <t>NORDMALING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45231</v>
      </c>
      <c r="E404" s="1" t="n">
        <v>46284</v>
      </c>
      <c r="F404" t="inlineStr">
        <is>
          <t>VÄSTERBOTTENS LÄN</t>
        </is>
      </c>
      <c r="G404" t="inlineStr">
        <is>
          <t>NORDMALING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60175-2022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46284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45105</v>
      </c>
      <c r="E406" s="1" t="n">
        <v>46284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46284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45326-2025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46284</v>
      </c>
      <c r="F408" t="inlineStr">
        <is>
          <t>VÄSTERBOTTENS LÄN</t>
        </is>
      </c>
      <c r="G408" t="inlineStr">
        <is>
          <t>NORDMALING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46284</v>
      </c>
      <c r="F409" t="inlineStr">
        <is>
          <t>VÄSTERBOTTENS LÄN</t>
        </is>
      </c>
      <c r="G409" t="inlineStr">
        <is>
          <t>NORDMALING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32965-2024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45517</v>
      </c>
      <c r="E410" s="1" t="n">
        <v>46284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Holmen skog AB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46284</v>
      </c>
      <c r="F411" t="inlineStr">
        <is>
          <t>VÄSTERBOTTENS LÄN</t>
        </is>
      </c>
      <c r="G411" t="inlineStr">
        <is>
          <t>NORDMALING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46284</v>
      </c>
      <c r="F412" t="inlineStr">
        <is>
          <t>VÄSTERBOTTENS LÄN</t>
        </is>
      </c>
      <c r="G412" t="inlineStr">
        <is>
          <t>NORDMALING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46284</v>
      </c>
      <c r="F413" t="inlineStr">
        <is>
          <t>VÄSTERBOTTENS LÄN</t>
        </is>
      </c>
      <c r="G413" t="inlineStr">
        <is>
          <t>NORDMALING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46284</v>
      </c>
      <c r="F414" t="inlineStr">
        <is>
          <t>VÄSTERBOTTENS LÄN</t>
        </is>
      </c>
      <c r="G414" t="inlineStr">
        <is>
          <t>NORDMALING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45569</v>
      </c>
      <c r="E415" s="1" t="n">
        <v>46284</v>
      </c>
      <c r="F415" t="inlineStr">
        <is>
          <t>VÄSTERBOTTENS LÄN</t>
        </is>
      </c>
      <c r="G415" t="inlineStr">
        <is>
          <t>NORDMALING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28445-2026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46284</v>
      </c>
      <c r="F416" t="inlineStr">
        <is>
          <t>VÄSTERBOTTENS LÄN</t>
        </is>
      </c>
      <c r="G416" t="inlineStr">
        <is>
          <t>NORDMALING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46284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46284</v>
      </c>
      <c r="F418" t="inlineStr">
        <is>
          <t>VÄSTERBOTTENS LÄN</t>
        </is>
      </c>
      <c r="G418" t="inlineStr">
        <is>
          <t>NORDMALING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55810-2022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44888</v>
      </c>
      <c r="E419" s="1" t="n">
        <v>46284</v>
      </c>
      <c r="F419" t="inlineStr">
        <is>
          <t>VÄSTERBOTTENS LÄN</t>
        </is>
      </c>
      <c r="G419" t="inlineStr">
        <is>
          <t>NORDMALING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46284</v>
      </c>
      <c r="F420" t="inlineStr">
        <is>
          <t>VÄSTERBOTTENS LÄN</t>
        </is>
      </c>
      <c r="G420" t="inlineStr">
        <is>
          <t>NORDMALING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46284</v>
      </c>
      <c r="F421" t="inlineStr">
        <is>
          <t>VÄSTERBOTTENS LÄN</t>
        </is>
      </c>
      <c r="G421" t="inlineStr">
        <is>
          <t>NORDMALING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46284</v>
      </c>
      <c r="F422" t="inlineStr">
        <is>
          <t>VÄSTERBOTTENS LÄN</t>
        </is>
      </c>
      <c r="G422" t="inlineStr">
        <is>
          <t>NORDMALING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46284</v>
      </c>
      <c r="F423" t="inlineStr">
        <is>
          <t>VÄSTERBOTTENS LÄN</t>
        </is>
      </c>
      <c r="G423" t="inlineStr">
        <is>
          <t>NORDMALING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46284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46113</v>
      </c>
      <c r="E425" s="1" t="n">
        <v>46284</v>
      </c>
      <c r="F425" t="inlineStr">
        <is>
          <t>VÄSTERBOTTENS LÄN</t>
        </is>
      </c>
      <c r="G425" t="inlineStr">
        <is>
          <t>NORDMALING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46284</v>
      </c>
      <c r="F426" t="inlineStr">
        <is>
          <t>VÄSTERBOTTENS LÄN</t>
        </is>
      </c>
      <c r="G426" t="inlineStr">
        <is>
          <t>NORDMALING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12374-2024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45378</v>
      </c>
      <c r="E427" s="1" t="n">
        <v>46284</v>
      </c>
      <c r="F427" t="inlineStr">
        <is>
          <t>VÄSTERBOTTENS LÄN</t>
        </is>
      </c>
      <c r="G427" t="inlineStr">
        <is>
          <t>NORDMALING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46244</v>
      </c>
      <c r="E428" s="1" t="n">
        <v>46284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46245</v>
      </c>
      <c r="E429" s="1" t="n">
        <v>46284</v>
      </c>
      <c r="F429" t="inlineStr">
        <is>
          <t>VÄSTERBOTTENS LÄN</t>
        </is>
      </c>
      <c r="G429" t="inlineStr">
        <is>
          <t>NORDMALING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46245</v>
      </c>
      <c r="E430" s="1" t="n">
        <v>46284</v>
      </c>
      <c r="F430" t="inlineStr">
        <is>
          <t>VÄSTERBOTTENS LÄN</t>
        </is>
      </c>
      <c r="G430" t="inlineStr">
        <is>
          <t>NORDMALING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21607-2022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46284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46244</v>
      </c>
      <c r="E432" s="1" t="n">
        <v>46284</v>
      </c>
      <c r="F432" t="inlineStr">
        <is>
          <t>VÄSTERBOTTENS LÄN</t>
        </is>
      </c>
      <c r="G432" t="inlineStr">
        <is>
          <t>NORDMALING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45028</v>
      </c>
      <c r="E433" s="1" t="n">
        <v>46284</v>
      </c>
      <c r="F433" t="inlineStr">
        <is>
          <t>VÄSTERBOTTENS LÄN</t>
        </is>
      </c>
      <c r="G433" t="inlineStr">
        <is>
          <t>NORDMALING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46245</v>
      </c>
      <c r="E434" s="1" t="n">
        <v>46284</v>
      </c>
      <c r="F434" t="inlineStr">
        <is>
          <t>VÄSTERBOTTENS LÄN</t>
        </is>
      </c>
      <c r="G434" t="inlineStr">
        <is>
          <t>NORDMALING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46245</v>
      </c>
      <c r="E435" s="1" t="n">
        <v>46284</v>
      </c>
      <c r="F435" t="inlineStr">
        <is>
          <t>VÄSTERBOTTENS LÄN</t>
        </is>
      </c>
      <c r="G435" t="inlineStr">
        <is>
          <t>NORDMALING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46245</v>
      </c>
      <c r="E436" s="1" t="n">
        <v>46284</v>
      </c>
      <c r="F436" t="inlineStr">
        <is>
          <t>VÄSTERBOTTENS LÄN</t>
        </is>
      </c>
      <c r="G436" t="inlineStr">
        <is>
          <t>NORDMALING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46245</v>
      </c>
      <c r="E437" s="1" t="n">
        <v>46284</v>
      </c>
      <c r="F437" t="inlineStr">
        <is>
          <t>VÄSTERBOTTENS LÄN</t>
        </is>
      </c>
      <c r="G437" t="inlineStr">
        <is>
          <t>NORDMALING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46245</v>
      </c>
      <c r="E438" s="1" t="n">
        <v>46284</v>
      </c>
      <c r="F438" t="inlineStr">
        <is>
          <t>VÄSTERBOTTENS LÄN</t>
        </is>
      </c>
      <c r="G438" t="inlineStr">
        <is>
          <t>NORDMALING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46284</v>
      </c>
      <c r="F439" t="inlineStr">
        <is>
          <t>VÄSTERBOTTENS LÄN</t>
        </is>
      </c>
      <c r="G439" t="inlineStr">
        <is>
          <t>NORDMALING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46245</v>
      </c>
      <c r="E440" s="1" t="n">
        <v>46284</v>
      </c>
      <c r="F440" t="inlineStr">
        <is>
          <t>VÄSTERBOTTENS LÄN</t>
        </is>
      </c>
      <c r="G440" t="inlineStr">
        <is>
          <t>NORDMALING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46245</v>
      </c>
      <c r="E441" s="1" t="n">
        <v>46284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46245</v>
      </c>
      <c r="E442" s="1" t="n">
        <v>46284</v>
      </c>
      <c r="F442" t="inlineStr">
        <is>
          <t>VÄSTERBOTTENS LÄN</t>
        </is>
      </c>
      <c r="G442" t="inlineStr">
        <is>
          <t>NORDMALING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46284</v>
      </c>
      <c r="F443" t="inlineStr">
        <is>
          <t>VÄSTERBOTTENS LÄN</t>
        </is>
      </c>
      <c r="G443" t="inlineStr">
        <is>
          <t>NORDMALING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44788</v>
      </c>
      <c r="E444" s="1" t="n">
        <v>46284</v>
      </c>
      <c r="F444" t="inlineStr">
        <is>
          <t>VÄSTERBOTTENS LÄN</t>
        </is>
      </c>
      <c r="G444" t="inlineStr">
        <is>
          <t>NORDMALING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46284</v>
      </c>
      <c r="F445" t="inlineStr">
        <is>
          <t>VÄSTERBOTTENS LÄN</t>
        </is>
      </c>
      <c r="G445" t="inlineStr">
        <is>
          <t>NORDMALING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46284</v>
      </c>
      <c r="F446" t="inlineStr">
        <is>
          <t>VÄSTERBOTTENS LÄN</t>
        </is>
      </c>
      <c r="G446" t="inlineStr">
        <is>
          <t>NORDMALING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46284</v>
      </c>
      <c r="F447" t="inlineStr">
        <is>
          <t>VÄSTERBOTTENS LÄN</t>
        </is>
      </c>
      <c r="G447" t="inlineStr">
        <is>
          <t>NORDMALING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46127</v>
      </c>
      <c r="E448" s="1" t="n">
        <v>46284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46245</v>
      </c>
      <c r="E449" s="1" t="n">
        <v>46284</v>
      </c>
      <c r="F449" t="inlineStr">
        <is>
          <t>VÄSTERBOTTENS LÄN</t>
        </is>
      </c>
      <c r="G449" t="inlineStr">
        <is>
          <t>NORDMALING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46245</v>
      </c>
      <c r="E450" s="1" t="n">
        <v>46284</v>
      </c>
      <c r="F450" t="inlineStr">
        <is>
          <t>VÄSTERBOTTENS LÄN</t>
        </is>
      </c>
      <c r="G450" t="inlineStr">
        <is>
          <t>NORDMALING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51746-2021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44462</v>
      </c>
      <c r="E451" s="1" t="n">
        <v>46284</v>
      </c>
      <c r="F451" t="inlineStr">
        <is>
          <t>VÄSTERBOTTENS LÄN</t>
        </is>
      </c>
      <c r="G451" t="inlineStr">
        <is>
          <t>NORDMALING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46284</v>
      </c>
      <c r="F452" t="inlineStr">
        <is>
          <t>VÄSTERBOTTENS LÄN</t>
        </is>
      </c>
      <c r="G452" t="inlineStr">
        <is>
          <t>NORDMALING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46284</v>
      </c>
      <c r="F453" t="inlineStr">
        <is>
          <t>VÄSTERBOTTENS LÄN</t>
        </is>
      </c>
      <c r="G453" t="inlineStr">
        <is>
          <t>NORDMALING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32873-2026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46284</v>
      </c>
      <c r="F454" t="inlineStr">
        <is>
          <t>VÄSTERBOTTENS LÄN</t>
        </is>
      </c>
      <c r="G454" t="inlineStr">
        <is>
          <t>NORDMALING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32881-2026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46284</v>
      </c>
      <c r="F455" t="inlineStr">
        <is>
          <t>VÄSTERBOTTENS LÄN</t>
        </is>
      </c>
      <c r="G455" t="inlineStr">
        <is>
          <t>NORDMALING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46284</v>
      </c>
      <c r="F456" t="inlineStr">
        <is>
          <t>VÄSTERBOTTENS LÄN</t>
        </is>
      </c>
      <c r="G456" t="inlineStr">
        <is>
          <t>NORDMALING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18839-2026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46129</v>
      </c>
      <c r="E457" s="1" t="n">
        <v>46284</v>
      </c>
      <c r="F457" t="inlineStr">
        <is>
          <t>VÄSTERBOTTENS LÄN</t>
        </is>
      </c>
      <c r="G457" t="inlineStr">
        <is>
          <t>NORDMALING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46284</v>
      </c>
      <c r="F458" t="inlineStr">
        <is>
          <t>VÄSTERBOTTENS LÄN</t>
        </is>
      </c>
      <c r="G458" t="inlineStr">
        <is>
          <t>NORDMALING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46284</v>
      </c>
      <c r="F459" t="inlineStr">
        <is>
          <t>VÄSTERBOTTENS LÄN</t>
        </is>
      </c>
      <c r="G459" t="inlineStr">
        <is>
          <t>NORDMALING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46284</v>
      </c>
      <c r="F460" t="inlineStr">
        <is>
          <t>VÄSTERBOTTENS LÄN</t>
        </is>
      </c>
      <c r="G460" t="inlineStr">
        <is>
          <t>NORDMALING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46284</v>
      </c>
      <c r="F461" t="inlineStr">
        <is>
          <t>VÄSTERBOTTENS LÄN</t>
        </is>
      </c>
      <c r="G461" t="inlineStr">
        <is>
          <t>NORDMALING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45525</v>
      </c>
      <c r="E462" s="1" t="n">
        <v>46284</v>
      </c>
      <c r="F462" t="inlineStr">
        <is>
          <t>VÄSTERBOTTENS LÄN</t>
        </is>
      </c>
      <c r="G462" t="inlineStr">
        <is>
          <t>NORDMALING</t>
        </is>
      </c>
      <c r="I462" t="n">
        <v>12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46284</v>
      </c>
      <c r="F463" t="inlineStr">
        <is>
          <t>VÄSTERBOTTENS LÄN</t>
        </is>
      </c>
      <c r="G463" t="inlineStr">
        <is>
          <t>NORDMALING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46284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30918-2026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46284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46284</v>
      </c>
      <c r="F466" t="inlineStr">
        <is>
          <t>VÄSTERBOTTENS LÄN</t>
        </is>
      </c>
      <c r="G466" t="inlineStr">
        <is>
          <t>NORDMALING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46284</v>
      </c>
      <c r="F467" t="inlineStr">
        <is>
          <t>VÄSTERBOTTENS LÄN</t>
        </is>
      </c>
      <c r="G467" t="inlineStr">
        <is>
          <t>NORDMALING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46284</v>
      </c>
      <c r="F468" t="inlineStr">
        <is>
          <t>VÄSTERBOTTENS LÄN</t>
        </is>
      </c>
      <c r="G468" t="inlineStr">
        <is>
          <t>NORDMALING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45736</v>
      </c>
      <c r="E469" s="1" t="n">
        <v>46284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46284</v>
      </c>
      <c r="F470" t="inlineStr">
        <is>
          <t>VÄSTERBOTTENS LÄN</t>
        </is>
      </c>
      <c r="G470" t="inlineStr">
        <is>
          <t>NORDMALING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46284</v>
      </c>
      <c r="F471" t="inlineStr">
        <is>
          <t>VÄSTERBOTTENS LÄN</t>
        </is>
      </c>
      <c r="G471" t="inlineStr">
        <is>
          <t>NORDMALING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54837-2024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45618</v>
      </c>
      <c r="E472" s="1" t="n">
        <v>46284</v>
      </c>
      <c r="F472" t="inlineStr">
        <is>
          <t>VÄSTERBOTTENS LÄN</t>
        </is>
      </c>
      <c r="G472" t="inlineStr">
        <is>
          <t>NORDMALING</t>
        </is>
      </c>
      <c r="I472" t="n">
        <v>10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45877</v>
      </c>
      <c r="E473" s="1" t="n">
        <v>46284</v>
      </c>
      <c r="F473" t="inlineStr">
        <is>
          <t>VÄSTERBOTTENS LÄN</t>
        </is>
      </c>
      <c r="G473" t="inlineStr">
        <is>
          <t>NORDMALING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45890</v>
      </c>
      <c r="E474" s="1" t="n">
        <v>46284</v>
      </c>
      <c r="F474" t="inlineStr">
        <is>
          <t>VÄSTERBOTTENS LÄN</t>
        </is>
      </c>
      <c r="G474" t="inlineStr">
        <is>
          <t>NORDMALING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45866</v>
      </c>
      <c r="E475" s="1" t="n">
        <v>46284</v>
      </c>
      <c r="F475" t="inlineStr">
        <is>
          <t>VÄSTERBOTTENS LÄN</t>
        </is>
      </c>
      <c r="G475" t="inlineStr">
        <is>
          <t>NORDMALING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46284</v>
      </c>
      <c r="F476" t="inlineStr">
        <is>
          <t>VÄSTERBOTTENS LÄN</t>
        </is>
      </c>
      <c r="G476" t="inlineStr">
        <is>
          <t>NORDMALING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46284</v>
      </c>
      <c r="F477" t="inlineStr">
        <is>
          <t>VÄSTERBOTTENS LÄN</t>
        </is>
      </c>
      <c r="G477" t="inlineStr">
        <is>
          <t>NORDMALING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46284</v>
      </c>
      <c r="F478" t="inlineStr">
        <is>
          <t>VÄSTERBOTTENS LÄN</t>
        </is>
      </c>
      <c r="G478" t="inlineStr">
        <is>
          <t>NORDMALING</t>
        </is>
      </c>
      <c r="I478" t="n">
        <v>8.5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46284</v>
      </c>
      <c r="F479" t="inlineStr">
        <is>
          <t>VÄSTERBOTTENS LÄN</t>
        </is>
      </c>
      <c r="G479" t="inlineStr">
        <is>
          <t>NORDMALING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25349-2024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46284</v>
      </c>
      <c r="F480" t="inlineStr">
        <is>
          <t>VÄSTERBOTTENS LÄN</t>
        </is>
      </c>
      <c r="G480" t="inlineStr">
        <is>
          <t>NORDMALING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46284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44722</v>
      </c>
      <c r="E482" s="1" t="n">
        <v>46284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45348</v>
      </c>
      <c r="E483" s="1" t="n">
        <v>46284</v>
      </c>
      <c r="F483" t="inlineStr">
        <is>
          <t>VÄSTERBOTTENS LÄN</t>
        </is>
      </c>
      <c r="G483" t="inlineStr">
        <is>
          <t>NORDMALING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45096</v>
      </c>
      <c r="E484" s="1" t="n">
        <v>46284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SCA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47777-2022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44854</v>
      </c>
      <c r="E485" s="1" t="n">
        <v>46284</v>
      </c>
      <c r="F485" t="inlineStr">
        <is>
          <t>VÄSTERBOTTENS LÄN</t>
        </is>
      </c>
      <c r="G485" t="inlineStr">
        <is>
          <t>NORDMALING</t>
        </is>
      </c>
      <c r="I485" t="n">
        <v>10.5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45139</v>
      </c>
      <c r="E486" s="1" t="n">
        <v>46284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43541-2024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45569</v>
      </c>
      <c r="E487" s="1" t="n">
        <v>46284</v>
      </c>
      <c r="F487" t="inlineStr">
        <is>
          <t>VÄSTERBOTTENS LÄN</t>
        </is>
      </c>
      <c r="G487" t="inlineStr">
        <is>
          <t>NORDMALING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49417-2022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44859</v>
      </c>
      <c r="E488" s="1" t="n">
        <v>46284</v>
      </c>
      <c r="F488" t="inlineStr">
        <is>
          <t>VÄSTERBOTTENS LÄN</t>
        </is>
      </c>
      <c r="G488" t="inlineStr">
        <is>
          <t>NORDMALING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45241</v>
      </c>
      <c r="E489" s="1" t="n">
        <v>46284</v>
      </c>
      <c r="F489" t="inlineStr">
        <is>
          <t>VÄSTERBOTTENS LÄN</t>
        </is>
      </c>
      <c r="G489" t="inlineStr">
        <is>
          <t>NORDMALING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45147</v>
      </c>
      <c r="E490" s="1" t="n">
        <v>46284</v>
      </c>
      <c r="F490" t="inlineStr">
        <is>
          <t>VÄSTERBOTTENS LÄN</t>
        </is>
      </c>
      <c r="G490" t="inlineStr">
        <is>
          <t>NORDMALING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45742</v>
      </c>
      <c r="E491" s="1" t="n">
        <v>46284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45575</v>
      </c>
      <c r="E492" s="1" t="n">
        <v>46284</v>
      </c>
      <c r="F492" t="inlineStr">
        <is>
          <t>VÄSTERBOTTENS LÄN</t>
        </is>
      </c>
      <c r="G492" t="inlineStr">
        <is>
          <t>NORDMALING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46284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46284</v>
      </c>
      <c r="F494" t="inlineStr">
        <is>
          <t>VÄSTERBOTTENS LÄN</t>
        </is>
      </c>
      <c r="G494" t="inlineStr">
        <is>
          <t>NORDMALING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32183-2023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45119</v>
      </c>
      <c r="E495" s="1" t="n">
        <v>46284</v>
      </c>
      <c r="F495" t="inlineStr">
        <is>
          <t>VÄSTERBOTTENS LÄN</t>
        </is>
      </c>
      <c r="G495" t="inlineStr">
        <is>
          <t>NORDMALING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17496-2023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46284</v>
      </c>
      <c r="F496" t="inlineStr">
        <is>
          <t>VÄSTERBOTTENS LÄN</t>
        </is>
      </c>
      <c r="G496" t="inlineStr">
        <is>
          <t>NORDMALING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45566</v>
      </c>
      <c r="E497" s="1" t="n">
        <v>46284</v>
      </c>
      <c r="F497" t="inlineStr">
        <is>
          <t>VÄSTERBOTTENS LÄN</t>
        </is>
      </c>
      <c r="G497" t="inlineStr">
        <is>
          <t>NORDMALING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38274-2022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46284</v>
      </c>
      <c r="F498" t="inlineStr">
        <is>
          <t>VÄSTERBOTTENS LÄN</t>
        </is>
      </c>
      <c r="G498" t="inlineStr">
        <is>
          <t>NORDMALING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46284</v>
      </c>
      <c r="F499" t="inlineStr">
        <is>
          <t>VÄSTERBOTTENS LÄN</t>
        </is>
      </c>
      <c r="G499" t="inlineStr">
        <is>
          <t>NORDMALING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45141</v>
      </c>
      <c r="E500" s="1" t="n">
        <v>46284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46284</v>
      </c>
      <c r="F501" t="inlineStr">
        <is>
          <t>VÄSTERBOTTENS LÄN</t>
        </is>
      </c>
      <c r="G501" t="inlineStr">
        <is>
          <t>NORDMALING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46284</v>
      </c>
      <c r="F502" t="inlineStr">
        <is>
          <t>VÄSTERBOTTENS LÄN</t>
        </is>
      </c>
      <c r="G502" t="inlineStr">
        <is>
          <t>NORDMALING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46284</v>
      </c>
      <c r="F503" t="inlineStr">
        <is>
          <t>VÄSTERBOTTENS LÄN</t>
        </is>
      </c>
      <c r="G503" t="inlineStr">
        <is>
          <t>NORDMALING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46284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46284</v>
      </c>
      <c r="F505" t="inlineStr">
        <is>
          <t>VÄSTERBOTTENS LÄN</t>
        </is>
      </c>
      <c r="G505" t="inlineStr">
        <is>
          <t>NORDMALING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46284</v>
      </c>
      <c r="F506" t="inlineStr">
        <is>
          <t>VÄSTERBOTTENS LÄN</t>
        </is>
      </c>
      <c r="G506" t="inlineStr">
        <is>
          <t>NORDMALING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44816</v>
      </c>
      <c r="E507" s="1" t="n">
        <v>46284</v>
      </c>
      <c r="F507" t="inlineStr">
        <is>
          <t>VÄSTERBOTTENS LÄN</t>
        </is>
      </c>
      <c r="G507" t="inlineStr">
        <is>
          <t>NORDMALING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46284</v>
      </c>
      <c r="F508" t="inlineStr">
        <is>
          <t>VÄSTERBOTTENS LÄN</t>
        </is>
      </c>
      <c r="G508" t="inlineStr">
        <is>
          <t>NORDMALING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46284</v>
      </c>
      <c r="F509" t="inlineStr">
        <is>
          <t>VÄSTERBOTTENS LÄN</t>
        </is>
      </c>
      <c r="G509" t="inlineStr">
        <is>
          <t>NORDMALING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46284</v>
      </c>
      <c r="F510" t="inlineStr">
        <is>
          <t>VÄSTERBOTTENS LÄN</t>
        </is>
      </c>
      <c r="G510" t="inlineStr">
        <is>
          <t>NORDMALING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34878-2026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46284</v>
      </c>
      <c r="F511" t="inlineStr">
        <is>
          <t>VÄSTERBOTTENS LÄN</t>
        </is>
      </c>
      <c r="G511" t="inlineStr">
        <is>
          <t>NORDMALING</t>
        </is>
      </c>
      <c r="I511" t="n">
        <v>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46284</v>
      </c>
      <c r="F512" t="inlineStr">
        <is>
          <t>VÄSTERBOTTENS LÄN</t>
        </is>
      </c>
      <c r="G512" t="inlineStr">
        <is>
          <t>NORDMALING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46284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46284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Kyrkan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46284</v>
      </c>
      <c r="F515" t="inlineStr">
        <is>
          <t>VÄSTERBOTTENS LÄN</t>
        </is>
      </c>
      <c r="G515" t="inlineStr">
        <is>
          <t>NORDMALING</t>
        </is>
      </c>
      <c r="I515" t="n">
        <v>82.40000000000001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46284</v>
      </c>
      <c r="F516" t="inlineStr">
        <is>
          <t>VÄSTERBOTTENS LÄN</t>
        </is>
      </c>
      <c r="G516" t="inlineStr">
        <is>
          <t>NORDMALING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46284</v>
      </c>
      <c r="F517" t="inlineStr">
        <is>
          <t>VÄSTERBOTTENS LÄN</t>
        </is>
      </c>
      <c r="G517" t="inlineStr">
        <is>
          <t>NORDMALING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18232-2024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45420</v>
      </c>
      <c r="E518" s="1" t="n">
        <v>46284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46284</v>
      </c>
      <c r="F519" t="inlineStr">
        <is>
          <t>VÄSTERBOTTENS LÄN</t>
        </is>
      </c>
      <c r="G519" t="inlineStr">
        <is>
          <t>NORDMALING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46284</v>
      </c>
      <c r="F520" t="inlineStr">
        <is>
          <t>VÄSTERBOTTENS LÄN</t>
        </is>
      </c>
      <c r="G520" t="inlineStr">
        <is>
          <t>NORDMALING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46284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45491</v>
      </c>
      <c r="E522" s="1" t="n">
        <v>46284</v>
      </c>
      <c r="F522" t="inlineStr">
        <is>
          <t>VÄSTERBOTTENS LÄN</t>
        </is>
      </c>
      <c r="G522" t="inlineStr">
        <is>
          <t>NORDMALING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45140</v>
      </c>
      <c r="E523" s="1" t="n">
        <v>46284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46284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45988</v>
      </c>
      <c r="E525" s="1" t="n">
        <v>46284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55305-2023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46284</v>
      </c>
      <c r="F526" t="inlineStr">
        <is>
          <t>VÄSTERBOTTENS LÄN</t>
        </is>
      </c>
      <c r="G526" t="inlineStr">
        <is>
          <t>NORDMALING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35291-2023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45145</v>
      </c>
      <c r="E527" s="1" t="n">
        <v>46284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46284</v>
      </c>
      <c r="F528" t="inlineStr">
        <is>
          <t>VÄSTERBOTTENS LÄN</t>
        </is>
      </c>
      <c r="G528" t="inlineStr">
        <is>
          <t>NORDMALING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69516-2021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44531</v>
      </c>
      <c r="E529" s="1" t="n">
        <v>46284</v>
      </c>
      <c r="F529" t="inlineStr">
        <is>
          <t>VÄSTERBOTTENS LÄN</t>
        </is>
      </c>
      <c r="G529" t="inlineStr">
        <is>
          <t>NORDMALING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45147</v>
      </c>
      <c r="E530" s="1" t="n">
        <v>46284</v>
      </c>
      <c r="F530" t="inlineStr">
        <is>
          <t>VÄSTERBOTTENS LÄN</t>
        </is>
      </c>
      <c r="G530" t="inlineStr">
        <is>
          <t>NORDMALING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35843-2026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46284</v>
      </c>
      <c r="F531" t="inlineStr">
        <is>
          <t>VÄSTERBOTTENS LÄN</t>
        </is>
      </c>
      <c r="G531" t="inlineStr">
        <is>
          <t>NORDMALING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46284</v>
      </c>
      <c r="F532" t="inlineStr">
        <is>
          <t>VÄSTERBOTTENS LÄN</t>
        </is>
      </c>
      <c r="G532" t="inlineStr">
        <is>
          <t>NORDMALING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46284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Kyrkan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46136</v>
      </c>
      <c r="E534" s="1" t="n">
        <v>46284</v>
      </c>
      <c r="F534" t="inlineStr">
        <is>
          <t>VÄSTERBOTTENS LÄN</t>
        </is>
      </c>
      <c r="G534" t="inlineStr">
        <is>
          <t>NORDMALING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45676</v>
      </c>
      <c r="E535" s="1" t="n">
        <v>46284</v>
      </c>
      <c r="F535" t="inlineStr">
        <is>
          <t>VÄSTERBOTTENS LÄN</t>
        </is>
      </c>
      <c r="G535" t="inlineStr">
        <is>
          <t>NORDMALING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44950-2023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46284</v>
      </c>
      <c r="F536" t="inlineStr">
        <is>
          <t>VÄSTERBOTTENS LÄN</t>
        </is>
      </c>
      <c r="G536" t="inlineStr">
        <is>
          <t>NORDMALING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46284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35566-2026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46262</v>
      </c>
      <c r="E538" s="1" t="n">
        <v>46284</v>
      </c>
      <c r="F538" t="inlineStr">
        <is>
          <t>VÄSTERBOTTENS LÄN</t>
        </is>
      </c>
      <c r="G538" t="inlineStr">
        <is>
          <t>NORDMALING</t>
        </is>
      </c>
      <c r="H538" t="inlineStr">
        <is>
          <t>Kyrkan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46284</v>
      </c>
      <c r="F539" t="inlineStr">
        <is>
          <t>VÄSTERBOTTENS LÄN</t>
        </is>
      </c>
      <c r="G539" t="inlineStr">
        <is>
          <t>NORDMALING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46284</v>
      </c>
      <c r="F540" t="inlineStr">
        <is>
          <t>VÄSTERBOTTENS LÄN</t>
        </is>
      </c>
      <c r="G540" t="inlineStr">
        <is>
          <t>NORDMALING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46266</v>
      </c>
      <c r="E541" s="1" t="n">
        <v>46284</v>
      </c>
      <c r="F541" t="inlineStr">
        <is>
          <t>VÄSTERBOTTENS LÄN</t>
        </is>
      </c>
      <c r="G541" t="inlineStr">
        <is>
          <t>NORDMALING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35607-2026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46263</v>
      </c>
      <c r="E542" s="1" t="n">
        <v>46284</v>
      </c>
      <c r="F542" t="inlineStr">
        <is>
          <t>VÄSTERBOTTENS LÄN</t>
        </is>
      </c>
      <c r="G542" t="inlineStr">
        <is>
          <t>NORDMALING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45772</v>
      </c>
      <c r="E543" s="1" t="n">
        <v>46284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45187</v>
      </c>
      <c r="E544" s="1" t="n">
        <v>46284</v>
      </c>
      <c r="F544" t="inlineStr">
        <is>
          <t>VÄSTERBOTTENS LÄN</t>
        </is>
      </c>
      <c r="G544" t="inlineStr">
        <is>
          <t>NORDMALING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54169-2024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46284</v>
      </c>
      <c r="F545" t="inlineStr">
        <is>
          <t>VÄSTERBOTTENS LÄN</t>
        </is>
      </c>
      <c r="G545" t="inlineStr">
        <is>
          <t>NORDMALING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46284</v>
      </c>
      <c r="F546" t="inlineStr">
        <is>
          <t>VÄSTERBOTTENS LÄN</t>
        </is>
      </c>
      <c r="G546" t="inlineStr">
        <is>
          <t>NORDMALING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45638</v>
      </c>
      <c r="E547" s="1" t="n">
        <v>46284</v>
      </c>
      <c r="F547" t="inlineStr">
        <is>
          <t>VÄSTERBOTTENS LÄN</t>
        </is>
      </c>
      <c r="G547" t="inlineStr">
        <is>
          <t>NORDMALING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46284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45783</v>
      </c>
      <c r="E549" s="1" t="n">
        <v>46284</v>
      </c>
      <c r="F549" t="inlineStr">
        <is>
          <t>VÄSTERBOTTENS LÄN</t>
        </is>
      </c>
      <c r="G549" t="inlineStr">
        <is>
          <t>NORDMALING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45783</v>
      </c>
      <c r="E550" s="1" t="n">
        <v>46284</v>
      </c>
      <c r="F550" t="inlineStr">
        <is>
          <t>VÄSTERBOTTENS LÄN</t>
        </is>
      </c>
      <c r="G550" t="inlineStr">
        <is>
          <t>NORDMALING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46284</v>
      </c>
      <c r="F551" t="inlineStr">
        <is>
          <t>VÄSTERBOTTENS LÄN</t>
        </is>
      </c>
      <c r="G551" t="inlineStr">
        <is>
          <t>NORDMALING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45936</v>
      </c>
      <c r="E552" s="1" t="n">
        <v>46284</v>
      </c>
      <c r="F552" t="inlineStr">
        <is>
          <t>VÄSTERBOTTENS LÄN</t>
        </is>
      </c>
      <c r="G552" t="inlineStr">
        <is>
          <t>NORDMALING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46284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46275</v>
      </c>
      <c r="E554" s="1" t="n">
        <v>46284</v>
      </c>
      <c r="F554" t="inlineStr">
        <is>
          <t>VÄSTERBOTTENS LÄN</t>
        </is>
      </c>
      <c r="G554" t="inlineStr">
        <is>
          <t>NORDMALING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46274</v>
      </c>
      <c r="E555" s="1" t="n">
        <v>46284</v>
      </c>
      <c r="F555" t="inlineStr">
        <is>
          <t>VÄSTERBOTTENS LÄN</t>
        </is>
      </c>
      <c r="G555" t="inlineStr">
        <is>
          <t>NORDMALING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46284</v>
      </c>
      <c r="F556" t="inlineStr">
        <is>
          <t>VÄSTERBOTTENS LÄN</t>
        </is>
      </c>
      <c r="G556" t="inlineStr">
        <is>
          <t>NORDMALING</t>
        </is>
      </c>
      <c r="I556" t="n">
        <v>7.1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46284</v>
      </c>
      <c r="F557" t="inlineStr">
        <is>
          <t>VÄSTERBOTTENS LÄN</t>
        </is>
      </c>
      <c r="G557" t="inlineStr">
        <is>
          <t>NORDMALING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50969-2024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46284</v>
      </c>
      <c r="F558" t="inlineStr">
        <is>
          <t>VÄSTERBOTTENS LÄN</t>
        </is>
      </c>
      <c r="G558" t="inlineStr">
        <is>
          <t>NORDMALING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61616-2023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45261</v>
      </c>
      <c r="E559" s="1" t="n">
        <v>46284</v>
      </c>
      <c r="F559" t="inlineStr">
        <is>
          <t>VÄSTERBOTTENS LÄN</t>
        </is>
      </c>
      <c r="G559" t="inlineStr">
        <is>
          <t>NORDMALING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45789</v>
      </c>
      <c r="E560" s="1" t="n">
        <v>46284</v>
      </c>
      <c r="F560" t="inlineStr">
        <is>
          <t>VÄSTERBOTTENS LÄN</t>
        </is>
      </c>
      <c r="G560" t="inlineStr">
        <is>
          <t>NORDMALING</t>
        </is>
      </c>
      <c r="I560" t="n">
        <v>11.9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46274</v>
      </c>
      <c r="E561" s="1" t="n">
        <v>46284</v>
      </c>
      <c r="F561" t="inlineStr">
        <is>
          <t>VÄSTERBOTTENS LÄN</t>
        </is>
      </c>
      <c r="G561" t="inlineStr">
        <is>
          <t>NORDMALING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37969-2026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46280</v>
      </c>
      <c r="E562" s="1" t="n">
        <v>46284</v>
      </c>
      <c r="F562" t="inlineStr">
        <is>
          <t>VÄSTERBOTTENS LÄN</t>
        </is>
      </c>
      <c r="G562" t="inlineStr">
        <is>
          <t>NORDMALING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46284</v>
      </c>
      <c r="F563" t="inlineStr">
        <is>
          <t>VÄSTERBOTTENS LÄN</t>
        </is>
      </c>
      <c r="G563" t="inlineStr">
        <is>
          <t>NORDMALING</t>
        </is>
      </c>
      <c r="I563" t="n">
        <v>20.3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23029-2025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46284</v>
      </c>
      <c r="F564" t="inlineStr">
        <is>
          <t>VÄSTERBOTTENS LÄN</t>
        </is>
      </c>
      <c r="G564" t="inlineStr">
        <is>
          <t>NORDMALING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46284</v>
      </c>
      <c r="F565" t="inlineStr">
        <is>
          <t>VÄSTERBOTTENS LÄN</t>
        </is>
      </c>
      <c r="G565" t="inlineStr">
        <is>
          <t>NORDMALING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46284</v>
      </c>
      <c r="F566" t="inlineStr">
        <is>
          <t>VÄSTERBOTTENS LÄN</t>
        </is>
      </c>
      <c r="G566" t="inlineStr">
        <is>
          <t>NORDMALING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17711-2023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45036</v>
      </c>
      <c r="E567" s="1" t="n">
        <v>46284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46239</v>
      </c>
      <c r="E568" s="1" t="n">
        <v>46284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46284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Kyrkan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24045-2025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45796</v>
      </c>
      <c r="E570" s="1" t="n">
        <v>46284</v>
      </c>
      <c r="F570" t="inlineStr">
        <is>
          <t>VÄSTERBOTTENS LÄN</t>
        </is>
      </c>
      <c r="G570" t="inlineStr">
        <is>
          <t>NORDMALING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45699</v>
      </c>
      <c r="E571" s="1" t="n">
        <v>46284</v>
      </c>
      <c r="F571" t="inlineStr">
        <is>
          <t>VÄSTERBOTTENS LÄN</t>
        </is>
      </c>
      <c r="G571" t="inlineStr">
        <is>
          <t>NORDMALING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45799</v>
      </c>
      <c r="E572" s="1" t="n">
        <v>46284</v>
      </c>
      <c r="F572" t="inlineStr">
        <is>
          <t>VÄSTERBOTTENS LÄN</t>
        </is>
      </c>
      <c r="G572" t="inlineStr">
        <is>
          <t>NORDMALING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46284</v>
      </c>
      <c r="F573" t="inlineStr">
        <is>
          <t>VÄSTERBOTTENS LÄN</t>
        </is>
      </c>
      <c r="G573" t="inlineStr">
        <is>
          <t>NORDMALING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45607</v>
      </c>
      <c r="E574" s="1" t="n">
        <v>46284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46284</v>
      </c>
      <c r="F575" t="inlineStr">
        <is>
          <t>VÄSTERBOTTENS LÄN</t>
        </is>
      </c>
      <c r="G575" t="inlineStr">
        <is>
          <t>NORDMALING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46284</v>
      </c>
      <c r="F576" t="inlineStr">
        <is>
          <t>VÄSTERBOTTENS LÄN</t>
        </is>
      </c>
      <c r="G576" t="inlineStr">
        <is>
          <t>NORDMALING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46284</v>
      </c>
      <c r="F577" t="inlineStr">
        <is>
          <t>VÄSTERBOTTENS LÄN</t>
        </is>
      </c>
      <c r="G577" t="inlineStr">
        <is>
          <t>NORDMALING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45825</v>
      </c>
      <c r="E578" s="1" t="n">
        <v>46284</v>
      </c>
      <c r="F578" t="inlineStr">
        <is>
          <t>VÄSTERBOTTENS LÄN</t>
        </is>
      </c>
      <c r="G578" t="inlineStr">
        <is>
          <t>NORDMALING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29606-2025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45825</v>
      </c>
      <c r="E579" s="1" t="n">
        <v>46284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46284</v>
      </c>
      <c r="F580" t="inlineStr">
        <is>
          <t>VÄSTERBOTTENS LÄN</t>
        </is>
      </c>
      <c r="G580" t="inlineStr">
        <is>
          <t>NORDMALING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45835</v>
      </c>
      <c r="E581" s="1" t="n">
        <v>46284</v>
      </c>
      <c r="F581" t="inlineStr">
        <is>
          <t>VÄSTERBOTTENS LÄN</t>
        </is>
      </c>
      <c r="G581" t="inlineStr">
        <is>
          <t>NORDMALING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32575-2025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46284</v>
      </c>
      <c r="F582" t="inlineStr">
        <is>
          <t>VÄSTERBOTTENS LÄN</t>
        </is>
      </c>
      <c r="G582" t="inlineStr">
        <is>
          <t>NORDMALING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46284</v>
      </c>
      <c r="F583" t="inlineStr">
        <is>
          <t>VÄSTERBOTTENS LÄN</t>
        </is>
      </c>
      <c r="G583" t="inlineStr">
        <is>
          <t>NORDMALING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46284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34601-2025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46284</v>
      </c>
      <c r="F585" t="inlineStr">
        <is>
          <t>VÄSTERBOTTENS LÄN</t>
        </is>
      </c>
      <c r="G585" t="inlineStr">
        <is>
          <t>NORDMALING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45849</v>
      </c>
      <c r="E586" s="1" t="n">
        <v>46284</v>
      </c>
      <c r="F586" t="inlineStr">
        <is>
          <t>VÄSTERBOTTENS LÄN</t>
        </is>
      </c>
      <c r="G586" t="inlineStr">
        <is>
          <t>NORDMALING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35057-2025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45852</v>
      </c>
      <c r="E587" s="1" t="n">
        <v>46284</v>
      </c>
      <c r="F587" t="inlineStr">
        <is>
          <t>VÄSTERBOTTENS LÄN</t>
        </is>
      </c>
      <c r="G587" t="inlineStr">
        <is>
          <t>NORDMALING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45470</v>
      </c>
      <c r="E588" s="1" t="n">
        <v>46284</v>
      </c>
      <c r="F588" t="inlineStr">
        <is>
          <t>VÄSTERBOTTENS LÄN</t>
        </is>
      </c>
      <c r="G588" t="inlineStr">
        <is>
          <t>NORDMALING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45867</v>
      </c>
      <c r="E589" s="1" t="n">
        <v>46284</v>
      </c>
      <c r="F589" t="inlineStr">
        <is>
          <t>VÄSTERBOTTENS LÄN</t>
        </is>
      </c>
      <c r="G589" t="inlineStr">
        <is>
          <t>NORDMALING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36077-2025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45866</v>
      </c>
      <c r="E590" s="1" t="n">
        <v>46284</v>
      </c>
      <c r="F590" t="inlineStr">
        <is>
          <t>VÄSTERBOTTENS LÄN</t>
        </is>
      </c>
      <c r="G590" t="inlineStr">
        <is>
          <t>NORDMALING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46284</v>
      </c>
      <c r="F591" t="inlineStr">
        <is>
          <t>VÄSTERBOTTENS LÄN</t>
        </is>
      </c>
      <c r="G591" t="inlineStr">
        <is>
          <t>NORDMALING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38365-2025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45883</v>
      </c>
      <c r="E592" s="1" t="n">
        <v>46284</v>
      </c>
      <c r="F592" t="inlineStr">
        <is>
          <t>VÄSTERBOTTENS LÄN</t>
        </is>
      </c>
      <c r="G592" t="inlineStr">
        <is>
          <t>NORDMALING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38260-2025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45883</v>
      </c>
      <c r="E593" s="1" t="n">
        <v>46284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44603</v>
      </c>
      <c r="E594" s="1" t="n">
        <v>46284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183.1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46284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46284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44559</v>
      </c>
      <c r="E597" s="1" t="n">
        <v>46284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73-2025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45667</v>
      </c>
      <c r="E598" s="1" t="n">
        <v>46284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9259-2021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44517</v>
      </c>
      <c r="E599" s="1" t="n">
        <v>46284</v>
      </c>
      <c r="F599" t="inlineStr">
        <is>
          <t>VÄSTERBOTTENS LÄN</t>
        </is>
      </c>
      <c r="G599" t="inlineStr">
        <is>
          <t>NORDMALING</t>
        </is>
      </c>
      <c r="I599" t="n">
        <v>17.8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4194-2023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45250</v>
      </c>
      <c r="E600" s="1" t="n">
        <v>46284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27.6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5071-2024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45638</v>
      </c>
      <c r="E601" s="1" t="n">
        <v>46284</v>
      </c>
      <c r="F601" t="inlineStr">
        <is>
          <t>VÄSTERBOTTENS LÄN</t>
        </is>
      </c>
      <c r="G601" t="inlineStr">
        <is>
          <t>NORDMALING</t>
        </is>
      </c>
      <c r="I601" t="n">
        <v>19.9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1247-2025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46284</v>
      </c>
      <c r="F602" t="inlineStr">
        <is>
          <t>VÄSTERBOTTENS LÄN</t>
        </is>
      </c>
      <c r="G602" t="inlineStr">
        <is>
          <t>NORDMALING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1248-2025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46284</v>
      </c>
      <c r="F603" t="inlineStr">
        <is>
          <t>VÄSTERBOTTENS LÄN</t>
        </is>
      </c>
      <c r="G603" t="inlineStr">
        <is>
          <t>NORDMALING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445-2026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46284</v>
      </c>
      <c r="F604" t="inlineStr">
        <is>
          <t>VÄSTERBOTTENS LÄN</t>
        </is>
      </c>
      <c r="G604" t="inlineStr">
        <is>
          <t>NORDMALING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46070</v>
      </c>
      <c r="E605" s="1" t="n">
        <v>46284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73.59999999999999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46284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443-2026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46284</v>
      </c>
      <c r="F607" t="inlineStr">
        <is>
          <t>VÄSTERBOTTENS LÄN</t>
        </is>
      </c>
      <c r="G607" t="inlineStr">
        <is>
          <t>NORDMALING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46135</v>
      </c>
      <c r="E608" s="1" t="n">
        <v>46284</v>
      </c>
      <c r="F608" t="inlineStr">
        <is>
          <t>VÄSTERBOTTENS LÄN</t>
        </is>
      </c>
      <c r="G608" t="inlineStr">
        <is>
          <t>NORDMALING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1299-2026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46148</v>
      </c>
      <c r="E609" s="1" t="n">
        <v>46284</v>
      </c>
      <c r="F609" t="inlineStr">
        <is>
          <t>VÄSTERBOTTENS LÄN</t>
        </is>
      </c>
      <c r="G609" t="inlineStr">
        <is>
          <t>NORDMALING</t>
        </is>
      </c>
      <c r="I609" t="n">
        <v>17.6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2026-09-19T02:04:55Z</dcterms:created>
  <dcterms:modified xmlns:dcterms="http://purl.org/dc/terms/" xmlns:xsi="http://www.w3.org/2001/XMLSchema-instance" xsi:type="dcterms:W3CDTF">2026-09-19T02:04:56Z</dcterms:modified>
</cp:coreProperties>
</file>