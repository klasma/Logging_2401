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46110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46110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46110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46110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46110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46110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46110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46110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46110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46110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46110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46110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46110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46110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46110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60756-2025</t>
        </is>
      </c>
      <c r="B27" s="1" t="n">
        <v>45999.38415509259</v>
      </c>
      <c r="C27" s="1" t="n">
        <v>46110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8.800000000000001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HYPERLINK("https://klasma.github.io/Logging_2401/artfynd/A 60756-2025 artfynd.xlsx", "A 60756-2025")</f>
        <v/>
      </c>
      <c r="T27">
        <f>HYPERLINK("https://klasma.github.io/Logging_2401/kartor/A 60756-2025 karta.png", "A 60756-2025")</f>
        <v/>
      </c>
      <c r="V27">
        <f>HYPERLINK("https://klasma.github.io/Logging_2401/klagomål/A 60756-2025 FSC-klagomål.docx", "A 60756-2025")</f>
        <v/>
      </c>
      <c r="W27">
        <f>HYPERLINK("https://klasma.github.io/Logging_2401/klagomålsmail/A 60756-2025 FSC-klagomål mail.docx", "A 60756-2025")</f>
        <v/>
      </c>
      <c r="X27">
        <f>HYPERLINK("https://klasma.github.io/Logging_2401/tillsyn/A 60756-2025 tillsynsbegäran.docx", "A 60756-2025")</f>
        <v/>
      </c>
      <c r="Y27">
        <f>HYPERLINK("https://klasma.github.io/Logging_2401/tillsynsmail/A 60756-2025 tillsynsbegäran mail.docx", "A 60756-2025")</f>
        <v/>
      </c>
    </row>
    <row r="28" ht="15" customHeight="1">
      <c r="A28" t="inlineStr">
        <is>
          <t>A 60849-2025</t>
        </is>
      </c>
      <c r="B28" s="1" t="n">
        <v>45999.50113425926</v>
      </c>
      <c r="C28" s="1" t="n">
        <v>46110</v>
      </c>
      <c r="D28" t="inlineStr">
        <is>
          <t>VÄSTERBOTTENS LÄN</t>
        </is>
      </c>
      <c r="E28" t="inlineStr">
        <is>
          <t>NORDMALING</t>
        </is>
      </c>
      <c r="G28" t="n">
        <v>13.5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HYPERLINK("https://klasma.github.io/Logging_2401/artfynd/A 60849-2025 artfynd.xlsx", "A 60849-2025")</f>
        <v/>
      </c>
      <c r="T28">
        <f>HYPERLINK("https://klasma.github.io/Logging_2401/kartor/A 60849-2025 karta.png", "A 60849-2025")</f>
        <v/>
      </c>
      <c r="V28">
        <f>HYPERLINK("https://klasma.github.io/Logging_2401/klagomål/A 60849-2025 FSC-klagomål.docx", "A 60849-2025")</f>
        <v/>
      </c>
      <c r="W28">
        <f>HYPERLINK("https://klasma.github.io/Logging_2401/klagomålsmail/A 60849-2025 FSC-klagomål mail.docx", "A 60849-2025")</f>
        <v/>
      </c>
      <c r="X28">
        <f>HYPERLINK("https://klasma.github.io/Logging_2401/tillsyn/A 60849-2025 tillsynsbegäran.docx", "A 60849-2025")</f>
        <v/>
      </c>
      <c r="Y28">
        <f>HYPERLINK("https://klasma.github.io/Logging_2401/tillsynsmail/A 60849-2025 tillsynsbegäran mail.docx", "A 60849-2025")</f>
        <v/>
      </c>
    </row>
    <row r="29" ht="15" customHeight="1">
      <c r="A29" t="inlineStr">
        <is>
          <t>A 60773-2025</t>
        </is>
      </c>
      <c r="B29" s="1" t="n">
        <v>45999.38724537037</v>
      </c>
      <c r="C29" s="1" t="n">
        <v>46110</v>
      </c>
      <c r="D29" t="inlineStr">
        <is>
          <t>VÄSTERBOTTENS LÄN</t>
        </is>
      </c>
      <c r="E29" t="inlineStr">
        <is>
          <t>NORDMALING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60773-2025 artfynd.xlsx", "A 60773-2025")</f>
        <v/>
      </c>
      <c r="T29">
        <f>HYPERLINK("https://klasma.github.io/Logging_2401/kartor/A 60773-2025 karta.png", "A 60773-2025")</f>
        <v/>
      </c>
      <c r="V29">
        <f>HYPERLINK("https://klasma.github.io/Logging_2401/klagomål/A 60773-2025 FSC-klagomål.docx", "A 60773-2025")</f>
        <v/>
      </c>
      <c r="W29">
        <f>HYPERLINK("https://klasma.github.io/Logging_2401/klagomålsmail/A 60773-2025 FSC-klagomål mail.docx", "A 60773-2025")</f>
        <v/>
      </c>
      <c r="X29">
        <f>HYPERLINK("https://klasma.github.io/Logging_2401/tillsyn/A 60773-2025 tillsynsbegäran.docx", "A 60773-2025")</f>
        <v/>
      </c>
      <c r="Y29">
        <f>HYPERLINK("https://klasma.github.io/Logging_2401/tillsynsmail/A 60773-2025 tillsynsbegäran mail.docx", "A 60773-2025")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46110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46110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1433-2026</t>
        </is>
      </c>
      <c r="B32" s="1" t="n">
        <v>46032.43961805556</v>
      </c>
      <c r="C32" s="1" t="n">
        <v>46110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22.4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HYPERLINK("https://klasma.github.io/Logging_2401/artfynd/A 1433-2026 artfynd.xlsx", "A 1433-2026")</f>
        <v/>
      </c>
      <c r="T32">
        <f>HYPERLINK("https://klasma.github.io/Logging_2401/kartor/A 1433-2026 karta.png", "A 1433-2026")</f>
        <v/>
      </c>
      <c r="V32">
        <f>HYPERLINK("https://klasma.github.io/Logging_2401/klagomål/A 1433-2026 FSC-klagomål.docx", "A 1433-2026")</f>
        <v/>
      </c>
      <c r="W32">
        <f>HYPERLINK("https://klasma.github.io/Logging_2401/klagomålsmail/A 1433-2026 FSC-klagomål mail.docx", "A 1433-2026")</f>
        <v/>
      </c>
      <c r="X32">
        <f>HYPERLINK("https://klasma.github.io/Logging_2401/tillsyn/A 1433-2026 tillsynsbegäran.docx", "A 1433-2026")</f>
        <v/>
      </c>
      <c r="Y32">
        <f>HYPERLINK("https://klasma.github.io/Logging_2401/tillsynsmail/A 1433-2026 tillsynsbegäran mail.docx", "A 1433-2026")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46110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46110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46110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46110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46110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46110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46110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44195-2024</t>
        </is>
      </c>
      <c r="B40" s="1" t="n">
        <v>45573</v>
      </c>
      <c r="C40" s="1" t="n">
        <v>46110</v>
      </c>
      <c r="D40" t="inlineStr">
        <is>
          <t>VÄSTERBOTTENS LÄN</t>
        </is>
      </c>
      <c r="E40" t="inlineStr">
        <is>
          <t>NORDMALING</t>
        </is>
      </c>
      <c r="G40" t="n">
        <v>8.4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44195-2024 artfynd.xlsx", "A 44195-2024")</f>
        <v/>
      </c>
      <c r="T40">
        <f>HYPERLINK("https://klasma.github.io/Logging_2401/kartor/A 44195-2024 karta.png", "A 44195-2024")</f>
        <v/>
      </c>
      <c r="V40">
        <f>HYPERLINK("https://klasma.github.io/Logging_2401/klagomål/A 44195-2024 FSC-klagomål.docx", "A 44195-2024")</f>
        <v/>
      </c>
      <c r="W40">
        <f>HYPERLINK("https://klasma.github.io/Logging_2401/klagomålsmail/A 44195-2024 FSC-klagomål mail.docx", "A 44195-2024")</f>
        <v/>
      </c>
      <c r="X40">
        <f>HYPERLINK("https://klasma.github.io/Logging_2401/tillsyn/A 44195-2024 tillsynsbegäran.docx", "A 44195-2024")</f>
        <v/>
      </c>
      <c r="Y40">
        <f>HYPERLINK("https://klasma.github.io/Logging_2401/tillsynsmail/A 44195-2024 tillsynsbegäran mail.docx", "A 44195-2024")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46110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15970-2026</t>
        </is>
      </c>
      <c r="B42" s="1" t="n">
        <v>46108.34547453704</v>
      </c>
      <c r="C42" s="1" t="n">
        <v>46110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15970-2026 artfynd.xlsx", "A 15970-2026")</f>
        <v/>
      </c>
      <c r="T42">
        <f>HYPERLINK("https://klasma.github.io/Logging_2401/kartor/A 15970-2026 karta.png", "A 15970-2026")</f>
        <v/>
      </c>
      <c r="V42">
        <f>HYPERLINK("https://klasma.github.io/Logging_2401/klagomål/A 15970-2026 FSC-klagomål.docx", "A 15970-2026")</f>
        <v/>
      </c>
      <c r="W42">
        <f>HYPERLINK("https://klasma.github.io/Logging_2401/klagomålsmail/A 15970-2026 FSC-klagomål mail.docx", "A 15970-2026")</f>
        <v/>
      </c>
      <c r="X42">
        <f>HYPERLINK("https://klasma.github.io/Logging_2401/tillsyn/A 15970-2026 tillsynsbegäran.docx", "A 15970-2026")</f>
        <v/>
      </c>
      <c r="Y42">
        <f>HYPERLINK("https://klasma.github.io/Logging_2401/tillsynsmail/A 15970-2026 tillsynsbegäran mail.docx", "A 15970-2026")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46110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46110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46110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46110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46110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46110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46110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46110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46110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46110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46110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46110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46110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46110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46110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46110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46110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46110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46110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46110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46110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46110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46110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46110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46110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46110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46110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46110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46110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46110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46110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46110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46110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46110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46110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46110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46110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46110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46110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46110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50520-2023</t>
        </is>
      </c>
      <c r="B116" s="1" t="n">
        <v>45216</v>
      </c>
      <c r="C116" s="1" t="n">
        <v>46110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57065-2025</t>
        </is>
      </c>
      <c r="B117" s="1" t="n">
        <v>45979.38577546296</v>
      </c>
      <c r="C117" s="1" t="n">
        <v>46110</v>
      </c>
      <c r="D117" t="inlineStr">
        <is>
          <t>VÄSTERBOTTENS LÄN</t>
        </is>
      </c>
      <c r="E117" t="inlineStr">
        <is>
          <t>NORDMALING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57146-2025</t>
        </is>
      </c>
      <c r="B118" s="1" t="n">
        <v>45979.49057870371</v>
      </c>
      <c r="C118" s="1" t="n">
        <v>46110</v>
      </c>
      <c r="D118" t="inlineStr">
        <is>
          <t>VÄSTERBOTTENS LÄN</t>
        </is>
      </c>
      <c r="E118" t="inlineStr">
        <is>
          <t>NORDMALING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50969-2024</t>
        </is>
      </c>
      <c r="B119" s="1" t="n">
        <v>45603.33398148148</v>
      </c>
      <c r="C119" s="1" t="n">
        <v>46110</v>
      </c>
      <c r="D119" t="inlineStr">
        <is>
          <t>VÄSTERBOTTENS LÄN</t>
        </is>
      </c>
      <c r="E119" t="inlineStr">
        <is>
          <t>NORDMALING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43735-2021</t>
        </is>
      </c>
      <c r="B120" s="1" t="n">
        <v>44433</v>
      </c>
      <c r="C120" s="1" t="n">
        <v>46110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38490-2025</t>
        </is>
      </c>
      <c r="B121" s="1" t="n">
        <v>45884.34648148148</v>
      </c>
      <c r="C121" s="1" t="n">
        <v>46110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Naturvårdsverket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14431-2024</t>
        </is>
      </c>
      <c r="B122" s="1" t="n">
        <v>45394</v>
      </c>
      <c r="C122" s="1" t="n">
        <v>46110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57093-2025</t>
        </is>
      </c>
      <c r="B123" s="1" t="n">
        <v>45979.42771990741</v>
      </c>
      <c r="C123" s="1" t="n">
        <v>46110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57548-2025</t>
        </is>
      </c>
      <c r="B124" s="1" t="n">
        <v>45980.65704861111</v>
      </c>
      <c r="C124" s="1" t="n">
        <v>46110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57553-2025</t>
        </is>
      </c>
      <c r="B125" s="1" t="n">
        <v>45980.66048611111</v>
      </c>
      <c r="C125" s="1" t="n">
        <v>46110</v>
      </c>
      <c r="D125" t="inlineStr">
        <is>
          <t>VÄSTERBOTTENS LÄN</t>
        </is>
      </c>
      <c r="E125" t="inlineStr">
        <is>
          <t>NORDMALING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57535-2025</t>
        </is>
      </c>
      <c r="B126" s="1" t="n">
        <v>45980.64270833333</v>
      </c>
      <c r="C126" s="1" t="n">
        <v>46110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57541-2025</t>
        </is>
      </c>
      <c r="B127" s="1" t="n">
        <v>45980.65039351852</v>
      </c>
      <c r="C127" s="1" t="n">
        <v>46110</v>
      </c>
      <c r="D127" t="inlineStr">
        <is>
          <t>VÄSTERBOTTENS LÄN</t>
        </is>
      </c>
      <c r="E127" t="inlineStr">
        <is>
          <t>NORDMALING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57529-2025</t>
        </is>
      </c>
      <c r="B128" s="1" t="n">
        <v>45980.63456018519</v>
      </c>
      <c r="C128" s="1" t="n">
        <v>46110</v>
      </c>
      <c r="D128" t="inlineStr">
        <is>
          <t>VÄSTERBOTTENS LÄN</t>
        </is>
      </c>
      <c r="E128" t="inlineStr">
        <is>
          <t>NORDMALING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57388-2023</t>
        </is>
      </c>
      <c r="B129" s="1" t="n">
        <v>45245</v>
      </c>
      <c r="C129" s="1" t="n">
        <v>46110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22833-2025</t>
        </is>
      </c>
      <c r="B130" s="1" t="n">
        <v>45789.89773148148</v>
      </c>
      <c r="C130" s="1" t="n">
        <v>46110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23566-2024</t>
        </is>
      </c>
      <c r="B131" s="1" t="n">
        <v>45453.95530092593</v>
      </c>
      <c r="C131" s="1" t="n">
        <v>46110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57898-2025</t>
        </is>
      </c>
      <c r="B132" s="1" t="n">
        <v>45981.72505787037</v>
      </c>
      <c r="C132" s="1" t="n">
        <v>46110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57903-2025</t>
        </is>
      </c>
      <c r="B133" s="1" t="n">
        <v>45981.75262731482</v>
      </c>
      <c r="C133" s="1" t="n">
        <v>46110</v>
      </c>
      <c r="D133" t="inlineStr">
        <is>
          <t>VÄSTERBOTTENS LÄN</t>
        </is>
      </c>
      <c r="E133" t="inlineStr">
        <is>
          <t>NORDMALING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58075-2025</t>
        </is>
      </c>
      <c r="B134" s="1" t="n">
        <v>45982.55265046296</v>
      </c>
      <c r="C134" s="1" t="n">
        <v>46110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60175-2022</t>
        </is>
      </c>
      <c r="B135" s="1" t="n">
        <v>44909</v>
      </c>
      <c r="C135" s="1" t="n">
        <v>46110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61792-2023</t>
        </is>
      </c>
      <c r="B136" s="1" t="n">
        <v>45265</v>
      </c>
      <c r="C136" s="1" t="n">
        <v>46110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61793-2023</t>
        </is>
      </c>
      <c r="B137" s="1" t="n">
        <v>45265.958125</v>
      </c>
      <c r="C137" s="1" t="n">
        <v>46110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57897-2025</t>
        </is>
      </c>
      <c r="B138" s="1" t="n">
        <v>45981.71798611111</v>
      </c>
      <c r="C138" s="1" t="n">
        <v>46110</v>
      </c>
      <c r="D138" t="inlineStr">
        <is>
          <t>VÄSTERBOTTENS LÄN</t>
        </is>
      </c>
      <c r="E138" t="inlineStr">
        <is>
          <t>NORDMALING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57899-2025</t>
        </is>
      </c>
      <c r="B139" s="1" t="n">
        <v>45981.72832175926</v>
      </c>
      <c r="C139" s="1" t="n">
        <v>46110</v>
      </c>
      <c r="D139" t="inlineStr">
        <is>
          <t>VÄSTERBOTTENS LÄN</t>
        </is>
      </c>
      <c r="E139" t="inlineStr">
        <is>
          <t>NORDMALING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57901-2025</t>
        </is>
      </c>
      <c r="B140" s="1" t="n">
        <v>45981.74396990741</v>
      </c>
      <c r="C140" s="1" t="n">
        <v>46110</v>
      </c>
      <c r="D140" t="inlineStr">
        <is>
          <t>VÄSTERBOTTENS LÄN</t>
        </is>
      </c>
      <c r="E140" t="inlineStr">
        <is>
          <t>NORDMALING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23029-2025</t>
        </is>
      </c>
      <c r="B141" s="1" t="n">
        <v>45790.65723379629</v>
      </c>
      <c r="C141" s="1" t="n">
        <v>46110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23041-2025</t>
        </is>
      </c>
      <c r="B142" s="1" t="n">
        <v>45790.66664351852</v>
      </c>
      <c r="C142" s="1" t="n">
        <v>46110</v>
      </c>
      <c r="D142" t="inlineStr">
        <is>
          <t>VÄSTERBOTTENS LÄN</t>
        </is>
      </c>
      <c r="E142" t="inlineStr">
        <is>
          <t>NORDMALING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38260-2025</t>
        </is>
      </c>
      <c r="B143" s="1" t="n">
        <v>45883.39547453704</v>
      </c>
      <c r="C143" s="1" t="n">
        <v>46110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17711-2023</t>
        </is>
      </c>
      <c r="B144" s="1" t="n">
        <v>45036</v>
      </c>
      <c r="C144" s="1" t="n">
        <v>46110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22739-2025</t>
        </is>
      </c>
      <c r="B145" s="1" t="n">
        <v>45789.59297453704</v>
      </c>
      <c r="C145" s="1" t="n">
        <v>46110</v>
      </c>
      <c r="D145" t="inlineStr">
        <is>
          <t>VÄSTERBOTTENS LÄN</t>
        </is>
      </c>
      <c r="E145" t="inlineStr">
        <is>
          <t>NORDMALING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30183-2024</t>
        </is>
      </c>
      <c r="B146" s="1" t="n">
        <v>45489.94449074074</v>
      </c>
      <c r="C146" s="1" t="n">
        <v>46110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58621-2025</t>
        </is>
      </c>
      <c r="B147" s="1" t="n">
        <v>45986.46953703704</v>
      </c>
      <c r="C147" s="1" t="n">
        <v>46110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58620-2025</t>
        </is>
      </c>
      <c r="B148" s="1" t="n">
        <v>45986.46951388889</v>
      </c>
      <c r="C148" s="1" t="n">
        <v>46110</v>
      </c>
      <c r="D148" t="inlineStr">
        <is>
          <t>VÄSTERBOTTENS LÄN</t>
        </is>
      </c>
      <c r="E148" t="inlineStr">
        <is>
          <t>NORDMALING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58579-2025</t>
        </is>
      </c>
      <c r="B149" s="1" t="n">
        <v>45986.38587962963</v>
      </c>
      <c r="C149" s="1" t="n">
        <v>46110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58619-2025</t>
        </is>
      </c>
      <c r="B150" s="1" t="n">
        <v>45986.46949074074</v>
      </c>
      <c r="C150" s="1" t="n">
        <v>46110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22955-2025</t>
        </is>
      </c>
      <c r="B151" s="1" t="n">
        <v>45790.52902777777</v>
      </c>
      <c r="C151" s="1" t="n">
        <v>46110</v>
      </c>
      <c r="D151" t="inlineStr">
        <is>
          <t>VÄSTERBOTTENS LÄN</t>
        </is>
      </c>
      <c r="E151" t="inlineStr">
        <is>
          <t>NORDMALING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38864-2025</t>
        </is>
      </c>
      <c r="B152" s="1" t="n">
        <v>45887.56605324074</v>
      </c>
      <c r="C152" s="1" t="n">
        <v>46110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38870-2025</t>
        </is>
      </c>
      <c r="B153" s="1" t="n">
        <v>45887.57328703703</v>
      </c>
      <c r="C153" s="1" t="n">
        <v>46110</v>
      </c>
      <c r="D153" t="inlineStr">
        <is>
          <t>VÄSTERBOTTENS LÄN</t>
        </is>
      </c>
      <c r="E153" t="inlineStr">
        <is>
          <t>NORDMALING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38991-2025</t>
        </is>
      </c>
      <c r="B154" s="1" t="n">
        <v>45888.32443287037</v>
      </c>
      <c r="C154" s="1" t="n">
        <v>46110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23037-2025</t>
        </is>
      </c>
      <c r="B155" s="1" t="n">
        <v>45790.66141203704</v>
      </c>
      <c r="C155" s="1" t="n">
        <v>46110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22962-2025</t>
        </is>
      </c>
      <c r="B156" s="1" t="n">
        <v>45790.53908564815</v>
      </c>
      <c r="C156" s="1" t="n">
        <v>46110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59257-2025</t>
        </is>
      </c>
      <c r="B157" s="1" t="n">
        <v>45988.65670138889</v>
      </c>
      <c r="C157" s="1" t="n">
        <v>46110</v>
      </c>
      <c r="D157" t="inlineStr">
        <is>
          <t>VÄSTERBOTTENS LÄN</t>
        </is>
      </c>
      <c r="E157" t="inlineStr">
        <is>
          <t>NORDMALING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22004-2024</t>
        </is>
      </c>
      <c r="B158" s="1" t="n">
        <v>45443</v>
      </c>
      <c r="C158" s="1" t="n">
        <v>46110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35882-2024</t>
        </is>
      </c>
      <c r="B159" s="1" t="n">
        <v>45533.35350694445</v>
      </c>
      <c r="C159" s="1" t="n">
        <v>46110</v>
      </c>
      <c r="D159" t="inlineStr">
        <is>
          <t>VÄSTERBOTTENS LÄN</t>
        </is>
      </c>
      <c r="E159" t="inlineStr">
        <is>
          <t>NORDMALING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34480-2024</t>
        </is>
      </c>
      <c r="B160" s="1" t="n">
        <v>45525.60537037037</v>
      </c>
      <c r="C160" s="1" t="n">
        <v>46110</v>
      </c>
      <c r="D160" t="inlineStr">
        <is>
          <t>VÄSTERBOTTENS LÄN</t>
        </is>
      </c>
      <c r="E160" t="inlineStr">
        <is>
          <t>NORDMALING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23565-2024</t>
        </is>
      </c>
      <c r="B161" s="1" t="n">
        <v>45453.95523148148</v>
      </c>
      <c r="C161" s="1" t="n">
        <v>46110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39573-2025</t>
        </is>
      </c>
      <c r="B162" s="1" t="n">
        <v>45890.49130787037</v>
      </c>
      <c r="C162" s="1" t="n">
        <v>46110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59071-2025</t>
        </is>
      </c>
      <c r="B163" s="1" t="n">
        <v>45988.42387731482</v>
      </c>
      <c r="C163" s="1" t="n">
        <v>46110</v>
      </c>
      <c r="D163" t="inlineStr">
        <is>
          <t>VÄSTERBOTTENS LÄN</t>
        </is>
      </c>
      <c r="E163" t="inlineStr">
        <is>
          <t>NORDMALING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6224-2023</t>
        </is>
      </c>
      <c r="B164" s="1" t="n">
        <v>44964.87626157407</v>
      </c>
      <c r="C164" s="1" t="n">
        <v>46110</v>
      </c>
      <c r="D164" t="inlineStr">
        <is>
          <t>VÄSTERBOTTENS LÄN</t>
        </is>
      </c>
      <c r="E164" t="inlineStr">
        <is>
          <t>NORDMALING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15745-2023</t>
        </is>
      </c>
      <c r="B165" s="1" t="n">
        <v>45021.60850694445</v>
      </c>
      <c r="C165" s="1" t="n">
        <v>46110</v>
      </c>
      <c r="D165" t="inlineStr">
        <is>
          <t>VÄSTERBOTTENS LÄN</t>
        </is>
      </c>
      <c r="E165" t="inlineStr">
        <is>
          <t>NORDMALING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39649-2025</t>
        </is>
      </c>
      <c r="B166" s="1" t="n">
        <v>45890.61537037037</v>
      </c>
      <c r="C166" s="1" t="n">
        <v>46110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40062-2025</t>
        </is>
      </c>
      <c r="B167" s="1" t="n">
        <v>45894.42775462963</v>
      </c>
      <c r="C167" s="1" t="n">
        <v>46110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46110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65688-2021</t>
        </is>
      </c>
      <c r="B169" s="1" t="n">
        <v>44515</v>
      </c>
      <c r="C169" s="1" t="n">
        <v>46110</v>
      </c>
      <c r="D169" t="inlineStr">
        <is>
          <t>VÄSTERBOTTENS LÄN</t>
        </is>
      </c>
      <c r="E169" t="inlineStr">
        <is>
          <t>NORDMALING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39874-2025</t>
        </is>
      </c>
      <c r="B170" s="1" t="n">
        <v>45891.6150462963</v>
      </c>
      <c r="C170" s="1" t="n">
        <v>46110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39706-2025</t>
        </is>
      </c>
      <c r="B171" s="1" t="n">
        <v>45890.80981481481</v>
      </c>
      <c r="C171" s="1" t="n">
        <v>46110</v>
      </c>
      <c r="D171" t="inlineStr">
        <is>
          <t>VÄSTERBOTTENS LÄN</t>
        </is>
      </c>
      <c r="E171" t="inlineStr">
        <is>
          <t>NORDMALING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62119-2022</t>
        </is>
      </c>
      <c r="B172" s="1" t="n">
        <v>44921.69261574074</v>
      </c>
      <c r="C172" s="1" t="n">
        <v>46110</v>
      </c>
      <c r="D172" t="inlineStr">
        <is>
          <t>VÄSTERBOTTENS LÄN</t>
        </is>
      </c>
      <c r="E172" t="inlineStr">
        <is>
          <t>NORDMALING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60064-2025</t>
        </is>
      </c>
      <c r="B173" s="1" t="n">
        <v>45993.65728009259</v>
      </c>
      <c r="C173" s="1" t="n">
        <v>46110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59157-2025</t>
        </is>
      </c>
      <c r="B174" s="1" t="n">
        <v>45988</v>
      </c>
      <c r="C174" s="1" t="n">
        <v>46110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60111-2025</t>
        </is>
      </c>
      <c r="B175" s="1" t="n">
        <v>45994.30788194444</v>
      </c>
      <c r="C175" s="1" t="n">
        <v>46110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59084-2025</t>
        </is>
      </c>
      <c r="B176" s="1" t="n">
        <v>45988</v>
      </c>
      <c r="C176" s="1" t="n">
        <v>46110</v>
      </c>
      <c r="D176" t="inlineStr">
        <is>
          <t>VÄSTERBOTTENS LÄN</t>
        </is>
      </c>
      <c r="E176" t="inlineStr">
        <is>
          <t>NORDMALING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59945-2025</t>
        </is>
      </c>
      <c r="B177" s="1" t="n">
        <v>45993.44833333333</v>
      </c>
      <c r="C177" s="1" t="n">
        <v>46110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59133-2025</t>
        </is>
      </c>
      <c r="B178" s="1" t="n">
        <v>45988</v>
      </c>
      <c r="C178" s="1" t="n">
        <v>46110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59178-2025</t>
        </is>
      </c>
      <c r="B179" s="1" t="n">
        <v>45988</v>
      </c>
      <c r="C179" s="1" t="n">
        <v>46110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59120-2025</t>
        </is>
      </c>
      <c r="B180" s="1" t="n">
        <v>45988</v>
      </c>
      <c r="C180" s="1" t="n">
        <v>46110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59160-2025</t>
        </is>
      </c>
      <c r="B181" s="1" t="n">
        <v>45988</v>
      </c>
      <c r="C181" s="1" t="n">
        <v>46110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40608-2025</t>
        </is>
      </c>
      <c r="B182" s="1" t="n">
        <v>45896.57358796296</v>
      </c>
      <c r="C182" s="1" t="n">
        <v>46110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62203-2022</t>
        </is>
      </c>
      <c r="B183" s="1" t="n">
        <v>44922.60114583333</v>
      </c>
      <c r="C183" s="1" t="n">
        <v>46110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65334-2021</t>
        </is>
      </c>
      <c r="B184" s="1" t="n">
        <v>44515</v>
      </c>
      <c r="C184" s="1" t="n">
        <v>46110</v>
      </c>
      <c r="D184" t="inlineStr">
        <is>
          <t>VÄSTERBOTTENS LÄN</t>
        </is>
      </c>
      <c r="E184" t="inlineStr">
        <is>
          <t>NORDMALING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60113-2025</t>
        </is>
      </c>
      <c r="B185" s="1" t="n">
        <v>45994.31009259259</v>
      </c>
      <c r="C185" s="1" t="n">
        <v>46110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59169-2025</t>
        </is>
      </c>
      <c r="B186" s="1" t="n">
        <v>45988</v>
      </c>
      <c r="C186" s="1" t="n">
        <v>46110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61136-2024</t>
        </is>
      </c>
      <c r="B187" s="1" t="n">
        <v>45645.58386574074</v>
      </c>
      <c r="C187" s="1" t="n">
        <v>46110</v>
      </c>
      <c r="D187" t="inlineStr">
        <is>
          <t>VÄSTERBOTTENS LÄN</t>
        </is>
      </c>
      <c r="E187" t="inlineStr">
        <is>
          <t>NORDMALING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29150-2024</t>
        </is>
      </c>
      <c r="B188" s="1" t="n">
        <v>45482.44936342593</v>
      </c>
      <c r="C188" s="1" t="n">
        <v>46110</v>
      </c>
      <c r="D188" t="inlineStr">
        <is>
          <t>VÄSTERBOTTENS LÄN</t>
        </is>
      </c>
      <c r="E188" t="inlineStr">
        <is>
          <t>NORDMALING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24045-2025</t>
        </is>
      </c>
      <c r="B189" s="1" t="n">
        <v>45796.49280092592</v>
      </c>
      <c r="C189" s="1" t="n">
        <v>46110</v>
      </c>
      <c r="D189" t="inlineStr">
        <is>
          <t>VÄSTERBOTTENS LÄN</t>
        </is>
      </c>
      <c r="E189" t="inlineStr">
        <is>
          <t>NORDMALING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9490-2023</t>
        </is>
      </c>
      <c r="B190" s="1" t="n">
        <v>44977</v>
      </c>
      <c r="C190" s="1" t="n">
        <v>46110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6402-2025</t>
        </is>
      </c>
      <c r="B191" s="1" t="n">
        <v>45699.44813657407</v>
      </c>
      <c r="C191" s="1" t="n">
        <v>46110</v>
      </c>
      <c r="D191" t="inlineStr">
        <is>
          <t>VÄSTERBOTTENS LÄN</t>
        </is>
      </c>
      <c r="E191" t="inlineStr">
        <is>
          <t>NORDMALING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60669-2025</t>
        </is>
      </c>
      <c r="B192" s="1" t="n">
        <v>45996.52368055555</v>
      </c>
      <c r="C192" s="1" t="n">
        <v>46110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25018-2025</t>
        </is>
      </c>
      <c r="B193" s="1" t="n">
        <v>45799.6438425926</v>
      </c>
      <c r="C193" s="1" t="n">
        <v>46110</v>
      </c>
      <c r="D193" t="inlineStr">
        <is>
          <t>VÄSTERBOTTENS LÄN</t>
        </is>
      </c>
      <c r="E193" t="inlineStr">
        <is>
          <t>NORDMALING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25137-2025</t>
        </is>
      </c>
      <c r="B194" s="1" t="n">
        <v>45800.39288194444</v>
      </c>
      <c r="C194" s="1" t="n">
        <v>46110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46110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25162-2025</t>
        </is>
      </c>
      <c r="B196" s="1" t="n">
        <v>45800.43075231482</v>
      </c>
      <c r="C196" s="1" t="n">
        <v>46110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60780-2025</t>
        </is>
      </c>
      <c r="B197" s="1" t="n">
        <v>45999.39217592592</v>
      </c>
      <c r="C197" s="1" t="n">
        <v>46110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54837-2024</t>
        </is>
      </c>
      <c r="B198" s="1" t="n">
        <v>45618.56424768519</v>
      </c>
      <c r="C198" s="1" t="n">
        <v>46110</v>
      </c>
      <c r="D198" t="inlineStr">
        <is>
          <t>VÄSTERBOTTENS LÄN</t>
        </is>
      </c>
      <c r="E198" t="inlineStr">
        <is>
          <t>NORDMALING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44548-2023</t>
        </is>
      </c>
      <c r="B199" s="1" t="n">
        <v>45183</v>
      </c>
      <c r="C199" s="1" t="n">
        <v>46110</v>
      </c>
      <c r="D199" t="inlineStr">
        <is>
          <t>VÄSTERBOTTENS LÄN</t>
        </is>
      </c>
      <c r="E199" t="inlineStr">
        <is>
          <t>NORDMALING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41131-2025</t>
        </is>
      </c>
      <c r="B200" s="1" t="n">
        <v>45898.48043981481</v>
      </c>
      <c r="C200" s="1" t="n">
        <v>46110</v>
      </c>
      <c r="D200" t="inlineStr">
        <is>
          <t>VÄSTERBOTTENS LÄN</t>
        </is>
      </c>
      <c r="E200" t="inlineStr">
        <is>
          <t>NORDMALING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25043-2025</t>
        </is>
      </c>
      <c r="B201" s="1" t="n">
        <v>45799.66578703704</v>
      </c>
      <c r="C201" s="1" t="n">
        <v>46110</v>
      </c>
      <c r="D201" t="inlineStr">
        <is>
          <t>VÄSTERBOTTENS LÄN</t>
        </is>
      </c>
      <c r="E201" t="inlineStr">
        <is>
          <t>NORDMALING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25074-2025</t>
        </is>
      </c>
      <c r="B202" s="1" t="n">
        <v>45799.80739583333</v>
      </c>
      <c r="C202" s="1" t="n">
        <v>46110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60851-2025</t>
        </is>
      </c>
      <c r="B203" s="1" t="n">
        <v>45999.5027662037</v>
      </c>
      <c r="C203" s="1" t="n">
        <v>46110</v>
      </c>
      <c r="D203" t="inlineStr">
        <is>
          <t>VÄSTERBOTTENS LÄN</t>
        </is>
      </c>
      <c r="E203" t="inlineStr">
        <is>
          <t>NORDMALING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4496-2024</t>
        </is>
      </c>
      <c r="B204" s="1" t="n">
        <v>45327.60730324074</v>
      </c>
      <c r="C204" s="1" t="n">
        <v>46110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61167-2025</t>
        </is>
      </c>
      <c r="B205" s="1" t="n">
        <v>46000.56664351852</v>
      </c>
      <c r="C205" s="1" t="n">
        <v>46110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41573-2025</t>
        </is>
      </c>
      <c r="B206" s="1" t="n">
        <v>45901.61489583334</v>
      </c>
      <c r="C206" s="1" t="n">
        <v>46110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61639-2025</t>
        </is>
      </c>
      <c r="B207" s="1" t="n">
        <v>46002.43023148148</v>
      </c>
      <c r="C207" s="1" t="n">
        <v>46110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46110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72873-2021</t>
        </is>
      </c>
      <c r="B209" s="1" t="n">
        <v>44547</v>
      </c>
      <c r="C209" s="1" t="n">
        <v>46110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61149-2022</t>
        </is>
      </c>
      <c r="B210" s="1" t="n">
        <v>44908</v>
      </c>
      <c r="C210" s="1" t="n">
        <v>46110</v>
      </c>
      <c r="D210" t="inlineStr">
        <is>
          <t>VÄSTERBOTTENS LÄN</t>
        </is>
      </c>
      <c r="E210" t="inlineStr">
        <is>
          <t>NORDMALING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61090-2025</t>
        </is>
      </c>
      <c r="B211" s="1" t="n">
        <v>46000.42769675926</v>
      </c>
      <c r="C211" s="1" t="n">
        <v>46110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61783-2025</t>
        </is>
      </c>
      <c r="B212" s="1" t="n">
        <v>46002.6754050926</v>
      </c>
      <c r="C212" s="1" t="n">
        <v>46110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61644-2025</t>
        </is>
      </c>
      <c r="B213" s="1" t="n">
        <v>46002.43589120371</v>
      </c>
      <c r="C213" s="1" t="n">
        <v>46110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61703-2025</t>
        </is>
      </c>
      <c r="B214" s="1" t="n">
        <v>46002.5459375</v>
      </c>
      <c r="C214" s="1" t="n">
        <v>46110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61138-2025</t>
        </is>
      </c>
      <c r="B215" s="1" t="n">
        <v>46000.51100694444</v>
      </c>
      <c r="C215" s="1" t="n">
        <v>46110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45835.83712962963</v>
      </c>
      <c r="C216" s="1" t="n">
        <v>46110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45900.49313657408</v>
      </c>
      <c r="C217" s="1" t="n">
        <v>46110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59486-2024</t>
        </is>
      </c>
      <c r="B218" s="1" t="n">
        <v>45638.53171296296</v>
      </c>
      <c r="C218" s="1" t="n">
        <v>46110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41820-2025</t>
        </is>
      </c>
      <c r="B219" s="1" t="n">
        <v>45902.66180555556</v>
      </c>
      <c r="C219" s="1" t="n">
        <v>46110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28308-2025</t>
        </is>
      </c>
      <c r="B220" s="1" t="n">
        <v>45818.61790509259</v>
      </c>
      <c r="C220" s="1" t="n">
        <v>46110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36814-2024</t>
        </is>
      </c>
      <c r="B221" s="1" t="n">
        <v>45538</v>
      </c>
      <c r="C221" s="1" t="n">
        <v>46110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48234-2024</t>
        </is>
      </c>
      <c r="B222" s="1" t="n">
        <v>45590.38300925926</v>
      </c>
      <c r="C222" s="1" t="n">
        <v>46110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48178-2024</t>
        </is>
      </c>
      <c r="B223" s="1" t="n">
        <v>45589</v>
      </c>
      <c r="C223" s="1" t="n">
        <v>46110</v>
      </c>
      <c r="D223" t="inlineStr">
        <is>
          <t>VÄSTERBOTTENS LÄN</t>
        </is>
      </c>
      <c r="E223" t="inlineStr">
        <is>
          <t>NORDMALING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61881-2025</t>
        </is>
      </c>
      <c r="B224" s="1" t="n">
        <v>46003.42759259259</v>
      </c>
      <c r="C224" s="1" t="n">
        <v>46110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61900-2025</t>
        </is>
      </c>
      <c r="B225" s="1" t="n">
        <v>46003.46922453704</v>
      </c>
      <c r="C225" s="1" t="n">
        <v>46110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34184-2023</t>
        </is>
      </c>
      <c r="B226" s="1" t="n">
        <v>45126</v>
      </c>
      <c r="C226" s="1" t="n">
        <v>46110</v>
      </c>
      <c r="D226" t="inlineStr">
        <is>
          <t>VÄSTERBOTTENS LÄN</t>
        </is>
      </c>
      <c r="E226" t="inlineStr">
        <is>
          <t>NORDMALING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42054-2025</t>
        </is>
      </c>
      <c r="B227" s="1" t="n">
        <v>45903</v>
      </c>
      <c r="C227" s="1" t="n">
        <v>46110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41983-2025</t>
        </is>
      </c>
      <c r="B228" s="1" t="n">
        <v>45903.53185185185</v>
      </c>
      <c r="C228" s="1" t="n">
        <v>46110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62058-2025</t>
        </is>
      </c>
      <c r="B229" s="1" t="n">
        <v>46006.34244212963</v>
      </c>
      <c r="C229" s="1" t="n">
        <v>46110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62053-2025</t>
        </is>
      </c>
      <c r="B230" s="1" t="n">
        <v>46006.33436342593</v>
      </c>
      <c r="C230" s="1" t="n">
        <v>46110</v>
      </c>
      <c r="D230" t="inlineStr">
        <is>
          <t>VÄSTERBOTTENS LÄN</t>
        </is>
      </c>
      <c r="E230" t="inlineStr">
        <is>
          <t>NORDMALING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62247-2025</t>
        </is>
      </c>
      <c r="B231" s="1" t="n">
        <v>46006.60643518518</v>
      </c>
      <c r="C231" s="1" t="n">
        <v>46110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62078-2025</t>
        </is>
      </c>
      <c r="B232" s="1" t="n">
        <v>46006.36768518519</v>
      </c>
      <c r="C232" s="1" t="n">
        <v>46110</v>
      </c>
      <c r="D232" t="inlineStr">
        <is>
          <t>VÄSTERBOTTENS LÄN</t>
        </is>
      </c>
      <c r="E232" t="inlineStr">
        <is>
          <t>NORDMALING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62061-2025</t>
        </is>
      </c>
      <c r="B233" s="1" t="n">
        <v>46006.34446759259</v>
      </c>
      <c r="C233" s="1" t="n">
        <v>46110</v>
      </c>
      <c r="D233" t="inlineStr">
        <is>
          <t>VÄSTERBOTTENS LÄN</t>
        </is>
      </c>
      <c r="E233" t="inlineStr">
        <is>
          <t>NORDMALING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62157-2025</t>
        </is>
      </c>
      <c r="B234" s="1" t="n">
        <v>46006.49039351852</v>
      </c>
      <c r="C234" s="1" t="n">
        <v>46110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62151-2025</t>
        </is>
      </c>
      <c r="B235" s="1" t="n">
        <v>46006.48128472222</v>
      </c>
      <c r="C235" s="1" t="n">
        <v>46110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62219-2025</t>
        </is>
      </c>
      <c r="B236" s="1" t="n">
        <v>46006.58076388889</v>
      </c>
      <c r="C236" s="1" t="n">
        <v>46110</v>
      </c>
      <c r="D236" t="inlineStr">
        <is>
          <t>VÄSTERBOTTENS LÄN</t>
        </is>
      </c>
      <c r="E236" t="inlineStr">
        <is>
          <t>NORDMALING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62165-2025</t>
        </is>
      </c>
      <c r="B237" s="1" t="n">
        <v>46006.49802083334</v>
      </c>
      <c r="C237" s="1" t="n">
        <v>46110</v>
      </c>
      <c r="D237" t="inlineStr">
        <is>
          <t>VÄSTERBOTTENS LÄN</t>
        </is>
      </c>
      <c r="E237" t="inlineStr">
        <is>
          <t>NORDMALING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42774-2025</t>
        </is>
      </c>
      <c r="B238" s="1" t="n">
        <v>45908</v>
      </c>
      <c r="C238" s="1" t="n">
        <v>46110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30438-2024</t>
        </is>
      </c>
      <c r="B239" s="1" t="n">
        <v>45491</v>
      </c>
      <c r="C239" s="1" t="n">
        <v>46110</v>
      </c>
      <c r="D239" t="inlineStr">
        <is>
          <t>VÄSTERBOTTENS LÄN</t>
        </is>
      </c>
      <c r="E239" t="inlineStr">
        <is>
          <t>NORDMALING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42660-2025</t>
        </is>
      </c>
      <c r="B240" s="1" t="n">
        <v>45907.58118055556</v>
      </c>
      <c r="C240" s="1" t="n">
        <v>46110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6974-2024</t>
        </is>
      </c>
      <c r="B241" s="1" t="n">
        <v>45343</v>
      </c>
      <c r="C241" s="1" t="n">
        <v>46110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7700-2024</t>
        </is>
      </c>
      <c r="B242" s="1" t="n">
        <v>45349</v>
      </c>
      <c r="C242" s="1" t="n">
        <v>46110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35803-2023</t>
        </is>
      </c>
      <c r="B243" s="1" t="n">
        <v>45147</v>
      </c>
      <c r="C243" s="1" t="n">
        <v>46110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43218-2025</t>
        </is>
      </c>
      <c r="B244" s="1" t="n">
        <v>45910.47071759259</v>
      </c>
      <c r="C244" s="1" t="n">
        <v>46110</v>
      </c>
      <c r="D244" t="inlineStr">
        <is>
          <t>VÄSTERBOTTENS LÄN</t>
        </is>
      </c>
      <c r="E244" t="inlineStr">
        <is>
          <t>NORDMALING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63077-2025</t>
        </is>
      </c>
      <c r="B245" s="1" t="n">
        <v>46009.66359953704</v>
      </c>
      <c r="C245" s="1" t="n">
        <v>46110</v>
      </c>
      <c r="D245" t="inlineStr">
        <is>
          <t>VÄSTERBOTTENS LÄN</t>
        </is>
      </c>
      <c r="E245" t="inlineStr">
        <is>
          <t>NORDMALING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63031-2025</t>
        </is>
      </c>
      <c r="B246" s="1" t="n">
        <v>46009.60197916667</v>
      </c>
      <c r="C246" s="1" t="n">
        <v>46110</v>
      </c>
      <c r="D246" t="inlineStr">
        <is>
          <t>VÄSTERBOTTENS LÄN</t>
        </is>
      </c>
      <c r="E246" t="inlineStr">
        <is>
          <t>NORDMALING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62928-2025</t>
        </is>
      </c>
      <c r="B247" s="1" t="n">
        <v>46009.38614583333</v>
      </c>
      <c r="C247" s="1" t="n">
        <v>46110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11053-2023</t>
        </is>
      </c>
      <c r="B248" s="1" t="n">
        <v>44991</v>
      </c>
      <c r="C248" s="1" t="n">
        <v>46110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63256-2025</t>
        </is>
      </c>
      <c r="B249" s="1" t="n">
        <v>46010.55255787037</v>
      </c>
      <c r="C249" s="1" t="n">
        <v>46110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43538-2025</t>
        </is>
      </c>
      <c r="B250" s="1" t="n">
        <v>45911.60041666667</v>
      </c>
      <c r="C250" s="1" t="n">
        <v>46110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63266-2025</t>
        </is>
      </c>
      <c r="B251" s="1" t="n">
        <v>46010.56211805555</v>
      </c>
      <c r="C251" s="1" t="n">
        <v>46110</v>
      </c>
      <c r="D251" t="inlineStr">
        <is>
          <t>VÄSTERBOTTENS LÄN</t>
        </is>
      </c>
      <c r="E251" t="inlineStr">
        <is>
          <t>NORDMALING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63065-2025</t>
        </is>
      </c>
      <c r="B252" s="1" t="n">
        <v>46009.65525462963</v>
      </c>
      <c r="C252" s="1" t="n">
        <v>46110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63035-2025</t>
        </is>
      </c>
      <c r="B253" s="1" t="n">
        <v>46009.61186342593</v>
      </c>
      <c r="C253" s="1" t="n">
        <v>46110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35792-2023</t>
        </is>
      </c>
      <c r="B254" s="1" t="n">
        <v>45147</v>
      </c>
      <c r="C254" s="1" t="n">
        <v>46110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43940-2025</t>
        </is>
      </c>
      <c r="B255" s="1" t="n">
        <v>45912</v>
      </c>
      <c r="C255" s="1" t="n">
        <v>46110</v>
      </c>
      <c r="D255" t="inlineStr">
        <is>
          <t>VÄSTERBOTTENS LÄN</t>
        </is>
      </c>
      <c r="E255" t="inlineStr">
        <is>
          <t>NORDMALING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63253-2025</t>
        </is>
      </c>
      <c r="B256" s="1" t="n">
        <v>46010.54806712963</v>
      </c>
      <c r="C256" s="1" t="n">
        <v>46110</v>
      </c>
      <c r="D256" t="inlineStr">
        <is>
          <t>VÄSTERBOTTENS LÄN</t>
        </is>
      </c>
      <c r="E256" t="inlineStr">
        <is>
          <t>NORDMALING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35786-2023</t>
        </is>
      </c>
      <c r="B257" s="1" t="n">
        <v>45147</v>
      </c>
      <c r="C257" s="1" t="n">
        <v>46110</v>
      </c>
      <c r="D257" t="inlineStr">
        <is>
          <t>VÄSTERBOTTENS LÄN</t>
        </is>
      </c>
      <c r="E257" t="inlineStr">
        <is>
          <t>NORDMALING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35801-2023</t>
        </is>
      </c>
      <c r="B258" s="1" t="n">
        <v>45147</v>
      </c>
      <c r="C258" s="1" t="n">
        <v>46110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46110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63033-2025</t>
        </is>
      </c>
      <c r="B260" s="1" t="n">
        <v>46009.60849537037</v>
      </c>
      <c r="C260" s="1" t="n">
        <v>46110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63007-2025</t>
        </is>
      </c>
      <c r="B261" s="1" t="n">
        <v>46009.57525462963</v>
      </c>
      <c r="C261" s="1" t="n">
        <v>46110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63019-2025</t>
        </is>
      </c>
      <c r="B262" s="1" t="n">
        <v>46009.59363425926</v>
      </c>
      <c r="C262" s="1" t="n">
        <v>46110</v>
      </c>
      <c r="D262" t="inlineStr">
        <is>
          <t>VÄSTERBOTTENS LÄN</t>
        </is>
      </c>
      <c r="E262" t="inlineStr">
        <is>
          <t>NORDMALING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63037-2025</t>
        </is>
      </c>
      <c r="B263" s="1" t="n">
        <v>46009.61435185185</v>
      </c>
      <c r="C263" s="1" t="n">
        <v>46110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63073-2025</t>
        </is>
      </c>
      <c r="B264" s="1" t="n">
        <v>46009.66118055556</v>
      </c>
      <c r="C264" s="1" t="n">
        <v>46110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43374-2025</t>
        </is>
      </c>
      <c r="B265" s="1" t="n">
        <v>45911.35045138889</v>
      </c>
      <c r="C265" s="1" t="n">
        <v>46110</v>
      </c>
      <c r="D265" t="inlineStr">
        <is>
          <t>VÄSTERBOTTENS LÄN</t>
        </is>
      </c>
      <c r="E265" t="inlineStr">
        <is>
          <t>NORDMALING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44212-2025</t>
        </is>
      </c>
      <c r="B266" s="1" t="n">
        <v>45912</v>
      </c>
      <c r="C266" s="1" t="n">
        <v>46110</v>
      </c>
      <c r="D266" t="inlineStr">
        <is>
          <t>VÄSTERBOTTENS LÄN</t>
        </is>
      </c>
      <c r="E266" t="inlineStr">
        <is>
          <t>NORDMALING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43783-2024</t>
        </is>
      </c>
      <c r="B267" s="1" t="n">
        <v>45570</v>
      </c>
      <c r="C267" s="1" t="n">
        <v>46110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44609.64921296296</v>
      </c>
      <c r="C268" s="1" t="n">
        <v>46110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59913-2022</t>
        </is>
      </c>
      <c r="B269" s="1" t="n">
        <v>44908.95995370371</v>
      </c>
      <c r="C269" s="1" t="n">
        <v>46110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43-2026</t>
        </is>
      </c>
      <c r="B270" s="1" t="n">
        <v>46014</v>
      </c>
      <c r="C270" s="1" t="n">
        <v>46110</v>
      </c>
      <c r="D270" t="inlineStr">
        <is>
          <t>VÄSTERBOTTENS LÄN</t>
        </is>
      </c>
      <c r="E270" t="inlineStr">
        <is>
          <t>NORDMALING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44639-2025</t>
        </is>
      </c>
      <c r="B271" s="1" t="n">
        <v>45917.51179398148</v>
      </c>
      <c r="C271" s="1" t="n">
        <v>46110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44636-2025</t>
        </is>
      </c>
      <c r="B272" s="1" t="n">
        <v>45917.50638888889</v>
      </c>
      <c r="C272" s="1" t="n">
        <v>46110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54138-2023</t>
        </is>
      </c>
      <c r="B273" s="1" t="n">
        <v>45232</v>
      </c>
      <c r="C273" s="1" t="n">
        <v>46110</v>
      </c>
      <c r="D273" t="inlineStr">
        <is>
          <t>VÄSTERBOTTENS LÄN</t>
        </is>
      </c>
      <c r="E273" t="inlineStr">
        <is>
          <t>NORDMALING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123-2026</t>
        </is>
      </c>
      <c r="B274" s="1" t="n">
        <v>46019</v>
      </c>
      <c r="C274" s="1" t="n">
        <v>46110</v>
      </c>
      <c r="D274" t="inlineStr">
        <is>
          <t>VÄSTERBOTTENS LÄN</t>
        </is>
      </c>
      <c r="E274" t="inlineStr">
        <is>
          <t>NORDMALING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41606-2024</t>
        </is>
      </c>
      <c r="B275" s="1" t="n">
        <v>45560.58483796296</v>
      </c>
      <c r="C275" s="1" t="n">
        <v>46110</v>
      </c>
      <c r="D275" t="inlineStr">
        <is>
          <t>VÄSTERBOTTENS LÄN</t>
        </is>
      </c>
      <c r="E275" t="inlineStr">
        <is>
          <t>NORDMALING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118-2026</t>
        </is>
      </c>
      <c r="B276" s="1" t="n">
        <v>46019</v>
      </c>
      <c r="C276" s="1" t="n">
        <v>46110</v>
      </c>
      <c r="D276" t="inlineStr">
        <is>
          <t>VÄSTERBOTTENS LÄN</t>
        </is>
      </c>
      <c r="E276" t="inlineStr">
        <is>
          <t>NORDMALING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44772-2025</t>
        </is>
      </c>
      <c r="B277" s="1" t="n">
        <v>45917.81572916666</v>
      </c>
      <c r="C277" s="1" t="n">
        <v>46110</v>
      </c>
      <c r="D277" t="inlineStr">
        <is>
          <t>VÄSTERBOTTENS LÄN</t>
        </is>
      </c>
      <c r="E277" t="inlineStr">
        <is>
          <t>NORDMALING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44773-2025</t>
        </is>
      </c>
      <c r="B278" s="1" t="n">
        <v>45917.82435185185</v>
      </c>
      <c r="C278" s="1" t="n">
        <v>46110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63754-2025</t>
        </is>
      </c>
      <c r="B279" s="1" t="n">
        <v>46018.34943287037</v>
      </c>
      <c r="C279" s="1" t="n">
        <v>46110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112-2026</t>
        </is>
      </c>
      <c r="B280" s="1" t="n">
        <v>46019</v>
      </c>
      <c r="C280" s="1" t="n">
        <v>46110</v>
      </c>
      <c r="D280" t="inlineStr">
        <is>
          <t>VÄSTERBOTTENS LÄN</t>
        </is>
      </c>
      <c r="E280" t="inlineStr">
        <is>
          <t>NORDMALING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63755-2025</t>
        </is>
      </c>
      <c r="B281" s="1" t="n">
        <v>46018.35533564815</v>
      </c>
      <c r="C281" s="1" t="n">
        <v>46110</v>
      </c>
      <c r="D281" t="inlineStr">
        <is>
          <t>VÄSTERBOTTENS LÄN</t>
        </is>
      </c>
      <c r="E281" t="inlineStr">
        <is>
          <t>NORDMALING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63756-2025</t>
        </is>
      </c>
      <c r="B282" s="1" t="n">
        <v>46018.36070601852</v>
      </c>
      <c r="C282" s="1" t="n">
        <v>46110</v>
      </c>
      <c r="D282" t="inlineStr">
        <is>
          <t>VÄSTERBOTTENS LÄN</t>
        </is>
      </c>
      <c r="E282" t="inlineStr">
        <is>
          <t>NORDMALING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63813-2025</t>
        </is>
      </c>
      <c r="B283" s="1" t="n">
        <v>46020.33409722222</v>
      </c>
      <c r="C283" s="1" t="n">
        <v>46110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44774-2025</t>
        </is>
      </c>
      <c r="B284" s="1" t="n">
        <v>45917.83175925926</v>
      </c>
      <c r="C284" s="1" t="n">
        <v>46110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63922-2025</t>
        </is>
      </c>
      <c r="B285" s="1" t="n">
        <v>46020.75583333334</v>
      </c>
      <c r="C285" s="1" t="n">
        <v>46110</v>
      </c>
      <c r="D285" t="inlineStr">
        <is>
          <t>VÄSTERBOTTENS LÄN</t>
        </is>
      </c>
      <c r="E285" t="inlineStr">
        <is>
          <t>NORDMALING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46110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45528-2025</t>
        </is>
      </c>
      <c r="B287" s="1" t="n">
        <v>45922.59987268518</v>
      </c>
      <c r="C287" s="1" t="n">
        <v>46110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64158-2025</t>
        </is>
      </c>
      <c r="B288" s="1" t="n">
        <v>46022.87686342592</v>
      </c>
      <c r="C288" s="1" t="n">
        <v>46110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47070-2024</t>
        </is>
      </c>
      <c r="B289" s="1" t="n">
        <v>45586.48637731482</v>
      </c>
      <c r="C289" s="1" t="n">
        <v>46110</v>
      </c>
      <c r="D289" t="inlineStr">
        <is>
          <t>VÄSTERBOTTENS LÄN</t>
        </is>
      </c>
      <c r="E289" t="inlineStr">
        <is>
          <t>NORDMALING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19-2026</t>
        </is>
      </c>
      <c r="B290" s="1" t="n">
        <v>46023</v>
      </c>
      <c r="C290" s="1" t="n">
        <v>46110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45172-2025</t>
        </is>
      </c>
      <c r="B291" s="1" t="n">
        <v>45919.5108912037</v>
      </c>
      <c r="C291" s="1" t="n">
        <v>46110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45326-2025</t>
        </is>
      </c>
      <c r="B292" s="1" t="n">
        <v>45922.32254629629</v>
      </c>
      <c r="C292" s="1" t="n">
        <v>46110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45675-2025</t>
        </is>
      </c>
      <c r="B293" s="1" t="n">
        <v>45923.36356481481</v>
      </c>
      <c r="C293" s="1" t="n">
        <v>46110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54784-2021</t>
        </is>
      </c>
      <c r="B294" s="1" t="n">
        <v>44473.94143518519</v>
      </c>
      <c r="C294" s="1" t="n">
        <v>46110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404-2026</t>
        </is>
      </c>
      <c r="B295" s="1" t="n">
        <v>46028.66927083334</v>
      </c>
      <c r="C295" s="1" t="n">
        <v>46110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45676-2025</t>
        </is>
      </c>
      <c r="B296" s="1" t="n">
        <v>45923.36495370371</v>
      </c>
      <c r="C296" s="1" t="n">
        <v>46110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45678-2025</t>
        </is>
      </c>
      <c r="B297" s="1" t="n">
        <v>45923.36631944445</v>
      </c>
      <c r="C297" s="1" t="n">
        <v>46110</v>
      </c>
      <c r="D297" t="inlineStr">
        <is>
          <t>VÄSTERBOTTENS LÄN</t>
        </is>
      </c>
      <c r="E297" t="inlineStr">
        <is>
          <t>NORDMALING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46593-2025</t>
        </is>
      </c>
      <c r="B298" s="1" t="n">
        <v>45926.39694444444</v>
      </c>
      <c r="C298" s="1" t="n">
        <v>46110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46110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9792-2026</t>
        </is>
      </c>
      <c r="B300" s="1" t="n">
        <v>46072.60488425926</v>
      </c>
      <c r="C300" s="1" t="n">
        <v>46110</v>
      </c>
      <c r="D300" t="inlineStr">
        <is>
          <t>VÄSTERBOTTENS LÄN</t>
        </is>
      </c>
      <c r="E300" t="inlineStr">
        <is>
          <t>NORDMALING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494-2026</t>
        </is>
      </c>
      <c r="B301" s="1" t="n">
        <v>46029.42859953704</v>
      </c>
      <c r="C301" s="1" t="n">
        <v>46110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26632-2025</t>
        </is>
      </c>
      <c r="B302" s="1" t="n">
        <v>45810.35230324074</v>
      </c>
      <c r="C302" s="1" t="n">
        <v>46110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26635-2025</t>
        </is>
      </c>
      <c r="B303" s="1" t="n">
        <v>45810.35407407407</v>
      </c>
      <c r="C303" s="1" t="n">
        <v>46110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7251-2024</t>
        </is>
      </c>
      <c r="B304" s="1" t="n">
        <v>45344</v>
      </c>
      <c r="C304" s="1" t="n">
        <v>46110</v>
      </c>
      <c r="D304" t="inlineStr">
        <is>
          <t>VÄSTERBOTTENS LÄN</t>
        </is>
      </c>
      <c r="E304" t="inlineStr">
        <is>
          <t>NORDMALING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8641-2023</t>
        </is>
      </c>
      <c r="B305" s="1" t="n">
        <v>44977.98305555555</v>
      </c>
      <c r="C305" s="1" t="n">
        <v>46110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46548-2025</t>
        </is>
      </c>
      <c r="B306" s="1" t="n">
        <v>45926.34539351852</v>
      </c>
      <c r="C306" s="1" t="n">
        <v>46110</v>
      </c>
      <c r="D306" t="inlineStr">
        <is>
          <t>VÄSTERBOTTENS LÄN</t>
        </is>
      </c>
      <c r="E306" t="inlineStr">
        <is>
          <t>NORDMALING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34894-2023</t>
        </is>
      </c>
      <c r="B307" s="1" t="n">
        <v>45141</v>
      </c>
      <c r="C307" s="1" t="n">
        <v>46110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47046-2025</t>
        </is>
      </c>
      <c r="B308" s="1" t="n">
        <v>45929.6050925926</v>
      </c>
      <c r="C308" s="1" t="n">
        <v>46110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46877-2025</t>
        </is>
      </c>
      <c r="B309" s="1" t="n">
        <v>45929.34471064815</v>
      </c>
      <c r="C309" s="1" t="n">
        <v>46110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46876-2025</t>
        </is>
      </c>
      <c r="B310" s="1" t="n">
        <v>45929.34462962963</v>
      </c>
      <c r="C310" s="1" t="n">
        <v>46110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47015-2025</t>
        </is>
      </c>
      <c r="B311" s="1" t="n">
        <v>45929.57420138889</v>
      </c>
      <c r="C311" s="1" t="n">
        <v>46110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501-2026</t>
        </is>
      </c>
      <c r="B312" s="1" t="n">
        <v>46029.43572916667</v>
      </c>
      <c r="C312" s="1" t="n">
        <v>46110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46878-2025</t>
        </is>
      </c>
      <c r="B313" s="1" t="n">
        <v>45929.34473379629</v>
      </c>
      <c r="C313" s="1" t="n">
        <v>46110</v>
      </c>
      <c r="D313" t="inlineStr">
        <is>
          <t>VÄSTERBOTTENS LÄN</t>
        </is>
      </c>
      <c r="E313" t="inlineStr">
        <is>
          <t>NORDMALING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511-2026</t>
        </is>
      </c>
      <c r="B314" s="1" t="n">
        <v>46029.44138888889</v>
      </c>
      <c r="C314" s="1" t="n">
        <v>46110</v>
      </c>
      <c r="D314" t="inlineStr">
        <is>
          <t>VÄSTERBOTTENS LÄN</t>
        </is>
      </c>
      <c r="E314" t="inlineStr">
        <is>
          <t>NORDMALING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47191-2025</t>
        </is>
      </c>
      <c r="B315" s="1" t="n">
        <v>45930.34041666667</v>
      </c>
      <c r="C315" s="1" t="n">
        <v>46110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29547-2022</t>
        </is>
      </c>
      <c r="B316" s="1" t="n">
        <v>44753.94399305555</v>
      </c>
      <c r="C316" s="1" t="n">
        <v>46110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9717-2026</t>
        </is>
      </c>
      <c r="B317" s="1" t="n">
        <v>46072.44855324074</v>
      </c>
      <c r="C317" s="1" t="n">
        <v>46110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19300-2023</t>
        </is>
      </c>
      <c r="B318" s="1" t="n">
        <v>45049</v>
      </c>
      <c r="C318" s="1" t="n">
        <v>46110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4732-2025</t>
        </is>
      </c>
      <c r="B319" s="1" t="n">
        <v>45688.43670138889</v>
      </c>
      <c r="C319" s="1" t="n">
        <v>46110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43602-2024</t>
        </is>
      </c>
      <c r="B320" s="1" t="n">
        <v>45569.44695601852</v>
      </c>
      <c r="C320" s="1" t="n">
        <v>46110</v>
      </c>
      <c r="D320" t="inlineStr">
        <is>
          <t>VÄSTERBOTTENS LÄN</t>
        </is>
      </c>
      <c r="E320" t="inlineStr">
        <is>
          <t>NORDMALING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44722.94122685185</v>
      </c>
      <c r="C321" s="1" t="n">
        <v>46110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9869-2026</t>
        </is>
      </c>
      <c r="B322" s="1" t="n">
        <v>46072</v>
      </c>
      <c r="C322" s="1" t="n">
        <v>46110</v>
      </c>
      <c r="D322" t="inlineStr">
        <is>
          <t>VÄSTERBOTTENS LÄN</t>
        </is>
      </c>
      <c r="E322" t="inlineStr">
        <is>
          <t>NORDMALING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10301-2026</t>
        </is>
      </c>
      <c r="B323" s="1" t="n">
        <v>46076.63232638889</v>
      </c>
      <c r="C323" s="1" t="n">
        <v>46110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47834-2025</t>
        </is>
      </c>
      <c r="B324" s="1" t="n">
        <v>45932.36518518518</v>
      </c>
      <c r="C324" s="1" t="n">
        <v>46110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10300-2026</t>
        </is>
      </c>
      <c r="B325" s="1" t="n">
        <v>46076.63145833334</v>
      </c>
      <c r="C325" s="1" t="n">
        <v>46110</v>
      </c>
      <c r="D325" t="inlineStr">
        <is>
          <t>VÄSTERBOTTENS LÄN</t>
        </is>
      </c>
      <c r="E325" t="inlineStr">
        <is>
          <t>NORDMALING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45607.34743055556</v>
      </c>
      <c r="C326" s="1" t="n">
        <v>46110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48744-2025</t>
        </is>
      </c>
      <c r="B327" s="1" t="n">
        <v>45936.67855324074</v>
      </c>
      <c r="C327" s="1" t="n">
        <v>46110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10197-2026</t>
        </is>
      </c>
      <c r="B328" s="1" t="n">
        <v>46076.46844907408</v>
      </c>
      <c r="C328" s="1" t="n">
        <v>46110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48632-2025</t>
        </is>
      </c>
      <c r="B329" s="1" t="n">
        <v>45936.51171296297</v>
      </c>
      <c r="C329" s="1" t="n">
        <v>46110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1373-2026</t>
        </is>
      </c>
      <c r="B330" s="1" t="n">
        <v>46031</v>
      </c>
      <c r="C330" s="1" t="n">
        <v>46110</v>
      </c>
      <c r="D330" t="inlineStr">
        <is>
          <t>VÄSTERBOTTENS LÄN</t>
        </is>
      </c>
      <c r="E330" t="inlineStr">
        <is>
          <t>NORDMALING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46110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1429-2026</t>
        </is>
      </c>
      <c r="B332" s="1" t="n">
        <v>46032.39072916667</v>
      </c>
      <c r="C332" s="1" t="n">
        <v>46110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26903-2025</t>
        </is>
      </c>
      <c r="B333" s="1" t="n">
        <v>45811</v>
      </c>
      <c r="C333" s="1" t="n">
        <v>46110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10382-2026</t>
        </is>
      </c>
      <c r="B334" s="1" t="n">
        <v>46076.88337962963</v>
      </c>
      <c r="C334" s="1" t="n">
        <v>46110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49361-2025</t>
        </is>
      </c>
      <c r="B335" s="1" t="n">
        <v>45938.61686342592</v>
      </c>
      <c r="C335" s="1" t="n">
        <v>46110</v>
      </c>
      <c r="D335" t="inlineStr">
        <is>
          <t>VÄSTERBOTTENS LÄN</t>
        </is>
      </c>
      <c r="E335" t="inlineStr">
        <is>
          <t>NORDMALING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49360-2025</t>
        </is>
      </c>
      <c r="B336" s="1" t="n">
        <v>45938.61684027778</v>
      </c>
      <c r="C336" s="1" t="n">
        <v>46110</v>
      </c>
      <c r="D336" t="inlineStr">
        <is>
          <t>VÄSTERBOTTENS LÄN</t>
        </is>
      </c>
      <c r="E336" t="inlineStr">
        <is>
          <t>NORDMALING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48999-2025</t>
        </is>
      </c>
      <c r="B337" s="1" t="n">
        <v>45937.59449074074</v>
      </c>
      <c r="C337" s="1" t="n">
        <v>46110</v>
      </c>
      <c r="D337" t="inlineStr">
        <is>
          <t>VÄSTERBOTTENS LÄN</t>
        </is>
      </c>
      <c r="E337" t="inlineStr">
        <is>
          <t>NORDMALING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49280-2025</t>
        </is>
      </c>
      <c r="B338" s="1" t="n">
        <v>45938.51097222222</v>
      </c>
      <c r="C338" s="1" t="n">
        <v>46110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28818-2025</t>
        </is>
      </c>
      <c r="B339" s="1" t="n">
        <v>45820.53545138889</v>
      </c>
      <c r="C339" s="1" t="n">
        <v>46110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49849-2025</t>
        </is>
      </c>
      <c r="B340" s="1" t="n">
        <v>45940.48415509259</v>
      </c>
      <c r="C340" s="1" t="n">
        <v>46110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29576-2025</t>
        </is>
      </c>
      <c r="B341" s="1" t="n">
        <v>45825.37471064815</v>
      </c>
      <c r="C341" s="1" t="n">
        <v>46110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29606-2025</t>
        </is>
      </c>
      <c r="B342" s="1" t="n">
        <v>45825</v>
      </c>
      <c r="C342" s="1" t="n">
        <v>46110</v>
      </c>
      <c r="D342" t="inlineStr">
        <is>
          <t>VÄSTERBOTTENS LÄN</t>
        </is>
      </c>
      <c r="E342" t="inlineStr">
        <is>
          <t>NORDMALING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29569-2025</t>
        </is>
      </c>
      <c r="B343" s="1" t="n">
        <v>45825.36783564815</v>
      </c>
      <c r="C343" s="1" t="n">
        <v>46110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29822-2025</t>
        </is>
      </c>
      <c r="B344" s="1" t="n">
        <v>45825.85033564815</v>
      </c>
      <c r="C344" s="1" t="n">
        <v>46110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46110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49847-2025</t>
        </is>
      </c>
      <c r="B346" s="1" t="n">
        <v>45940.48208333334</v>
      </c>
      <c r="C346" s="1" t="n">
        <v>46110</v>
      </c>
      <c r="D346" t="inlineStr">
        <is>
          <t>VÄSTERBOTTENS LÄN</t>
        </is>
      </c>
      <c r="E346" t="inlineStr">
        <is>
          <t>NORDMALING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45944.61359953704</v>
      </c>
      <c r="C347" s="1" t="n">
        <v>46110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29573-2025</t>
        </is>
      </c>
      <c r="B348" s="1" t="n">
        <v>45825.37140046297</v>
      </c>
      <c r="C348" s="1" t="n">
        <v>46110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29579-2025</t>
        </is>
      </c>
      <c r="B349" s="1" t="n">
        <v>45825.37862268519</v>
      </c>
      <c r="C349" s="1" t="n">
        <v>46110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2723-2026</t>
        </is>
      </c>
      <c r="B350" s="1" t="n">
        <v>46037</v>
      </c>
      <c r="C350" s="1" t="n">
        <v>46110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2724-2026</t>
        </is>
      </c>
      <c r="B351" s="1" t="n">
        <v>46037.81715277778</v>
      </c>
      <c r="C351" s="1" t="n">
        <v>46110</v>
      </c>
      <c r="D351" t="inlineStr">
        <is>
          <t>VÄSTERBOTTENS LÄN</t>
        </is>
      </c>
      <c r="E351" t="inlineStr">
        <is>
          <t>NORDMALING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50396-2025</t>
        </is>
      </c>
      <c r="B352" s="1" t="n">
        <v>45944.61931712963</v>
      </c>
      <c r="C352" s="1" t="n">
        <v>46110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2955-2026</t>
        </is>
      </c>
      <c r="B353" s="1" t="n">
        <v>46038.60483796296</v>
      </c>
      <c r="C353" s="1" t="n">
        <v>46110</v>
      </c>
      <c r="D353" t="inlineStr">
        <is>
          <t>VÄSTERBOTTENS LÄN</t>
        </is>
      </c>
      <c r="E353" t="inlineStr">
        <is>
          <t>NORDMALING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2727-2026</t>
        </is>
      </c>
      <c r="B354" s="1" t="n">
        <v>46037.8174537037</v>
      </c>
      <c r="C354" s="1" t="n">
        <v>46110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50694-2025</t>
        </is>
      </c>
      <c r="B355" s="1" t="n">
        <v>45945.86091435186</v>
      </c>
      <c r="C355" s="1" t="n">
        <v>46110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50725-2025</t>
        </is>
      </c>
      <c r="B356" s="1" t="n">
        <v>45946.3471875</v>
      </c>
      <c r="C356" s="1" t="n">
        <v>46110</v>
      </c>
      <c r="D356" t="inlineStr">
        <is>
          <t>VÄSTERBOTTENS LÄN</t>
        </is>
      </c>
      <c r="E356" t="inlineStr">
        <is>
          <t>NORDMALING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2947-2026</t>
        </is>
      </c>
      <c r="B357" s="1" t="n">
        <v>46038.59554398148</v>
      </c>
      <c r="C357" s="1" t="n">
        <v>46110</v>
      </c>
      <c r="D357" t="inlineStr">
        <is>
          <t>VÄSTERBOTTENS LÄN</t>
        </is>
      </c>
      <c r="E357" t="inlineStr">
        <is>
          <t>NORDMALING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20976-2021</t>
        </is>
      </c>
      <c r="B358" s="1" t="n">
        <v>44318</v>
      </c>
      <c r="C358" s="1" t="n">
        <v>46110</v>
      </c>
      <c r="D358" t="inlineStr">
        <is>
          <t>VÄSTERBOTTENS LÄN</t>
        </is>
      </c>
      <c r="E358" t="inlineStr">
        <is>
          <t>NORDMALING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51746-2021</t>
        </is>
      </c>
      <c r="B359" s="1" t="n">
        <v>44462</v>
      </c>
      <c r="C359" s="1" t="n">
        <v>46110</v>
      </c>
      <c r="D359" t="inlineStr">
        <is>
          <t>VÄSTERBOTTENS LÄN</t>
        </is>
      </c>
      <c r="E359" t="inlineStr">
        <is>
          <t>NORDMALING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2725-2026</t>
        </is>
      </c>
      <c r="B360" s="1" t="n">
        <v>46037.8172337963</v>
      </c>
      <c r="C360" s="1" t="n">
        <v>46110</v>
      </c>
      <c r="D360" t="inlineStr">
        <is>
          <t>VÄSTERBOTTENS LÄN</t>
        </is>
      </c>
      <c r="E360" t="inlineStr">
        <is>
          <t>NORDMALING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2726-2026</t>
        </is>
      </c>
      <c r="B361" s="1" t="n">
        <v>46037.81732638889</v>
      </c>
      <c r="C361" s="1" t="n">
        <v>46110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50726-2025</t>
        </is>
      </c>
      <c r="B362" s="1" t="n">
        <v>45946.3472337963</v>
      </c>
      <c r="C362" s="1" t="n">
        <v>46110</v>
      </c>
      <c r="D362" t="inlineStr">
        <is>
          <t>VÄSTERBOTTENS LÄN</t>
        </is>
      </c>
      <c r="E362" t="inlineStr">
        <is>
          <t>NORDMALING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50734-2025</t>
        </is>
      </c>
      <c r="B363" s="1" t="n">
        <v>45946.36549768518</v>
      </c>
      <c r="C363" s="1" t="n">
        <v>46110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17496-2023</t>
        </is>
      </c>
      <c r="B364" s="1" t="n">
        <v>45034</v>
      </c>
      <c r="C364" s="1" t="n">
        <v>46110</v>
      </c>
      <c r="D364" t="inlineStr">
        <is>
          <t>VÄSTERBOTTENS LÄN</t>
        </is>
      </c>
      <c r="E364" t="inlineStr">
        <is>
          <t>NORDMALING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51511-2025</t>
        </is>
      </c>
      <c r="B365" s="1" t="n">
        <v>45950.64607638889</v>
      </c>
      <c r="C365" s="1" t="n">
        <v>46110</v>
      </c>
      <c r="D365" t="inlineStr">
        <is>
          <t>VÄSTERBOTTENS LÄN</t>
        </is>
      </c>
      <c r="E365" t="inlineStr">
        <is>
          <t>NORDMALING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19230-2023</t>
        </is>
      </c>
      <c r="B366" s="1" t="n">
        <v>45048</v>
      </c>
      <c r="C366" s="1" t="n">
        <v>46110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34492-2024</t>
        </is>
      </c>
      <c r="B367" s="1" t="n">
        <v>45525.6207175926</v>
      </c>
      <c r="C367" s="1" t="n">
        <v>46110</v>
      </c>
      <c r="D367" t="inlineStr">
        <is>
          <t>VÄSTERBOTTENS LÄN</t>
        </is>
      </c>
      <c r="E367" t="inlineStr">
        <is>
          <t>NORDMALING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3494-2026</t>
        </is>
      </c>
      <c r="B368" s="1" t="n">
        <v>46042.57334490741</v>
      </c>
      <c r="C368" s="1" t="n">
        <v>46110</v>
      </c>
      <c r="D368" t="inlineStr">
        <is>
          <t>VÄSTERBOTTENS LÄN</t>
        </is>
      </c>
      <c r="E368" t="inlineStr">
        <is>
          <t>NORDMALING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3503-2026</t>
        </is>
      </c>
      <c r="B369" s="1" t="n">
        <v>46042.57971064815</v>
      </c>
      <c r="C369" s="1" t="n">
        <v>46110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3517-2026</t>
        </is>
      </c>
      <c r="B370" s="1" t="n">
        <v>46042.58849537037</v>
      </c>
      <c r="C370" s="1" t="n">
        <v>46110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51542-2025</t>
        </is>
      </c>
      <c r="B371" s="1" t="n">
        <v>45950.73994212963</v>
      </c>
      <c r="C371" s="1" t="n">
        <v>46110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51543-2025</t>
        </is>
      </c>
      <c r="B372" s="1" t="n">
        <v>45950.74270833333</v>
      </c>
      <c r="C372" s="1" t="n">
        <v>46110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59225-2024</t>
        </is>
      </c>
      <c r="B373" s="1" t="n">
        <v>45637.57925925926</v>
      </c>
      <c r="C373" s="1" t="n">
        <v>46110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51544-2025</t>
        </is>
      </c>
      <c r="B374" s="1" t="n">
        <v>45950.74530092593</v>
      </c>
      <c r="C374" s="1" t="n">
        <v>46110</v>
      </c>
      <c r="D374" t="inlineStr">
        <is>
          <t>VÄSTERBOTTENS LÄN</t>
        </is>
      </c>
      <c r="E374" t="inlineStr">
        <is>
          <t>NORDMALING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30824-2025</t>
        </is>
      </c>
      <c r="B375" s="1" t="n">
        <v>45831.6749537037</v>
      </c>
      <c r="C375" s="1" t="n">
        <v>46110</v>
      </c>
      <c r="D375" t="inlineStr">
        <is>
          <t>VÄSTERBOTTENS LÄN</t>
        </is>
      </c>
      <c r="E375" t="inlineStr">
        <is>
          <t>NORDMALING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9692-2026</t>
        </is>
      </c>
      <c r="B376" s="1" t="n">
        <v>46072.40678240741</v>
      </c>
      <c r="C376" s="1" t="n">
        <v>46110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3104-2026</t>
        </is>
      </c>
      <c r="B377" s="1" t="n">
        <v>46041.34425925926</v>
      </c>
      <c r="C377" s="1" t="n">
        <v>46110</v>
      </c>
      <c r="D377" t="inlineStr">
        <is>
          <t>VÄSTERBOTTENS LÄN</t>
        </is>
      </c>
      <c r="E377" t="inlineStr">
        <is>
          <t>NORDMALING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51512-2025</t>
        </is>
      </c>
      <c r="B378" s="1" t="n">
        <v>45950.65011574074</v>
      </c>
      <c r="C378" s="1" t="n">
        <v>46110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51762-2025</t>
        </is>
      </c>
      <c r="B379" s="1" t="n">
        <v>45951.63605324074</v>
      </c>
      <c r="C379" s="1" t="n">
        <v>46110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51736-2025</t>
        </is>
      </c>
      <c r="B380" s="1" t="n">
        <v>45951.595625</v>
      </c>
      <c r="C380" s="1" t="n">
        <v>46110</v>
      </c>
      <c r="D380" t="inlineStr">
        <is>
          <t>VÄSTERBOTTENS LÄN</t>
        </is>
      </c>
      <c r="E380" t="inlineStr">
        <is>
          <t>NORDMALING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59488-2024</t>
        </is>
      </c>
      <c r="B381" s="1" t="n">
        <v>45638.53199074074</v>
      </c>
      <c r="C381" s="1" t="n">
        <v>46110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24712-2023</t>
        </is>
      </c>
      <c r="B382" s="1" t="n">
        <v>45075</v>
      </c>
      <c r="C382" s="1" t="n">
        <v>46110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51552-2025</t>
        </is>
      </c>
      <c r="B383" s="1" t="n">
        <v>45950.85929398148</v>
      </c>
      <c r="C383" s="1" t="n">
        <v>46110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8425-2023</t>
        </is>
      </c>
      <c r="B384" s="1" t="n">
        <v>44977.45096064815</v>
      </c>
      <c r="C384" s="1" t="n">
        <v>46110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46110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11475-2026</t>
        </is>
      </c>
      <c r="B386" s="1" t="n">
        <v>46083.59635416666</v>
      </c>
      <c r="C386" s="1" t="n">
        <v>46110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31251-2025</t>
        </is>
      </c>
      <c r="B387" s="1" t="n">
        <v>45832.98082175926</v>
      </c>
      <c r="C387" s="1" t="n">
        <v>46110</v>
      </c>
      <c r="D387" t="inlineStr">
        <is>
          <t>VÄSTERBOTTENS LÄN</t>
        </is>
      </c>
      <c r="E387" t="inlineStr">
        <is>
          <t>NORDMALING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52201-2025</t>
        </is>
      </c>
      <c r="B388" s="1" t="n">
        <v>45953.40626157408</v>
      </c>
      <c r="C388" s="1" t="n">
        <v>46110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23753-2023</t>
        </is>
      </c>
      <c r="B389" s="1" t="n">
        <v>45077</v>
      </c>
      <c r="C389" s="1" t="n">
        <v>46110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32183-2023</t>
        </is>
      </c>
      <c r="B390" s="1" t="n">
        <v>45119</v>
      </c>
      <c r="C390" s="1" t="n">
        <v>46110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52234-2025</t>
        </is>
      </c>
      <c r="B391" s="1" t="n">
        <v>45953.45195601852</v>
      </c>
      <c r="C391" s="1" t="n">
        <v>46110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26627-2024</t>
        </is>
      </c>
      <c r="B392" s="1" t="n">
        <v>45469</v>
      </c>
      <c r="C392" s="1" t="n">
        <v>46110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52229-2025</t>
        </is>
      </c>
      <c r="B393" s="1" t="n">
        <v>45953.44894675926</v>
      </c>
      <c r="C393" s="1" t="n">
        <v>46110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34898-2023</t>
        </is>
      </c>
      <c r="B394" s="1" t="n">
        <v>45141</v>
      </c>
      <c r="C394" s="1" t="n">
        <v>46110</v>
      </c>
      <c r="D394" t="inlineStr">
        <is>
          <t>VÄSTERBOTTENS LÄN</t>
        </is>
      </c>
      <c r="E394" t="inlineStr">
        <is>
          <t>NORDMALING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3858-2026</t>
        </is>
      </c>
      <c r="B395" s="1" t="n">
        <v>46043.61787037037</v>
      </c>
      <c r="C395" s="1" t="n">
        <v>46110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3724-2026</t>
        </is>
      </c>
      <c r="B396" s="1" t="n">
        <v>46043</v>
      </c>
      <c r="C396" s="1" t="n">
        <v>46110</v>
      </c>
      <c r="D396" t="inlineStr">
        <is>
          <t>VÄSTERBOTTENS LÄN</t>
        </is>
      </c>
      <c r="E396" t="inlineStr">
        <is>
          <t>NORDMALING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32575-2025</t>
        </is>
      </c>
      <c r="B397" s="1" t="n">
        <v>45838.585625</v>
      </c>
      <c r="C397" s="1" t="n">
        <v>46110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31966-2025</t>
        </is>
      </c>
      <c r="B398" s="1" t="n">
        <v>45835.34629629629</v>
      </c>
      <c r="C398" s="1" t="n">
        <v>46110</v>
      </c>
      <c r="D398" t="inlineStr">
        <is>
          <t>VÄSTERBOTTENS LÄN</t>
        </is>
      </c>
      <c r="E398" t="inlineStr">
        <is>
          <t>NORDMALING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32313-2025</t>
        </is>
      </c>
      <c r="B399" s="1" t="n">
        <v>45835.86921296296</v>
      </c>
      <c r="C399" s="1" t="n">
        <v>46110</v>
      </c>
      <c r="D399" t="inlineStr">
        <is>
          <t>VÄSTERBOTTENS LÄN</t>
        </is>
      </c>
      <c r="E399" t="inlineStr">
        <is>
          <t>NORDMALING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32316-2025</t>
        </is>
      </c>
      <c r="B400" s="1" t="n">
        <v>45835.88451388889</v>
      </c>
      <c r="C400" s="1" t="n">
        <v>46110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3931-2026</t>
        </is>
      </c>
      <c r="B401" s="1" t="n">
        <v>46043.78642361111</v>
      </c>
      <c r="C401" s="1" t="n">
        <v>46110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52916-2025</t>
        </is>
      </c>
      <c r="B402" s="1" t="n">
        <v>45957.60758101852</v>
      </c>
      <c r="C402" s="1" t="n">
        <v>46110</v>
      </c>
      <c r="D402" t="inlineStr">
        <is>
          <t>VÄSTERBOTTENS LÄN</t>
        </is>
      </c>
      <c r="E402" t="inlineStr">
        <is>
          <t>NORDMALING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32315-2025</t>
        </is>
      </c>
      <c r="B403" s="1" t="n">
        <v>45835.878125</v>
      </c>
      <c r="C403" s="1" t="n">
        <v>46110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33216-2025</t>
        </is>
      </c>
      <c r="B404" s="1" t="n">
        <v>45840.63201388889</v>
      </c>
      <c r="C404" s="1" t="n">
        <v>46110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9863-2026</t>
        </is>
      </c>
      <c r="B405" s="1" t="n">
        <v>46072</v>
      </c>
      <c r="C405" s="1" t="n">
        <v>46110</v>
      </c>
      <c r="D405" t="inlineStr">
        <is>
          <t>VÄSTERBOTTENS LÄN</t>
        </is>
      </c>
      <c r="E405" t="inlineStr">
        <is>
          <t>NORDMALING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53001-2025</t>
        </is>
      </c>
      <c r="B406" s="1" t="n">
        <v>45957.7440162037</v>
      </c>
      <c r="C406" s="1" t="n">
        <v>46110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53776-2025</t>
        </is>
      </c>
      <c r="B407" s="1" t="n">
        <v>45960.69628472222</v>
      </c>
      <c r="C407" s="1" t="n">
        <v>46110</v>
      </c>
      <c r="D407" t="inlineStr">
        <is>
          <t>VÄSTERBOTTENS LÄN</t>
        </is>
      </c>
      <c r="E407" t="inlineStr">
        <is>
          <t>NORDMALING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9864-2026</t>
        </is>
      </c>
      <c r="B408" s="1" t="n">
        <v>46072</v>
      </c>
      <c r="C408" s="1" t="n">
        <v>46110</v>
      </c>
      <c r="D408" t="inlineStr">
        <is>
          <t>VÄSTERBOTTENS LÄN</t>
        </is>
      </c>
      <c r="E408" t="inlineStr">
        <is>
          <t>NORDMALING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4898-2026</t>
        </is>
      </c>
      <c r="B409" s="1" t="n">
        <v>46048.67756944444</v>
      </c>
      <c r="C409" s="1" t="n">
        <v>46110</v>
      </c>
      <c r="D409" t="inlineStr">
        <is>
          <t>VÄSTERBOTTENS LÄN</t>
        </is>
      </c>
      <c r="E409" t="inlineStr">
        <is>
          <t>NORDMALING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4332-2026</t>
        </is>
      </c>
      <c r="B410" s="1" t="n">
        <v>46045.48094907407</v>
      </c>
      <c r="C410" s="1" t="n">
        <v>46110</v>
      </c>
      <c r="D410" t="inlineStr">
        <is>
          <t>VÄSTERBOTTENS LÄN</t>
        </is>
      </c>
      <c r="E410" t="inlineStr">
        <is>
          <t>NORDMALING</t>
        </is>
      </c>
      <c r="G410" t="n">
        <v>22.4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53456-2025</t>
        </is>
      </c>
      <c r="B411" s="1" t="n">
        <v>45959.66428240741</v>
      </c>
      <c r="C411" s="1" t="n">
        <v>46110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43651-2023</t>
        </is>
      </c>
      <c r="B412" s="1" t="n">
        <v>45187.32118055555</v>
      </c>
      <c r="C412" s="1" t="n">
        <v>46110</v>
      </c>
      <c r="D412" t="inlineStr">
        <is>
          <t>VÄSTERBOTTENS LÄN</t>
        </is>
      </c>
      <c r="E412" t="inlineStr">
        <is>
          <t>NORDMALING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53777-2025</t>
        </is>
      </c>
      <c r="B413" s="1" t="n">
        <v>45960.69732638889</v>
      </c>
      <c r="C413" s="1" t="n">
        <v>46110</v>
      </c>
      <c r="D413" t="inlineStr">
        <is>
          <t>VÄSTERBOTTENS LÄN</t>
        </is>
      </c>
      <c r="E413" t="inlineStr">
        <is>
          <t>NORDMALING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4608-2026</t>
        </is>
      </c>
      <c r="B414" s="1" t="n">
        <v>46048.35949074074</v>
      </c>
      <c r="C414" s="1" t="n">
        <v>46110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4602-2026</t>
        </is>
      </c>
      <c r="B415" s="1" t="n">
        <v>46048.35572916667</v>
      </c>
      <c r="C415" s="1" t="n">
        <v>46110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53976-2025</t>
        </is>
      </c>
      <c r="B416" s="1" t="n">
        <v>45961.55366898148</v>
      </c>
      <c r="C416" s="1" t="n">
        <v>46110</v>
      </c>
      <c r="D416" t="inlineStr">
        <is>
          <t>VÄSTERBOTTENS LÄN</t>
        </is>
      </c>
      <c r="E416" t="inlineStr">
        <is>
          <t>NORDMALING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54030-2025</t>
        </is>
      </c>
      <c r="B417" s="1" t="n">
        <v>45962.49011574074</v>
      </c>
      <c r="C417" s="1" t="n">
        <v>46110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11660-2025</t>
        </is>
      </c>
      <c r="B418" s="1" t="n">
        <v>45727.49515046296</v>
      </c>
      <c r="C418" s="1" t="n">
        <v>46110</v>
      </c>
      <c r="D418" t="inlineStr">
        <is>
          <t>VÄSTERBOTTENS LÄN</t>
        </is>
      </c>
      <c r="E418" t="inlineStr">
        <is>
          <t>NORDMALING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11662-2025</t>
        </is>
      </c>
      <c r="B419" s="1" t="n">
        <v>45727.50065972222</v>
      </c>
      <c r="C419" s="1" t="n">
        <v>46110</v>
      </c>
      <c r="D419" t="inlineStr">
        <is>
          <t>VÄSTERBOTTENS LÄN</t>
        </is>
      </c>
      <c r="E419" t="inlineStr">
        <is>
          <t>NORDMALING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35650-2023</t>
        </is>
      </c>
      <c r="B420" s="1" t="n">
        <v>45147.58692129629</v>
      </c>
      <c r="C420" s="1" t="n">
        <v>46110</v>
      </c>
      <c r="D420" t="inlineStr">
        <is>
          <t>VÄSTERBOTTENS LÄN</t>
        </is>
      </c>
      <c r="E420" t="inlineStr">
        <is>
          <t>NORDMALING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35688-2023</t>
        </is>
      </c>
      <c r="B421" s="1" t="n">
        <v>45147.64556712963</v>
      </c>
      <c r="C421" s="1" t="n">
        <v>46110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5014-2026</t>
        </is>
      </c>
      <c r="B422" s="1" t="n">
        <v>46049.43175925926</v>
      </c>
      <c r="C422" s="1" t="n">
        <v>46110</v>
      </c>
      <c r="D422" t="inlineStr">
        <is>
          <t>VÄSTERBOTTENS LÄN</t>
        </is>
      </c>
      <c r="E422" t="inlineStr">
        <is>
          <t>NORDMALING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54078-2025</t>
        </is>
      </c>
      <c r="B423" s="1" t="n">
        <v>45964.36516203704</v>
      </c>
      <c r="C423" s="1" t="n">
        <v>46110</v>
      </c>
      <c r="D423" t="inlineStr">
        <is>
          <t>VÄSTERBOTTENS LÄN</t>
        </is>
      </c>
      <c r="E423" t="inlineStr">
        <is>
          <t>NORDMALING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53915-2025</t>
        </is>
      </c>
      <c r="B424" s="1" t="n">
        <v>45961.44832175926</v>
      </c>
      <c r="C424" s="1" t="n">
        <v>46110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33213-2025</t>
        </is>
      </c>
      <c r="B425" s="1" t="n">
        <v>45840.62851851852</v>
      </c>
      <c r="C425" s="1" t="n">
        <v>46110</v>
      </c>
      <c r="D425" t="inlineStr">
        <is>
          <t>VÄSTERBOTTENS LÄN</t>
        </is>
      </c>
      <c r="E425" t="inlineStr">
        <is>
          <t>NORDMALING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33227-2025</t>
        </is>
      </c>
      <c r="B426" s="1" t="n">
        <v>45840.63763888889</v>
      </c>
      <c r="C426" s="1" t="n">
        <v>46110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53826-2025</t>
        </is>
      </c>
      <c r="B427" s="1" t="n">
        <v>45961.34436342592</v>
      </c>
      <c r="C427" s="1" t="n">
        <v>46110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362-2025</t>
        </is>
      </c>
      <c r="B428" s="1" t="n">
        <v>45660.90559027778</v>
      </c>
      <c r="C428" s="1" t="n">
        <v>46110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54105-2025</t>
        </is>
      </c>
      <c r="B429" s="1" t="n">
        <v>45964.42788194444</v>
      </c>
      <c r="C429" s="1" t="n">
        <v>46110</v>
      </c>
      <c r="D429" t="inlineStr">
        <is>
          <t>VÄSTERBOTTENS LÄN</t>
        </is>
      </c>
      <c r="E429" t="inlineStr">
        <is>
          <t>NORDMALING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5495-2026</t>
        </is>
      </c>
      <c r="B430" s="1" t="n">
        <v>46050.61736111111</v>
      </c>
      <c r="C430" s="1" t="n">
        <v>46110</v>
      </c>
      <c r="D430" t="inlineStr">
        <is>
          <t>VÄSTERBOTTENS LÄN</t>
        </is>
      </c>
      <c r="E430" t="inlineStr">
        <is>
          <t>NORDMALING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46110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5507-2026</t>
        </is>
      </c>
      <c r="B432" s="1" t="n">
        <v>46050.62748842593</v>
      </c>
      <c r="C432" s="1" t="n">
        <v>46110</v>
      </c>
      <c r="D432" t="inlineStr">
        <is>
          <t>VÄSTERBOTTENS LÄN</t>
        </is>
      </c>
      <c r="E432" t="inlineStr">
        <is>
          <t>NORDMALING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54457-2025</t>
        </is>
      </c>
      <c r="B433" s="1" t="n">
        <v>45965.55269675926</v>
      </c>
      <c r="C433" s="1" t="n">
        <v>46110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54473-2025</t>
        </is>
      </c>
      <c r="B434" s="1" t="n">
        <v>45965.57398148148</v>
      </c>
      <c r="C434" s="1" t="n">
        <v>46110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54800-2025</t>
        </is>
      </c>
      <c r="B435" s="1" t="n">
        <v>45966.63836805556</v>
      </c>
      <c r="C435" s="1" t="n">
        <v>46110</v>
      </c>
      <c r="D435" t="inlineStr">
        <is>
          <t>VÄSTERBOTTENS LÄN</t>
        </is>
      </c>
      <c r="E435" t="inlineStr">
        <is>
          <t>NORDMALING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54438-2025</t>
        </is>
      </c>
      <c r="B436" s="1" t="n">
        <v>45965.50305555556</v>
      </c>
      <c r="C436" s="1" t="n">
        <v>46110</v>
      </c>
      <c r="D436" t="inlineStr">
        <is>
          <t>VÄSTERBOTTENS LÄN</t>
        </is>
      </c>
      <c r="E436" t="inlineStr">
        <is>
          <t>NORDMALING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54368-2025</t>
        </is>
      </c>
      <c r="B437" s="1" t="n">
        <v>45965.40554398148</v>
      </c>
      <c r="C437" s="1" t="n">
        <v>46110</v>
      </c>
      <c r="D437" t="inlineStr">
        <is>
          <t>VÄSTERBOTTENS LÄN</t>
        </is>
      </c>
      <c r="E437" t="inlineStr">
        <is>
          <t>NORDMALING</t>
        </is>
      </c>
      <c r="G437" t="n">
        <v>14.8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33220-2025</t>
        </is>
      </c>
      <c r="B438" s="1" t="n">
        <v>45840.63465277778</v>
      </c>
      <c r="C438" s="1" t="n">
        <v>46110</v>
      </c>
      <c r="D438" t="inlineStr">
        <is>
          <t>VÄSTERBOTTENS LÄN</t>
        </is>
      </c>
      <c r="E438" t="inlineStr">
        <is>
          <t>NORDMALING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27504-2022</t>
        </is>
      </c>
      <c r="B439" s="1" t="n">
        <v>44742</v>
      </c>
      <c r="C439" s="1" t="n">
        <v>46110</v>
      </c>
      <c r="D439" t="inlineStr">
        <is>
          <t>VÄSTERBOTTENS LÄN</t>
        </is>
      </c>
      <c r="E439" t="inlineStr">
        <is>
          <t>NORDMALING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5544-2026</t>
        </is>
      </c>
      <c r="B440" s="1" t="n">
        <v>46050.68443287037</v>
      </c>
      <c r="C440" s="1" t="n">
        <v>46110</v>
      </c>
      <c r="D440" t="inlineStr">
        <is>
          <t>VÄSTERBOTTENS LÄN</t>
        </is>
      </c>
      <c r="E440" t="inlineStr">
        <is>
          <t>NORDMALING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5517-2026</t>
        </is>
      </c>
      <c r="B441" s="1" t="n">
        <v>46050.6424537037</v>
      </c>
      <c r="C441" s="1" t="n">
        <v>46110</v>
      </c>
      <c r="D441" t="inlineStr">
        <is>
          <t>VÄSTERBOTTENS LÄN</t>
        </is>
      </c>
      <c r="E441" t="inlineStr">
        <is>
          <t>NORDMALING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54474-2025</t>
        </is>
      </c>
      <c r="B442" s="1" t="n">
        <v>45965.57400462963</v>
      </c>
      <c r="C442" s="1" t="n">
        <v>46110</v>
      </c>
      <c r="D442" t="inlineStr">
        <is>
          <t>VÄSTERBOTTENS LÄN</t>
        </is>
      </c>
      <c r="E442" t="inlineStr">
        <is>
          <t>NORDMALING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5483-2026</t>
        </is>
      </c>
      <c r="B443" s="1" t="n">
        <v>46050.60630787037</v>
      </c>
      <c r="C443" s="1" t="n">
        <v>46110</v>
      </c>
      <c r="D443" t="inlineStr">
        <is>
          <t>VÄSTERBOTTENS LÄN</t>
        </is>
      </c>
      <c r="E443" t="inlineStr">
        <is>
          <t>NORDMALING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6045-2026</t>
        </is>
      </c>
      <c r="B444" s="1" t="n">
        <v>46052.62574074074</v>
      </c>
      <c r="C444" s="1" t="n">
        <v>46110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9867-2026</t>
        </is>
      </c>
      <c r="B445" s="1" t="n">
        <v>46072</v>
      </c>
      <c r="C445" s="1" t="n">
        <v>46110</v>
      </c>
      <c r="D445" t="inlineStr">
        <is>
          <t>VÄSTERBOTTENS LÄN</t>
        </is>
      </c>
      <c r="E445" t="inlineStr">
        <is>
          <t>NORDMALING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5664-2026</t>
        </is>
      </c>
      <c r="B446" s="1" t="n">
        <v>46051.46328703704</v>
      </c>
      <c r="C446" s="1" t="n">
        <v>46110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33599-2025</t>
        </is>
      </c>
      <c r="B447" s="1" t="n">
        <v>45841.60773148148</v>
      </c>
      <c r="C447" s="1" t="n">
        <v>46110</v>
      </c>
      <c r="D447" t="inlineStr">
        <is>
          <t>VÄSTERBOTTENS LÄN</t>
        </is>
      </c>
      <c r="E447" t="inlineStr">
        <is>
          <t>NORDMALING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55786-2025</t>
        </is>
      </c>
      <c r="B448" s="1" t="n">
        <v>45972.6397337963</v>
      </c>
      <c r="C448" s="1" t="n">
        <v>46110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55792-2025</t>
        </is>
      </c>
      <c r="B449" s="1" t="n">
        <v>45972.65100694444</v>
      </c>
      <c r="C449" s="1" t="n">
        <v>46110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56247-2025</t>
        </is>
      </c>
      <c r="B450" s="1" t="n">
        <v>45974.55259259259</v>
      </c>
      <c r="C450" s="1" t="n">
        <v>46110</v>
      </c>
      <c r="D450" t="inlineStr">
        <is>
          <t>VÄSTERBOTTENS LÄN</t>
        </is>
      </c>
      <c r="E450" t="inlineStr">
        <is>
          <t>NORDMALING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33938-2025</t>
        </is>
      </c>
      <c r="B451" s="1" t="n">
        <v>45842.63664351852</v>
      </c>
      <c r="C451" s="1" t="n">
        <v>46110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44942-2023</t>
        </is>
      </c>
      <c r="B452" s="1" t="n">
        <v>45187</v>
      </c>
      <c r="C452" s="1" t="n">
        <v>46110</v>
      </c>
      <c r="D452" t="inlineStr">
        <is>
          <t>VÄSTERBOTTENS LÄN</t>
        </is>
      </c>
      <c r="E452" t="inlineStr">
        <is>
          <t>NORDMALING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13496-2026</t>
        </is>
      </c>
      <c r="B453" s="1" t="n">
        <v>46094.5894675926</v>
      </c>
      <c r="C453" s="1" t="n">
        <v>46110</v>
      </c>
      <c r="D453" t="inlineStr">
        <is>
          <t>VÄSTERBOTTENS LÄN</t>
        </is>
      </c>
      <c r="E453" t="inlineStr">
        <is>
          <t>NORDMALING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15756-2023</t>
        </is>
      </c>
      <c r="B454" s="1" t="n">
        <v>45021.62100694444</v>
      </c>
      <c r="C454" s="1" t="n">
        <v>46110</v>
      </c>
      <c r="D454" t="inlineStr">
        <is>
          <t>VÄSTERBOTTENS LÄN</t>
        </is>
      </c>
      <c r="E454" t="inlineStr">
        <is>
          <t>NORDMALING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13566-2026</t>
        </is>
      </c>
      <c r="B455" s="1" t="n">
        <v>46094.8096875</v>
      </c>
      <c r="C455" s="1" t="n">
        <v>46110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34601-2025</t>
        </is>
      </c>
      <c r="B456" s="1" t="n">
        <v>45846</v>
      </c>
      <c r="C456" s="1" t="n">
        <v>46110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13559-2026</t>
        </is>
      </c>
      <c r="B457" s="1" t="n">
        <v>46094.78865740741</v>
      </c>
      <c r="C457" s="1" t="n">
        <v>46110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18649-2025</t>
        </is>
      </c>
      <c r="B458" s="1" t="n">
        <v>45763.57402777778</v>
      </c>
      <c r="C458" s="1" t="n">
        <v>46110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5083-2025</t>
        </is>
      </c>
      <c r="B459" s="1" t="n">
        <v>45691</v>
      </c>
      <c r="C459" s="1" t="n">
        <v>46110</v>
      </c>
      <c r="D459" t="inlineStr">
        <is>
          <t>VÄSTERBOTTENS LÄN</t>
        </is>
      </c>
      <c r="E459" t="inlineStr">
        <is>
          <t>NORDMALING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6342-2026</t>
        </is>
      </c>
      <c r="B460" s="1" t="n">
        <v>46055.60136574074</v>
      </c>
      <c r="C460" s="1" t="n">
        <v>46110</v>
      </c>
      <c r="D460" t="inlineStr">
        <is>
          <t>VÄSTERBOTTENS LÄN</t>
        </is>
      </c>
      <c r="E460" t="inlineStr">
        <is>
          <t>NORDMALING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6503-2026</t>
        </is>
      </c>
      <c r="B461" s="1" t="n">
        <v>46056.3709837963</v>
      </c>
      <c r="C461" s="1" t="n">
        <v>46110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20133-2023</t>
        </is>
      </c>
      <c r="B462" s="1" t="n">
        <v>45051</v>
      </c>
      <c r="C462" s="1" t="n">
        <v>46110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6099-2026</t>
        </is>
      </c>
      <c r="B463" s="1" t="n">
        <v>46052.77422453704</v>
      </c>
      <c r="C463" s="1" t="n">
        <v>46110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6624-2026</t>
        </is>
      </c>
      <c r="B464" s="1" t="n">
        <v>46056.51085648148</v>
      </c>
      <c r="C464" s="1" t="n">
        <v>46110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6508-2026</t>
        </is>
      </c>
      <c r="B465" s="1" t="n">
        <v>46056.38537037037</v>
      </c>
      <c r="C465" s="1" t="n">
        <v>46110</v>
      </c>
      <c r="D465" t="inlineStr">
        <is>
          <t>VÄSTERBOTTENS LÄN</t>
        </is>
      </c>
      <c r="E465" t="inlineStr">
        <is>
          <t>NORDMALING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34804-2025</t>
        </is>
      </c>
      <c r="B466" s="1" t="n">
        <v>45849.31851851852</v>
      </c>
      <c r="C466" s="1" t="n">
        <v>46110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6995-2026</t>
        </is>
      </c>
      <c r="B467" s="1" t="n">
        <v>46057.61146990741</v>
      </c>
      <c r="C467" s="1" t="n">
        <v>46110</v>
      </c>
      <c r="D467" t="inlineStr">
        <is>
          <t>VÄSTERBOTTENS LÄN</t>
        </is>
      </c>
      <c r="E467" t="inlineStr">
        <is>
          <t>NORDMALING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35057-2025</t>
        </is>
      </c>
      <c r="B468" s="1" t="n">
        <v>45852.40655092592</v>
      </c>
      <c r="C468" s="1" t="n">
        <v>46110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7123-2026</t>
        </is>
      </c>
      <c r="B469" s="1" t="n">
        <v>46058.38614583333</v>
      </c>
      <c r="C469" s="1" t="n">
        <v>46110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7159-2026</t>
        </is>
      </c>
      <c r="B470" s="1" t="n">
        <v>46058.44041666666</v>
      </c>
      <c r="C470" s="1" t="n">
        <v>46110</v>
      </c>
      <c r="D470" t="inlineStr">
        <is>
          <t>VÄSTERBOTTENS LÄN</t>
        </is>
      </c>
      <c r="E470" t="inlineStr">
        <is>
          <t>NORDMALING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31216-2025</t>
        </is>
      </c>
      <c r="B471" s="1" t="n">
        <v>45832.74711805556</v>
      </c>
      <c r="C471" s="1" t="n">
        <v>46110</v>
      </c>
      <c r="D471" t="inlineStr">
        <is>
          <t>VÄSTERBOTTENS LÄN</t>
        </is>
      </c>
      <c r="E471" t="inlineStr">
        <is>
          <t>NORDMALING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7122-2026</t>
        </is>
      </c>
      <c r="B472" s="1" t="n">
        <v>46058.38587962963</v>
      </c>
      <c r="C472" s="1" t="n">
        <v>46110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16212-2023</t>
        </is>
      </c>
      <c r="B473" s="1" t="n">
        <v>45028</v>
      </c>
      <c r="C473" s="1" t="n">
        <v>46110</v>
      </c>
      <c r="D473" t="inlineStr">
        <is>
          <t>VÄSTERBOTTENS LÄN</t>
        </is>
      </c>
      <c r="E473" t="inlineStr">
        <is>
          <t>NORDMALING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59605-2022</t>
        </is>
      </c>
      <c r="B474" s="1" t="n">
        <v>44907</v>
      </c>
      <c r="C474" s="1" t="n">
        <v>46110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47063-2024</t>
        </is>
      </c>
      <c r="B475" s="1" t="n">
        <v>45586.47215277778</v>
      </c>
      <c r="C475" s="1" t="n">
        <v>46110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6788-2026</t>
        </is>
      </c>
      <c r="B476" s="1" t="n">
        <v>46057.33616898148</v>
      </c>
      <c r="C476" s="1" t="n">
        <v>46110</v>
      </c>
      <c r="D476" t="inlineStr">
        <is>
          <t>VÄSTERBOTTENS LÄN</t>
        </is>
      </c>
      <c r="E476" t="inlineStr">
        <is>
          <t>NORDMALING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70028-2021</t>
        </is>
      </c>
      <c r="B477" s="1" t="n">
        <v>44533</v>
      </c>
      <c r="C477" s="1" t="n">
        <v>46110</v>
      </c>
      <c r="D477" t="inlineStr">
        <is>
          <t>VÄSTERBOTTENS LÄN</t>
        </is>
      </c>
      <c r="E477" t="inlineStr">
        <is>
          <t>NORDMALING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3510-2026</t>
        </is>
      </c>
      <c r="B478" s="1" t="n">
        <v>46042</v>
      </c>
      <c r="C478" s="1" t="n">
        <v>46110</v>
      </c>
      <c r="D478" t="inlineStr">
        <is>
          <t>VÄSTERBOTTENS LÄN</t>
        </is>
      </c>
      <c r="E478" t="inlineStr">
        <is>
          <t>NORDMALING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35679-2025</t>
        </is>
      </c>
      <c r="B479" s="1" t="n">
        <v>45859.65673611111</v>
      </c>
      <c r="C479" s="1" t="n">
        <v>46110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26927-2024</t>
        </is>
      </c>
      <c r="B480" s="1" t="n">
        <v>45470.93131944445</v>
      </c>
      <c r="C480" s="1" t="n">
        <v>46110</v>
      </c>
      <c r="D480" t="inlineStr">
        <is>
          <t>VÄSTERBOTTENS LÄN</t>
        </is>
      </c>
      <c r="E480" t="inlineStr">
        <is>
          <t>NORDMALING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35600-2025</t>
        </is>
      </c>
      <c r="B481" s="1" t="n">
        <v>45858.86798611111</v>
      </c>
      <c r="C481" s="1" t="n">
        <v>46110</v>
      </c>
      <c r="D481" t="inlineStr">
        <is>
          <t>VÄSTERBOTTENS LÄN</t>
        </is>
      </c>
      <c r="E481" t="inlineStr">
        <is>
          <t>NORDMALING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41025-2023</t>
        </is>
      </c>
      <c r="B482" s="1" t="n">
        <v>45173</v>
      </c>
      <c r="C482" s="1" t="n">
        <v>46110</v>
      </c>
      <c r="D482" t="inlineStr">
        <is>
          <t>VÄSTERBOTTENS LÄN</t>
        </is>
      </c>
      <c r="E482" t="inlineStr">
        <is>
          <t>NORDMALING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36077-2025</t>
        </is>
      </c>
      <c r="B483" s="1" t="n">
        <v>45866.44303240741</v>
      </c>
      <c r="C483" s="1" t="n">
        <v>46110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31258-2024</t>
        </is>
      </c>
      <c r="B484" s="1" t="n">
        <v>45503.70638888889</v>
      </c>
      <c r="C484" s="1" t="n">
        <v>46110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36088-2025</t>
        </is>
      </c>
      <c r="B485" s="1" t="n">
        <v>45866.47144675926</v>
      </c>
      <c r="C485" s="1" t="n">
        <v>46110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36129-2025</t>
        </is>
      </c>
      <c r="B486" s="1" t="n">
        <v>45866.62015046296</v>
      </c>
      <c r="C486" s="1" t="n">
        <v>46110</v>
      </c>
      <c r="D486" t="inlineStr">
        <is>
          <t>VÄSTERBOTTENS LÄN</t>
        </is>
      </c>
      <c r="E486" t="inlineStr">
        <is>
          <t>NORDMALING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47635-2024</t>
        </is>
      </c>
      <c r="B487" s="1" t="n">
        <v>45588.35972222222</v>
      </c>
      <c r="C487" s="1" t="n">
        <v>46110</v>
      </c>
      <c r="D487" t="inlineStr">
        <is>
          <t>VÄSTERBOTTENS LÄN</t>
        </is>
      </c>
      <c r="E487" t="inlineStr">
        <is>
          <t>NORDMALING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7732-2026</t>
        </is>
      </c>
      <c r="B488" s="1" t="n">
        <v>46062.52329861111</v>
      </c>
      <c r="C488" s="1" t="n">
        <v>46110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36281-2025</t>
        </is>
      </c>
      <c r="B489" s="1" t="n">
        <v>45867.64376157407</v>
      </c>
      <c r="C489" s="1" t="n">
        <v>46110</v>
      </c>
      <c r="D489" t="inlineStr">
        <is>
          <t>VÄSTERBOTTENS LÄN</t>
        </is>
      </c>
      <c r="E489" t="inlineStr">
        <is>
          <t>NORDMALING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34246-2024</t>
        </is>
      </c>
      <c r="B490" s="1" t="n">
        <v>45524.58476851852</v>
      </c>
      <c r="C490" s="1" t="n">
        <v>46110</v>
      </c>
      <c r="D490" t="inlineStr">
        <is>
          <t>VÄSTERBOTTENS LÄN</t>
        </is>
      </c>
      <c r="E490" t="inlineStr">
        <is>
          <t>NORDMALING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18796-2025</t>
        </is>
      </c>
      <c r="B491" s="1" t="n">
        <v>45764.34581018519</v>
      </c>
      <c r="C491" s="1" t="n">
        <v>46110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13507-2025</t>
        </is>
      </c>
      <c r="B492" s="1" t="n">
        <v>45736.46914351852</v>
      </c>
      <c r="C492" s="1" t="n">
        <v>46110</v>
      </c>
      <c r="D492" t="inlineStr">
        <is>
          <t>VÄSTERBOTTENS LÄN</t>
        </is>
      </c>
      <c r="E492" t="inlineStr">
        <is>
          <t>NORDMALING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36667-2021</t>
        </is>
      </c>
      <c r="B493" s="1" t="n">
        <v>44392</v>
      </c>
      <c r="C493" s="1" t="n">
        <v>46110</v>
      </c>
      <c r="D493" t="inlineStr">
        <is>
          <t>VÄSTERBOTTENS LÄN</t>
        </is>
      </c>
      <c r="E493" t="inlineStr">
        <is>
          <t>NORDMALING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64498-2023</t>
        </is>
      </c>
      <c r="B494" s="1" t="n">
        <v>45280.94288194444</v>
      </c>
      <c r="C494" s="1" t="n">
        <v>46110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40210-2022</t>
        </is>
      </c>
      <c r="B495" s="1" t="n">
        <v>44820</v>
      </c>
      <c r="C495" s="1" t="n">
        <v>46110</v>
      </c>
      <c r="D495" t="inlineStr">
        <is>
          <t>VÄSTERBOTTENS LÄN</t>
        </is>
      </c>
      <c r="E495" t="inlineStr">
        <is>
          <t>NORDMALING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2645-2023</t>
        </is>
      </c>
      <c r="B496" s="1" t="n">
        <v>44943</v>
      </c>
      <c r="C496" s="1" t="n">
        <v>46110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36832-2025</t>
        </is>
      </c>
      <c r="B497" s="1" t="n">
        <v>45874.34928240741</v>
      </c>
      <c r="C497" s="1" t="n">
        <v>46110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69516-2021</t>
        </is>
      </c>
      <c r="B498" s="1" t="n">
        <v>44531</v>
      </c>
      <c r="C498" s="1" t="n">
        <v>46110</v>
      </c>
      <c r="D498" t="inlineStr">
        <is>
          <t>VÄSTERBOTTENS LÄN</t>
        </is>
      </c>
      <c r="E498" t="inlineStr">
        <is>
          <t>NORDMALING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43367-2022</t>
        </is>
      </c>
      <c r="B499" s="1" t="n">
        <v>44834.64829861111</v>
      </c>
      <c r="C499" s="1" t="n">
        <v>46110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28443-2023</t>
        </is>
      </c>
      <c r="B500" s="1" t="n">
        <v>45102</v>
      </c>
      <c r="C500" s="1" t="n">
        <v>46110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15250-2026</t>
        </is>
      </c>
      <c r="B501" s="1" t="n">
        <v>46105.57072916667</v>
      </c>
      <c r="C501" s="1" t="n">
        <v>46110</v>
      </c>
      <c r="D501" t="inlineStr">
        <is>
          <t>VÄSTERBOTTENS LÄN</t>
        </is>
      </c>
      <c r="E501" t="inlineStr">
        <is>
          <t>NORDMALING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8681-2026</t>
        </is>
      </c>
      <c r="B502" s="1" t="n">
        <v>46066.41885416667</v>
      </c>
      <c r="C502" s="1" t="n">
        <v>46110</v>
      </c>
      <c r="D502" t="inlineStr">
        <is>
          <t>VÄSTERBOTTENS LÄN</t>
        </is>
      </c>
      <c r="E502" t="inlineStr">
        <is>
          <t>NORDMALING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8684-2026</t>
        </is>
      </c>
      <c r="B503" s="1" t="n">
        <v>46066.43094907407</v>
      </c>
      <c r="C503" s="1" t="n">
        <v>46110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16016-2026</t>
        </is>
      </c>
      <c r="B504" s="1" t="n">
        <v>46108.44231481481</v>
      </c>
      <c r="C504" s="1" t="n">
        <v>46110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15963-2026</t>
        </is>
      </c>
      <c r="B505" s="1" t="n">
        <v>46108.32565972222</v>
      </c>
      <c r="C505" s="1" t="n">
        <v>46110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45145.95565972223</v>
      </c>
      <c r="C506" s="1" t="n">
        <v>46110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8534-2026</t>
        </is>
      </c>
      <c r="B507" s="1" t="n">
        <v>46065.60201388889</v>
      </c>
      <c r="C507" s="1" t="n">
        <v>46110</v>
      </c>
      <c r="D507" t="inlineStr">
        <is>
          <t>VÄSTERBOTTENS LÄN</t>
        </is>
      </c>
      <c r="E507" t="inlineStr">
        <is>
          <t>NORDMALING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8535-2026</t>
        </is>
      </c>
      <c r="B508" s="1" t="n">
        <v>46065.60232638889</v>
      </c>
      <c r="C508" s="1" t="n">
        <v>46110</v>
      </c>
      <c r="D508" t="inlineStr">
        <is>
          <t>VÄSTERBOTTENS LÄN</t>
        </is>
      </c>
      <c r="E508" t="inlineStr">
        <is>
          <t>NORDMALING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36716-2025</t>
        </is>
      </c>
      <c r="B509" s="1" t="n">
        <v>45873.46920138889</v>
      </c>
      <c r="C509" s="1" t="n">
        <v>46110</v>
      </c>
      <c r="D509" t="inlineStr">
        <is>
          <t>VÄSTERBOTTENS LÄN</t>
        </is>
      </c>
      <c r="E509" t="inlineStr">
        <is>
          <t>NORDMALING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36860-2025</t>
        </is>
      </c>
      <c r="B510" s="1" t="n">
        <v>45874.40981481481</v>
      </c>
      <c r="C510" s="1" t="n">
        <v>46110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6969-2024</t>
        </is>
      </c>
      <c r="B511" s="1" t="n">
        <v>45343</v>
      </c>
      <c r="C511" s="1" t="n">
        <v>46110</v>
      </c>
      <c r="D511" t="inlineStr">
        <is>
          <t>VÄSTERBOTTENS LÄN</t>
        </is>
      </c>
      <c r="E511" t="inlineStr">
        <is>
          <t>NORDMALING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8694-2026</t>
        </is>
      </c>
      <c r="B512" s="1" t="n">
        <v>46066.44982638889</v>
      </c>
      <c r="C512" s="1" t="n">
        <v>46110</v>
      </c>
      <c r="D512" t="inlineStr">
        <is>
          <t>VÄSTERBOTTENS LÄN</t>
        </is>
      </c>
      <c r="E512" t="inlineStr">
        <is>
          <t>NORDMALING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17502-2025</t>
        </is>
      </c>
      <c r="B513" s="1" t="n">
        <v>45757</v>
      </c>
      <c r="C513" s="1" t="n">
        <v>46110</v>
      </c>
      <c r="D513" t="inlineStr">
        <is>
          <t>VÄSTERBOTTENS LÄN</t>
        </is>
      </c>
      <c r="E513" t="inlineStr">
        <is>
          <t>NORDMALING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38274-2022</t>
        </is>
      </c>
      <c r="B514" s="1" t="n">
        <v>44812</v>
      </c>
      <c r="C514" s="1" t="n">
        <v>46110</v>
      </c>
      <c r="D514" t="inlineStr">
        <is>
          <t>VÄSTERBOTTENS LÄN</t>
        </is>
      </c>
      <c r="E514" t="inlineStr">
        <is>
          <t>NORDMALING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12375-2024</t>
        </is>
      </c>
      <c r="B515" s="1" t="n">
        <v>45378</v>
      </c>
      <c r="C515" s="1" t="n">
        <v>46110</v>
      </c>
      <c r="D515" t="inlineStr">
        <is>
          <t>VÄSTERBOTTENS LÄN</t>
        </is>
      </c>
      <c r="E515" t="inlineStr">
        <is>
          <t>NORDMALING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15961-2026</t>
        </is>
      </c>
      <c r="B516" s="1" t="n">
        <v>46108.31914351852</v>
      </c>
      <c r="C516" s="1" t="n">
        <v>46110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Naturvårdsverket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17890-2024</t>
        </is>
      </c>
      <c r="B517" s="1" t="n">
        <v>45419.47606481481</v>
      </c>
      <c r="C517" s="1" t="n">
        <v>46110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45096.93851851852</v>
      </c>
      <c r="C518" s="1" t="n">
        <v>46110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48945-2022</t>
        </is>
      </c>
      <c r="B519" s="1" t="n">
        <v>44859.95755787037</v>
      </c>
      <c r="C519" s="1" t="n">
        <v>46110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63779-2023</t>
        </is>
      </c>
      <c r="B520" s="1" t="n">
        <v>45275</v>
      </c>
      <c r="C520" s="1" t="n">
        <v>46110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20471-2025</t>
        </is>
      </c>
      <c r="B521" s="1" t="n">
        <v>45775.54582175926</v>
      </c>
      <c r="C521" s="1" t="n">
        <v>46110</v>
      </c>
      <c r="D521" t="inlineStr">
        <is>
          <t>VÄSTERBOTTENS LÄN</t>
        </is>
      </c>
      <c r="E521" t="inlineStr">
        <is>
          <t>NORDMALING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24050-2025</t>
        </is>
      </c>
      <c r="B522" s="1" t="n">
        <v>45796.49869212963</v>
      </c>
      <c r="C522" s="1" t="n">
        <v>46110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29344-2023</t>
        </is>
      </c>
      <c r="B523" s="1" t="n">
        <v>45105.94471064815</v>
      </c>
      <c r="C523" s="1" t="n">
        <v>46110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30439-2024</t>
        </is>
      </c>
      <c r="B524" s="1" t="n">
        <v>45491.74201388889</v>
      </c>
      <c r="C524" s="1" t="n">
        <v>46110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37362-2025</t>
        </is>
      </c>
      <c r="B525" s="1" t="n">
        <v>45877.31856481481</v>
      </c>
      <c r="C525" s="1" t="n">
        <v>46110</v>
      </c>
      <c r="D525" t="inlineStr">
        <is>
          <t>VÄSTERBOTTENS LÄN</t>
        </is>
      </c>
      <c r="E525" t="inlineStr">
        <is>
          <t>NORDMALING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53775-2023</t>
        </is>
      </c>
      <c r="B526" s="1" t="n">
        <v>45231.27434027778</v>
      </c>
      <c r="C526" s="1" t="n">
        <v>46110</v>
      </c>
      <c r="D526" t="inlineStr">
        <is>
          <t>VÄSTERBOTTENS LÄN</t>
        </is>
      </c>
      <c r="E526" t="inlineStr">
        <is>
          <t>NORDMALING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56734-2022</t>
        </is>
      </c>
      <c r="B527" s="1" t="n">
        <v>44893.94988425926</v>
      </c>
      <c r="C527" s="1" t="n">
        <v>46110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38163-2025</t>
        </is>
      </c>
      <c r="B528" s="1" t="n">
        <v>45882.62724537037</v>
      </c>
      <c r="C528" s="1" t="n">
        <v>46110</v>
      </c>
      <c r="D528" t="inlineStr">
        <is>
          <t>VÄSTERBOTTENS LÄN</t>
        </is>
      </c>
      <c r="E528" t="inlineStr">
        <is>
          <t>NORDMALING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38188-2025</t>
        </is>
      </c>
      <c r="B529" s="1" t="n">
        <v>45882.65447916667</v>
      </c>
      <c r="C529" s="1" t="n">
        <v>46110</v>
      </c>
      <c r="D529" t="inlineStr">
        <is>
          <t>VÄSTERBOTTENS LÄN</t>
        </is>
      </c>
      <c r="E529" t="inlineStr">
        <is>
          <t>NORDMALING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3449-2023</t>
        </is>
      </c>
      <c r="B530" s="1" t="n">
        <v>44949.61246527778</v>
      </c>
      <c r="C530" s="1" t="n">
        <v>46110</v>
      </c>
      <c r="D530" t="inlineStr">
        <is>
          <t>VÄSTERBOTTENS LÄN</t>
        </is>
      </c>
      <c r="E530" t="inlineStr">
        <is>
          <t>NORDMALING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38365-2025</t>
        </is>
      </c>
      <c r="B531" s="1" t="n">
        <v>45883.54989583333</v>
      </c>
      <c r="C531" s="1" t="n">
        <v>46110</v>
      </c>
      <c r="D531" t="inlineStr">
        <is>
          <t>VÄSTERBOTTENS LÄN</t>
        </is>
      </c>
      <c r="E531" t="inlineStr">
        <is>
          <t>NORDMALING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57251-2023</t>
        </is>
      </c>
      <c r="B532" s="1" t="n">
        <v>45245.56866898148</v>
      </c>
      <c r="C532" s="1" t="n">
        <v>46110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45139.94703703704</v>
      </c>
      <c r="C533" s="1" t="n">
        <v>46110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44950-2023</t>
        </is>
      </c>
      <c r="B534" s="1" t="n">
        <v>45187</v>
      </c>
      <c r="C534" s="1" t="n">
        <v>46110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44952-2023</t>
        </is>
      </c>
      <c r="B535" s="1" t="n">
        <v>45187</v>
      </c>
      <c r="C535" s="1" t="n">
        <v>46110</v>
      </c>
      <c r="D535" t="inlineStr">
        <is>
          <t>VÄSTERBOTTENS LÄN</t>
        </is>
      </c>
      <c r="E535" t="inlineStr">
        <is>
          <t>NORDMALING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42320-2024</t>
        </is>
      </c>
      <c r="B536" s="1" t="n">
        <v>45562.64625</v>
      </c>
      <c r="C536" s="1" t="n">
        <v>46110</v>
      </c>
      <c r="D536" t="inlineStr">
        <is>
          <t>VÄSTERBOTTENS LÄN</t>
        </is>
      </c>
      <c r="E536" t="inlineStr">
        <is>
          <t>NORDMALING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57590-2022</t>
        </is>
      </c>
      <c r="B537" s="1" t="n">
        <v>44896.97822916666</v>
      </c>
      <c r="C537" s="1" t="n">
        <v>46110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55698-2024</t>
        </is>
      </c>
      <c r="B538" s="1" t="n">
        <v>45622.68798611111</v>
      </c>
      <c r="C538" s="1" t="n">
        <v>46110</v>
      </c>
      <c r="D538" t="inlineStr">
        <is>
          <t>VÄSTERBOTTENS LÄN</t>
        </is>
      </c>
      <c r="E538" t="inlineStr">
        <is>
          <t>NORDMALING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55701-2024</t>
        </is>
      </c>
      <c r="B539" s="1" t="n">
        <v>45622.69039351852</v>
      </c>
      <c r="C539" s="1" t="n">
        <v>46110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43541-2024</t>
        </is>
      </c>
      <c r="B540" s="1" t="n">
        <v>45569.36511574074</v>
      </c>
      <c r="C540" s="1" t="n">
        <v>46110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45061-2024</t>
        </is>
      </c>
      <c r="B541" s="1" t="n">
        <v>45575</v>
      </c>
      <c r="C541" s="1" t="n">
        <v>46110</v>
      </c>
      <c r="D541" t="inlineStr">
        <is>
          <t>VÄSTERBOTTENS LÄN</t>
        </is>
      </c>
      <c r="E541" t="inlineStr">
        <is>
          <t>NORDMALING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7254-2024</t>
        </is>
      </c>
      <c r="B542" s="1" t="n">
        <v>45344</v>
      </c>
      <c r="C542" s="1" t="n">
        <v>46110</v>
      </c>
      <c r="D542" t="inlineStr">
        <is>
          <t>VÄSTERBOTTENS LÄN</t>
        </is>
      </c>
      <c r="E542" t="inlineStr">
        <is>
          <t>NORDMALING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40845-2024</t>
        </is>
      </c>
      <c r="B543" s="1" t="n">
        <v>45558</v>
      </c>
      <c r="C543" s="1" t="n">
        <v>46110</v>
      </c>
      <c r="D543" t="inlineStr">
        <is>
          <t>VÄSTERBOTTENS LÄN</t>
        </is>
      </c>
      <c r="E543" t="inlineStr">
        <is>
          <t>NORDMALING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19029-2025</t>
        </is>
      </c>
      <c r="B544" s="1" t="n">
        <v>45764.6515162037</v>
      </c>
      <c r="C544" s="1" t="n">
        <v>46110</v>
      </c>
      <c r="D544" t="inlineStr">
        <is>
          <t>VÄSTERBOTTENS LÄN</t>
        </is>
      </c>
      <c r="E544" t="inlineStr">
        <is>
          <t>NORDMALING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21863-2024</t>
        </is>
      </c>
      <c r="B545" s="1" t="n">
        <v>45443</v>
      </c>
      <c r="C545" s="1" t="n">
        <v>46110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22618-2024</t>
        </is>
      </c>
      <c r="B546" s="1" t="n">
        <v>45447.65377314815</v>
      </c>
      <c r="C546" s="1" t="n">
        <v>46110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69519-2021</t>
        </is>
      </c>
      <c r="B547" s="1" t="n">
        <v>44531</v>
      </c>
      <c r="C547" s="1" t="n">
        <v>46110</v>
      </c>
      <c r="D547" t="inlineStr">
        <is>
          <t>VÄSTERBOTTENS LÄN</t>
        </is>
      </c>
      <c r="E547" t="inlineStr">
        <is>
          <t>NORDMALING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15808-2023</t>
        </is>
      </c>
      <c r="B548" s="1" t="n">
        <v>45021</v>
      </c>
      <c r="C548" s="1" t="n">
        <v>46110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34901-2023</t>
        </is>
      </c>
      <c r="B549" s="1" t="n">
        <v>45141</v>
      </c>
      <c r="C549" s="1" t="n">
        <v>46110</v>
      </c>
      <c r="D549" t="inlineStr">
        <is>
          <t>VÄSTERBOTTENS LÄN</t>
        </is>
      </c>
      <c r="E549" t="inlineStr">
        <is>
          <t>NORDMALING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34905-2023</t>
        </is>
      </c>
      <c r="B550" s="1" t="n">
        <v>45141</v>
      </c>
      <c r="C550" s="1" t="n">
        <v>46110</v>
      </c>
      <c r="D550" t="inlineStr">
        <is>
          <t>VÄSTERBOTTENS LÄN</t>
        </is>
      </c>
      <c r="E550" t="inlineStr">
        <is>
          <t>NORDMALING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72018-2021</t>
        </is>
      </c>
      <c r="B551" s="1" t="n">
        <v>44540</v>
      </c>
      <c r="C551" s="1" t="n">
        <v>46110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24415-2024</t>
        </is>
      </c>
      <c r="B552" s="1" t="n">
        <v>45457</v>
      </c>
      <c r="C552" s="1" t="n">
        <v>46110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8642-2023</t>
        </is>
      </c>
      <c r="B553" s="1" t="n">
        <v>44977</v>
      </c>
      <c r="C553" s="1" t="n">
        <v>46110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48951-2024</t>
        </is>
      </c>
      <c r="B554" s="1" t="n">
        <v>45594.43097222222</v>
      </c>
      <c r="C554" s="1" t="n">
        <v>46110</v>
      </c>
      <c r="D554" t="inlineStr">
        <is>
          <t>VÄSTERBOTTENS LÄN</t>
        </is>
      </c>
      <c r="E554" t="inlineStr">
        <is>
          <t>NORDMALING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42501-2023</t>
        </is>
      </c>
      <c r="B555" s="1" t="n">
        <v>45180.95841435185</v>
      </c>
      <c r="C555" s="1" t="n">
        <v>46110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2251-2025</t>
        </is>
      </c>
      <c r="B556" s="1" t="n">
        <v>45673.5</v>
      </c>
      <c r="C556" s="1" t="n">
        <v>46110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15986-2023</t>
        </is>
      </c>
      <c r="B557" s="1" t="n">
        <v>45022.94265046297</v>
      </c>
      <c r="C557" s="1" t="n">
        <v>46110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48515-2024</t>
        </is>
      </c>
      <c r="B558" s="1" t="n">
        <v>45593.31179398148</v>
      </c>
      <c r="C558" s="1" t="n">
        <v>46110</v>
      </c>
      <c r="D558" t="inlineStr">
        <is>
          <t>VÄSTERBOTTENS LÄN</t>
        </is>
      </c>
      <c r="E558" t="inlineStr">
        <is>
          <t>NORDMALING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9541-2023</t>
        </is>
      </c>
      <c r="B559" s="1" t="n">
        <v>44981</v>
      </c>
      <c r="C559" s="1" t="n">
        <v>46110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53889-2024</t>
        </is>
      </c>
      <c r="B560" s="1" t="n">
        <v>45615.67903935185</v>
      </c>
      <c r="C560" s="1" t="n">
        <v>46110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34904-2023</t>
        </is>
      </c>
      <c r="B561" s="1" t="n">
        <v>45141</v>
      </c>
      <c r="C561" s="1" t="n">
        <v>46110</v>
      </c>
      <c r="D561" t="inlineStr">
        <is>
          <t>VÄSTERBOTTENS LÄN</t>
        </is>
      </c>
      <c r="E561" t="inlineStr">
        <is>
          <t>NORDMALING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47516-2024</t>
        </is>
      </c>
      <c r="B562" s="1" t="n">
        <v>45587</v>
      </c>
      <c r="C562" s="1" t="n">
        <v>46110</v>
      </c>
      <c r="D562" t="inlineStr">
        <is>
          <t>VÄSTERBOTTENS LÄN</t>
        </is>
      </c>
      <c r="E562" t="inlineStr">
        <is>
          <t>NORDMALING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37549-2023</t>
        </is>
      </c>
      <c r="B563" s="1" t="n">
        <v>45158</v>
      </c>
      <c r="C563" s="1" t="n">
        <v>46110</v>
      </c>
      <c r="D563" t="inlineStr">
        <is>
          <t>VÄSTERBOTTENS LÄN</t>
        </is>
      </c>
      <c r="E563" t="inlineStr">
        <is>
          <t>NORDMALING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46625-2024</t>
        </is>
      </c>
      <c r="B564" s="1" t="n">
        <v>45583.3296875</v>
      </c>
      <c r="C564" s="1" t="n">
        <v>46110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35292-2023</t>
        </is>
      </c>
      <c r="B565" s="1" t="n">
        <v>45145</v>
      </c>
      <c r="C565" s="1" t="n">
        <v>46110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2925-2025</t>
        </is>
      </c>
      <c r="B566" s="1" t="n">
        <v>45678.32653935185</v>
      </c>
      <c r="C566" s="1" t="n">
        <v>46110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25373-2024</t>
        </is>
      </c>
      <c r="B567" s="1" t="n">
        <v>45462.96096064815</v>
      </c>
      <c r="C567" s="1" t="n">
        <v>46110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59289-2024</t>
        </is>
      </c>
      <c r="B568" s="1" t="n">
        <v>45637.64994212963</v>
      </c>
      <c r="C568" s="1" t="n">
        <v>46110</v>
      </c>
      <c r="D568" t="inlineStr">
        <is>
          <t>VÄSTERBOTTENS LÄN</t>
        </is>
      </c>
      <c r="E568" t="inlineStr">
        <is>
          <t>NORDMALING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11369-2023</t>
        </is>
      </c>
      <c r="B569" s="1" t="n">
        <v>44993.43899305556</v>
      </c>
      <c r="C569" s="1" t="n">
        <v>46110</v>
      </c>
      <c r="D569" t="inlineStr">
        <is>
          <t>VÄSTERBOTTENS LÄN</t>
        </is>
      </c>
      <c r="E569" t="inlineStr">
        <is>
          <t>NORDMALING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34252-2024</t>
        </is>
      </c>
      <c r="B570" s="1" t="n">
        <v>45524.59075231481</v>
      </c>
      <c r="C570" s="1" t="n">
        <v>46110</v>
      </c>
      <c r="D570" t="inlineStr">
        <is>
          <t>VÄSTERBOTTENS LÄN</t>
        </is>
      </c>
      <c r="E570" t="inlineStr">
        <is>
          <t>NORDMALING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14434-2024</t>
        </is>
      </c>
      <c r="B571" s="1" t="n">
        <v>45394</v>
      </c>
      <c r="C571" s="1" t="n">
        <v>46110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44475-2024</t>
        </is>
      </c>
      <c r="B572" s="1" t="n">
        <v>45574</v>
      </c>
      <c r="C572" s="1" t="n">
        <v>46110</v>
      </c>
      <c r="D572" t="inlineStr">
        <is>
          <t>VÄSTERBOTTENS LÄN</t>
        </is>
      </c>
      <c r="E572" t="inlineStr">
        <is>
          <t>NORDMALING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5258-2024</t>
        </is>
      </c>
      <c r="B573" s="1" t="n">
        <v>45330</v>
      </c>
      <c r="C573" s="1" t="n">
        <v>46110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34489-2024</t>
        </is>
      </c>
      <c r="B574" s="1" t="n">
        <v>45525.61174768519</v>
      </c>
      <c r="C574" s="1" t="n">
        <v>46110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54207-2024</t>
        </is>
      </c>
      <c r="B575" s="1" t="n">
        <v>45616.65459490741</v>
      </c>
      <c r="C575" s="1" t="n">
        <v>46110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44012-2023</t>
        </is>
      </c>
      <c r="B576" s="1" t="n">
        <v>45182</v>
      </c>
      <c r="C576" s="1" t="n">
        <v>46110</v>
      </c>
      <c r="D576" t="inlineStr">
        <is>
          <t>VÄSTERBOTTENS LÄN</t>
        </is>
      </c>
      <c r="E576" t="inlineStr">
        <is>
          <t>NORDMALING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44924-2023</t>
        </is>
      </c>
      <c r="B577" s="1" t="n">
        <v>45187</v>
      </c>
      <c r="C577" s="1" t="n">
        <v>46110</v>
      </c>
      <c r="D577" t="inlineStr">
        <is>
          <t>VÄSTERBOTTENS LÄN</t>
        </is>
      </c>
      <c r="E577" t="inlineStr">
        <is>
          <t>NORDMALING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25344-2024</t>
        </is>
      </c>
      <c r="B578" s="1" t="n">
        <v>45462.92693287037</v>
      </c>
      <c r="C578" s="1" t="n">
        <v>46110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25349-2024</t>
        </is>
      </c>
      <c r="B579" s="1" t="n">
        <v>45462</v>
      </c>
      <c r="C579" s="1" t="n">
        <v>46110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59518-2024</t>
        </is>
      </c>
      <c r="B580" s="1" t="n">
        <v>45638.5696875</v>
      </c>
      <c r="C580" s="1" t="n">
        <v>46110</v>
      </c>
      <c r="D580" t="inlineStr">
        <is>
          <t>VÄSTERBOTTENS LÄN</t>
        </is>
      </c>
      <c r="E580" t="inlineStr">
        <is>
          <t>NORDMALING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8759-2025</t>
        </is>
      </c>
      <c r="B581" s="1" t="n">
        <v>45712.57372685185</v>
      </c>
      <c r="C581" s="1" t="n">
        <v>46110</v>
      </c>
      <c r="D581" t="inlineStr">
        <is>
          <t>VÄSTERBOTTENS LÄN</t>
        </is>
      </c>
      <c r="E581" t="inlineStr">
        <is>
          <t>NORDMALING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60765-2024</t>
        </is>
      </c>
      <c r="B582" s="1" t="n">
        <v>45644.57631944444</v>
      </c>
      <c r="C582" s="1" t="n">
        <v>46110</v>
      </c>
      <c r="D582" t="inlineStr">
        <is>
          <t>VÄSTERBOTTENS LÄN</t>
        </is>
      </c>
      <c r="E582" t="inlineStr">
        <is>
          <t>NORDMALING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18232-2024</t>
        </is>
      </c>
      <c r="B583" s="1" t="n">
        <v>45420</v>
      </c>
      <c r="C583" s="1" t="n">
        <v>46110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363-2025</t>
        </is>
      </c>
      <c r="B584" s="1" t="n">
        <v>45660.9071412037</v>
      </c>
      <c r="C584" s="1" t="n">
        <v>46110</v>
      </c>
      <c r="D584" t="inlineStr">
        <is>
          <t>VÄSTERBOTTENS LÄN</t>
        </is>
      </c>
      <c r="E584" t="inlineStr">
        <is>
          <t>NORDMALING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21622-2023</t>
        </is>
      </c>
      <c r="B585" s="1" t="n">
        <v>45062</v>
      </c>
      <c r="C585" s="1" t="n">
        <v>46110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21862-2024</t>
        </is>
      </c>
      <c r="B586" s="1" t="n">
        <v>45443</v>
      </c>
      <c r="C586" s="1" t="n">
        <v>46110</v>
      </c>
      <c r="D586" t="inlineStr">
        <is>
          <t>VÄSTERBOTTENS LÄN</t>
        </is>
      </c>
      <c r="E586" t="inlineStr">
        <is>
          <t>NORDMALING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15028-2025</t>
        </is>
      </c>
      <c r="B587" s="1" t="n">
        <v>45743.65723379629</v>
      </c>
      <c r="C587" s="1" t="n">
        <v>46110</v>
      </c>
      <c r="D587" t="inlineStr">
        <is>
          <t>VÄSTERBOTTENS LÄN</t>
        </is>
      </c>
      <c r="E587" t="inlineStr">
        <is>
          <t>NORDMALING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47777-2022</t>
        </is>
      </c>
      <c r="B588" s="1" t="n">
        <v>44854</v>
      </c>
      <c r="C588" s="1" t="n">
        <v>46110</v>
      </c>
      <c r="D588" t="inlineStr">
        <is>
          <t>VÄSTERBOTTENS LÄN</t>
        </is>
      </c>
      <c r="E588" t="inlineStr">
        <is>
          <t>NORDMALING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2311-2025</t>
        </is>
      </c>
      <c r="B589" s="1" t="n">
        <v>45673.60427083333</v>
      </c>
      <c r="C589" s="1" t="n">
        <v>46110</v>
      </c>
      <c r="D589" t="inlineStr">
        <is>
          <t>VÄSTERBOTTENS LÄN</t>
        </is>
      </c>
      <c r="E589" t="inlineStr">
        <is>
          <t>NORDMALING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48940-2022</t>
        </is>
      </c>
      <c r="B590" s="1" t="n">
        <v>44859.9572337963</v>
      </c>
      <c r="C590" s="1" t="n">
        <v>46110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16323-2025</t>
        </is>
      </c>
      <c r="B591" s="1" t="n">
        <v>45751.34894675926</v>
      </c>
      <c r="C591" s="1" t="n">
        <v>46110</v>
      </c>
      <c r="D591" t="inlineStr">
        <is>
          <t>VÄSTERBOTTENS LÄN</t>
        </is>
      </c>
      <c r="E591" t="inlineStr">
        <is>
          <t>NORDMALING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39851-2023</t>
        </is>
      </c>
      <c r="B592" s="1" t="n">
        <v>45166</v>
      </c>
      <c r="C592" s="1" t="n">
        <v>46110</v>
      </c>
      <c r="D592" t="inlineStr">
        <is>
          <t>VÄSTERBOTTENS LÄN</t>
        </is>
      </c>
      <c r="E592" t="inlineStr">
        <is>
          <t>NORDMALING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51832-2024</t>
        </is>
      </c>
      <c r="B593" s="1" t="n">
        <v>45607.50537037037</v>
      </c>
      <c r="C593" s="1" t="n">
        <v>46110</v>
      </c>
      <c r="D593" t="inlineStr">
        <is>
          <t>VÄSTERBOTTENS LÄN</t>
        </is>
      </c>
      <c r="E593" t="inlineStr">
        <is>
          <t>NORDMALING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72841-2021</t>
        </is>
      </c>
      <c r="B594" s="1" t="n">
        <v>44547.45057870371</v>
      </c>
      <c r="C594" s="1" t="n">
        <v>46110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59348-2024</t>
        </is>
      </c>
      <c r="B595" s="1" t="n">
        <v>45638</v>
      </c>
      <c r="C595" s="1" t="n">
        <v>46110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33612-2022</t>
        </is>
      </c>
      <c r="B596" s="1" t="n">
        <v>44789</v>
      </c>
      <c r="C596" s="1" t="n">
        <v>46110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48946-2023</t>
        </is>
      </c>
      <c r="B597" s="1" t="n">
        <v>45204</v>
      </c>
      <c r="C597" s="1" t="n">
        <v>46110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34685-2023</t>
        </is>
      </c>
      <c r="B598" s="1" t="n">
        <v>45140.96217592592</v>
      </c>
      <c r="C598" s="1" t="n">
        <v>46110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34484-2023</t>
        </is>
      </c>
      <c r="B599" s="1" t="n">
        <v>45139.94689814815</v>
      </c>
      <c r="C599" s="1" t="n">
        <v>46110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20476-2025</t>
        </is>
      </c>
      <c r="B600" s="1" t="n">
        <v>45775.54994212963</v>
      </c>
      <c r="C600" s="1" t="n">
        <v>46110</v>
      </c>
      <c r="D600" t="inlineStr">
        <is>
          <t>VÄSTERBOTTENS LÄN</t>
        </is>
      </c>
      <c r="E600" t="inlineStr">
        <is>
          <t>NORDMALING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20479-2025</t>
        </is>
      </c>
      <c r="B601" s="1" t="n">
        <v>45775</v>
      </c>
      <c r="C601" s="1" t="n">
        <v>46110</v>
      </c>
      <c r="D601" t="inlineStr">
        <is>
          <t>VÄSTERBOTTENS LÄN</t>
        </is>
      </c>
      <c r="E601" t="inlineStr">
        <is>
          <t>NORDMALING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20481-2025</t>
        </is>
      </c>
      <c r="B602" s="1" t="n">
        <v>45775</v>
      </c>
      <c r="C602" s="1" t="n">
        <v>46110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7019-2025</t>
        </is>
      </c>
      <c r="B603" s="1" t="n">
        <v>45701.61490740741</v>
      </c>
      <c r="C603" s="1" t="n">
        <v>46110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7080-2025</t>
        </is>
      </c>
      <c r="B604" s="1" t="n">
        <v>45701.69836805556</v>
      </c>
      <c r="C604" s="1" t="n">
        <v>46110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55305-2023</t>
        </is>
      </c>
      <c r="B605" s="1" t="n">
        <v>45237.86452546297</v>
      </c>
      <c r="C605" s="1" t="n">
        <v>46110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56801-2023</t>
        </is>
      </c>
      <c r="B606" s="1" t="n">
        <v>45244.43186342593</v>
      </c>
      <c r="C606" s="1" t="n">
        <v>46110</v>
      </c>
      <c r="D606" t="inlineStr">
        <is>
          <t>VÄSTERBOTTENS LÄN</t>
        </is>
      </c>
      <c r="E606" t="inlineStr">
        <is>
          <t>NORDMALING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39816-2023</t>
        </is>
      </c>
      <c r="B607" s="1" t="n">
        <v>45167.95972222222</v>
      </c>
      <c r="C607" s="1" t="n">
        <v>46110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18639-2022</t>
        </is>
      </c>
      <c r="B608" s="1" t="n">
        <v>44687</v>
      </c>
      <c r="C608" s="1" t="n">
        <v>46110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879-2025</t>
        </is>
      </c>
      <c r="B609" s="1" t="n">
        <v>45665</v>
      </c>
      <c r="C609" s="1" t="n">
        <v>46110</v>
      </c>
      <c r="D609" t="inlineStr">
        <is>
          <t>VÄSTERBOTTENS LÄN</t>
        </is>
      </c>
      <c r="E609" t="inlineStr">
        <is>
          <t>NORDMALING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55740-2023</t>
        </is>
      </c>
      <c r="B610" s="1" t="n">
        <v>45239.43872685185</v>
      </c>
      <c r="C610" s="1" t="n">
        <v>46110</v>
      </c>
      <c r="D610" t="inlineStr">
        <is>
          <t>VÄSTERBOTTENS LÄN</t>
        </is>
      </c>
      <c r="E610" t="inlineStr">
        <is>
          <t>NORDMALING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37548-2023</t>
        </is>
      </c>
      <c r="B611" s="1" t="n">
        <v>45158.97362268518</v>
      </c>
      <c r="C611" s="1" t="n">
        <v>46110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19516-2025</t>
        </is>
      </c>
      <c r="B612" s="1" t="n">
        <v>45770.44284722222</v>
      </c>
      <c r="C612" s="1" t="n">
        <v>46110</v>
      </c>
      <c r="D612" t="inlineStr">
        <is>
          <t>VÄSTERBOTTENS LÄN</t>
        </is>
      </c>
      <c r="E612" t="inlineStr">
        <is>
          <t>NORDMALING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30009-2022</t>
        </is>
      </c>
      <c r="B613" s="1" t="n">
        <v>44756.94358796296</v>
      </c>
      <c r="C613" s="1" t="n">
        <v>46110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46110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11651-2025</t>
        </is>
      </c>
      <c r="B615" s="1" t="n">
        <v>45727.4807175926</v>
      </c>
      <c r="C615" s="1" t="n">
        <v>46110</v>
      </c>
      <c r="D615" t="inlineStr">
        <is>
          <t>VÄSTERBOTTENS LÄN</t>
        </is>
      </c>
      <c r="E615" t="inlineStr">
        <is>
          <t>NORDMALING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39198-2022</t>
        </is>
      </c>
      <c r="B616" s="1" t="n">
        <v>44816</v>
      </c>
      <c r="C616" s="1" t="n">
        <v>46110</v>
      </c>
      <c r="D616" t="inlineStr">
        <is>
          <t>VÄSTERBOTTENS LÄN</t>
        </is>
      </c>
      <c r="E616" t="inlineStr">
        <is>
          <t>NORDMALING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58613-2022</t>
        </is>
      </c>
      <c r="B617" s="1" t="n">
        <v>44902.58502314815</v>
      </c>
      <c r="C617" s="1" t="n">
        <v>46110</v>
      </c>
      <c r="D617" t="inlineStr">
        <is>
          <t>VÄSTERBOTTENS LÄN</t>
        </is>
      </c>
      <c r="E617" t="inlineStr">
        <is>
          <t>NORDMALING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1856-2023</t>
        </is>
      </c>
      <c r="B618" s="1" t="n">
        <v>44938</v>
      </c>
      <c r="C618" s="1" t="n">
        <v>46110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13506-2025</t>
        </is>
      </c>
      <c r="B619" s="1" t="n">
        <v>45736.46910879629</v>
      </c>
      <c r="C619" s="1" t="n">
        <v>46110</v>
      </c>
      <c r="D619" t="inlineStr">
        <is>
          <t>VÄSTERBOTTENS LÄN</t>
        </is>
      </c>
      <c r="E619" t="inlineStr">
        <is>
          <t>NORDMALING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42823-2024</t>
        </is>
      </c>
      <c r="B620" s="1" t="n">
        <v>45566</v>
      </c>
      <c r="C620" s="1" t="n">
        <v>46110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54730-2024</t>
        </is>
      </c>
      <c r="B621" s="1" t="n">
        <v>45618.4383912037</v>
      </c>
      <c r="C621" s="1" t="n">
        <v>46110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47482-2024</t>
        </is>
      </c>
      <c r="B622" s="1" t="n">
        <v>45587.5822337963</v>
      </c>
      <c r="C622" s="1" t="n">
        <v>46110</v>
      </c>
      <c r="D622" t="inlineStr">
        <is>
          <t>VÄSTERBOTTENS LÄN</t>
        </is>
      </c>
      <c r="E622" t="inlineStr">
        <is>
          <t>NORDMALING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54169-2024</t>
        </is>
      </c>
      <c r="B623" s="1" t="n">
        <v>45616.625</v>
      </c>
      <c r="C623" s="1" t="n">
        <v>46110</v>
      </c>
      <c r="D623" t="inlineStr">
        <is>
          <t>VÄSTERBOTTENS LÄN</t>
        </is>
      </c>
      <c r="E623" t="inlineStr">
        <is>
          <t>NORDMALING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40008-2023</t>
        </is>
      </c>
      <c r="B624" s="1" t="n">
        <v>45167</v>
      </c>
      <c r="C624" s="1" t="n">
        <v>46110</v>
      </c>
      <c r="D624" t="inlineStr">
        <is>
          <t>VÄSTERBOTTENS LÄN</t>
        </is>
      </c>
      <c r="E624" t="inlineStr">
        <is>
          <t>NORDMALING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2921-2025</t>
        </is>
      </c>
      <c r="B625" s="1" t="n">
        <v>45678.321875</v>
      </c>
      <c r="C625" s="1" t="n">
        <v>46110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8103-2025</t>
        </is>
      </c>
      <c r="B626" s="1" t="n">
        <v>45707</v>
      </c>
      <c r="C626" s="1" t="n">
        <v>46110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31486-2024</t>
        </is>
      </c>
      <c r="B627" s="1" t="n">
        <v>45505.95335648148</v>
      </c>
      <c r="C627" s="1" t="n">
        <v>46110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36429-2024</t>
        </is>
      </c>
      <c r="B628" s="1" t="n">
        <v>45536.85508101852</v>
      </c>
      <c r="C628" s="1" t="n">
        <v>46110</v>
      </c>
      <c r="D628" t="inlineStr">
        <is>
          <t>VÄSTERBOTTENS LÄN</t>
        </is>
      </c>
      <c r="E628" t="inlineStr">
        <is>
          <t>NORDMALING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62159-2022</t>
        </is>
      </c>
      <c r="B629" s="1" t="n">
        <v>44922.43946759259</v>
      </c>
      <c r="C629" s="1" t="n">
        <v>46110</v>
      </c>
      <c r="D629" t="inlineStr">
        <is>
          <t>VÄSTERBOTTENS LÄN</t>
        </is>
      </c>
      <c r="E629" t="inlineStr">
        <is>
          <t>NORDMALING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19865-2024</t>
        </is>
      </c>
      <c r="B630" s="1" t="n">
        <v>45433</v>
      </c>
      <c r="C630" s="1" t="n">
        <v>46110</v>
      </c>
      <c r="D630" t="inlineStr">
        <is>
          <t>VÄSTERBOTTENS LÄN</t>
        </is>
      </c>
      <c r="E630" t="inlineStr">
        <is>
          <t>NORDMALING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59176-2024</t>
        </is>
      </c>
      <c r="B631" s="1" t="n">
        <v>45637.50048611111</v>
      </c>
      <c r="C631" s="1" t="n">
        <v>46110</v>
      </c>
      <c r="D631" t="inlineStr">
        <is>
          <t>VÄSTERBOTTENS LÄN</t>
        </is>
      </c>
      <c r="E631" t="inlineStr">
        <is>
          <t>NORDMALING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20489-2025</t>
        </is>
      </c>
      <c r="B632" s="1" t="n">
        <v>45775.56321759259</v>
      </c>
      <c r="C632" s="1" t="n">
        <v>46110</v>
      </c>
      <c r="D632" t="inlineStr">
        <is>
          <t>VÄSTERBOTTENS LÄN</t>
        </is>
      </c>
      <c r="E632" t="inlineStr">
        <is>
          <t>NORDMALING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61657-2022</t>
        </is>
      </c>
      <c r="B633" s="1" t="n">
        <v>44916</v>
      </c>
      <c r="C633" s="1" t="n">
        <v>46110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3456-2023</t>
        </is>
      </c>
      <c r="B634" s="1" t="n">
        <v>44949</v>
      </c>
      <c r="C634" s="1" t="n">
        <v>46110</v>
      </c>
      <c r="D634" t="inlineStr">
        <is>
          <t>VÄSTERBOTTENS LÄN</t>
        </is>
      </c>
      <c r="E634" t="inlineStr">
        <is>
          <t>NORDMALING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39104-2022</t>
        </is>
      </c>
      <c r="B635" s="1" t="n">
        <v>44816</v>
      </c>
      <c r="C635" s="1" t="n">
        <v>46110</v>
      </c>
      <c r="D635" t="inlineStr">
        <is>
          <t>VÄSTERBOTTENS LÄN</t>
        </is>
      </c>
      <c r="E635" t="inlineStr">
        <is>
          <t>NORDMALING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21607-2022</t>
        </is>
      </c>
      <c r="B636" s="1" t="n">
        <v>44706.66061342593</v>
      </c>
      <c r="C636" s="1" t="n">
        <v>46110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58655-2023</t>
        </is>
      </c>
      <c r="B637" s="1" t="n">
        <v>45247</v>
      </c>
      <c r="C637" s="1" t="n">
        <v>46110</v>
      </c>
      <c r="D637" t="inlineStr">
        <is>
          <t>VÄSTERBOTTENS LÄN</t>
        </is>
      </c>
      <c r="E637" t="inlineStr">
        <is>
          <t>NORDMALING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58480-2023</t>
        </is>
      </c>
      <c r="B638" s="1" t="n">
        <v>45251.3116087963</v>
      </c>
      <c r="C638" s="1" t="n">
        <v>46110</v>
      </c>
      <c r="D638" t="inlineStr">
        <is>
          <t>VÄSTERBOTTENS LÄN</t>
        </is>
      </c>
      <c r="E638" t="inlineStr">
        <is>
          <t>NORDMALING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7618-2024</t>
        </is>
      </c>
      <c r="B639" s="1" t="n">
        <v>45348</v>
      </c>
      <c r="C639" s="1" t="n">
        <v>46110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46110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9860-2022</t>
        </is>
      </c>
      <c r="B641" s="1" t="n">
        <v>44620</v>
      </c>
      <c r="C641" s="1" t="n">
        <v>46110</v>
      </c>
      <c r="D641" t="inlineStr">
        <is>
          <t>VÄSTERBOTTENS LÄN</t>
        </is>
      </c>
      <c r="E641" t="inlineStr">
        <is>
          <t>NORDMALING</t>
        </is>
      </c>
      <c r="G641" t="n">
        <v>82.40000000000001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14519-2023</t>
        </is>
      </c>
      <c r="B642" s="1" t="n">
        <v>45012.92611111111</v>
      </c>
      <c r="C642" s="1" t="n">
        <v>46110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17462-2023</t>
        </is>
      </c>
      <c r="B643" s="1" t="n">
        <v>45034</v>
      </c>
      <c r="C643" s="1" t="n">
        <v>46110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61198-2024</t>
        </is>
      </c>
      <c r="B644" s="1" t="n">
        <v>45645.63362268519</v>
      </c>
      <c r="C644" s="1" t="n">
        <v>46110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40053-2021</t>
        </is>
      </c>
      <c r="B645" s="1" t="n">
        <v>44418</v>
      </c>
      <c r="C645" s="1" t="n">
        <v>46110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21079-2024</t>
        </is>
      </c>
      <c r="B646" s="1" t="n">
        <v>45439</v>
      </c>
      <c r="C646" s="1" t="n">
        <v>46110</v>
      </c>
      <c r="D646" t="inlineStr">
        <is>
          <t>VÄSTERBOTTENS LÄN</t>
        </is>
      </c>
      <c r="E646" t="inlineStr">
        <is>
          <t>NORDMALING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53986-2022</t>
        </is>
      </c>
      <c r="B647" s="1" t="n">
        <v>44881.35148148148</v>
      </c>
      <c r="C647" s="1" t="n">
        <v>46110</v>
      </c>
      <c r="D647" t="inlineStr">
        <is>
          <t>VÄSTERBOTTENS LÄN</t>
        </is>
      </c>
      <c r="E647" t="inlineStr">
        <is>
          <t>NORDMALING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54893-2024</t>
        </is>
      </c>
      <c r="B648" s="1" t="n">
        <v>45618.63597222222</v>
      </c>
      <c r="C648" s="1" t="n">
        <v>46110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2260-2025</t>
        </is>
      </c>
      <c r="B649" s="1" t="n">
        <v>45673.51790509259</v>
      </c>
      <c r="C649" s="1" t="n">
        <v>46110</v>
      </c>
      <c r="D649" t="inlineStr">
        <is>
          <t>VÄSTERBOTTENS LÄN</t>
        </is>
      </c>
      <c r="E649" t="inlineStr">
        <is>
          <t>NORDMALING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26197-2022</t>
        </is>
      </c>
      <c r="B650" s="1" t="n">
        <v>44735</v>
      </c>
      <c r="C650" s="1" t="n">
        <v>46110</v>
      </c>
      <c r="D650" t="inlineStr">
        <is>
          <t>VÄSTERBOTTENS LÄN</t>
        </is>
      </c>
      <c r="E650" t="inlineStr">
        <is>
          <t>NORDMALING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59531-2024</t>
        </is>
      </c>
      <c r="B651" s="1" t="n">
        <v>45638.59567129629</v>
      </c>
      <c r="C651" s="1" t="n">
        <v>46110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55634-2023</t>
        </is>
      </c>
      <c r="B652" s="1" t="n">
        <v>45238</v>
      </c>
      <c r="C652" s="1" t="n">
        <v>46110</v>
      </c>
      <c r="D652" t="inlineStr">
        <is>
          <t>VÄSTERBOTTENS LÄN</t>
        </is>
      </c>
      <c r="E652" t="inlineStr">
        <is>
          <t>NORDMALING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46110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14689-2025</t>
        </is>
      </c>
      <c r="B654" s="1" t="n">
        <v>45742</v>
      </c>
      <c r="C654" s="1" t="n">
        <v>46110</v>
      </c>
      <c r="D654" t="inlineStr">
        <is>
          <t>VÄSTERBOTTENS LÄN</t>
        </is>
      </c>
      <c r="E654" t="inlineStr">
        <is>
          <t>NORDMALING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6225-2023</t>
        </is>
      </c>
      <c r="B655" s="1" t="n">
        <v>44964.87805555556</v>
      </c>
      <c r="C655" s="1" t="n">
        <v>46110</v>
      </c>
      <c r="D655" t="inlineStr">
        <is>
          <t>VÄSTERBOTTENS LÄN</t>
        </is>
      </c>
      <c r="E655" t="inlineStr">
        <is>
          <t>NORDMALING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27382-2024</t>
        </is>
      </c>
      <c r="B656" s="1" t="n">
        <v>45473.9594212963</v>
      </c>
      <c r="C656" s="1" t="n">
        <v>46110</v>
      </c>
      <c r="D656" t="inlineStr">
        <is>
          <t>VÄSTERBOTTENS LÄN</t>
        </is>
      </c>
      <c r="E656" t="inlineStr">
        <is>
          <t>NORDMALING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15750-2023</t>
        </is>
      </c>
      <c r="B657" s="1" t="n">
        <v>45021.6141087963</v>
      </c>
      <c r="C657" s="1" t="n">
        <v>46110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27370-2023</t>
        </is>
      </c>
      <c r="B658" s="1" t="n">
        <v>45096.93837962963</v>
      </c>
      <c r="C658" s="1" t="n">
        <v>46110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55810-2022</t>
        </is>
      </c>
      <c r="B659" s="1" t="n">
        <v>44888.65146990741</v>
      </c>
      <c r="C659" s="1" t="n">
        <v>46110</v>
      </c>
      <c r="D659" t="inlineStr">
        <is>
          <t>VÄSTERBOTTENS LÄN</t>
        </is>
      </c>
      <c r="E659" t="inlineStr">
        <is>
          <t>NORDMALING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8484-2023</t>
        </is>
      </c>
      <c r="B660" s="1" t="n">
        <v>44972</v>
      </c>
      <c r="C660" s="1" t="n">
        <v>46110</v>
      </c>
      <c r="D660" t="inlineStr">
        <is>
          <t>VÄSTERBOTTENS LÄN</t>
        </is>
      </c>
      <c r="E660" t="inlineStr">
        <is>
          <t>NORDMALING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52149-2024</t>
        </is>
      </c>
      <c r="B661" s="1" t="n">
        <v>45608.52366898148</v>
      </c>
      <c r="C661" s="1" t="n">
        <v>46110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32965-2024</t>
        </is>
      </c>
      <c r="B662" s="1" t="n">
        <v>45517.3959837963</v>
      </c>
      <c r="C662" s="1" t="n">
        <v>46110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Holmen skog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20328-2024</t>
        </is>
      </c>
      <c r="B663" s="1" t="n">
        <v>45435</v>
      </c>
      <c r="C663" s="1" t="n">
        <v>46110</v>
      </c>
      <c r="D663" t="inlineStr">
        <is>
          <t>VÄSTERBOTTENS LÄN</t>
        </is>
      </c>
      <c r="E663" t="inlineStr">
        <is>
          <t>NORDMALING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16455-2024</t>
        </is>
      </c>
      <c r="B664" s="1" t="n">
        <v>45407</v>
      </c>
      <c r="C664" s="1" t="n">
        <v>46110</v>
      </c>
      <c r="D664" t="inlineStr">
        <is>
          <t>VÄSTERBOTTENS LÄN</t>
        </is>
      </c>
      <c r="E664" t="inlineStr">
        <is>
          <t>NORDMALING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16690-2025</t>
        </is>
      </c>
      <c r="B665" s="1" t="n">
        <v>45754.45789351852</v>
      </c>
      <c r="C665" s="1" t="n">
        <v>46110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5595-2025</t>
        </is>
      </c>
      <c r="B666" s="1" t="n">
        <v>45693.57324074074</v>
      </c>
      <c r="C666" s="1" t="n">
        <v>46110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44387-2023</t>
        </is>
      </c>
      <c r="B667" s="1" t="n">
        <v>45188.94491898148</v>
      </c>
      <c r="C667" s="1" t="n">
        <v>46110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55130-2023</t>
        </is>
      </c>
      <c r="B668" s="1" t="n">
        <v>45237</v>
      </c>
      <c r="C668" s="1" t="n">
        <v>46110</v>
      </c>
      <c r="D668" t="inlineStr">
        <is>
          <t>VÄSTERBOTTENS LÄN</t>
        </is>
      </c>
      <c r="E668" t="inlineStr">
        <is>
          <t>NORDMALING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37133-2022</t>
        </is>
      </c>
      <c r="B669" s="1" t="n">
        <v>44806</v>
      </c>
      <c r="C669" s="1" t="n">
        <v>46110</v>
      </c>
      <c r="D669" t="inlineStr">
        <is>
          <t>VÄSTERBOTTENS LÄN</t>
        </is>
      </c>
      <c r="E669" t="inlineStr">
        <is>
          <t>NORDMALING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33343-2022</t>
        </is>
      </c>
      <c r="B670" s="1" t="n">
        <v>44788</v>
      </c>
      <c r="C670" s="1" t="n">
        <v>46110</v>
      </c>
      <c r="D670" t="inlineStr">
        <is>
          <t>VÄSTERBOTTENS LÄN</t>
        </is>
      </c>
      <c r="E670" t="inlineStr">
        <is>
          <t>NORDMALING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51824-2024</t>
        </is>
      </c>
      <c r="B671" s="1" t="n">
        <v>45607.50081018519</v>
      </c>
      <c r="C671" s="1" t="n">
        <v>46110</v>
      </c>
      <c r="D671" t="inlineStr">
        <is>
          <t>VÄSTERBOTTENS LÄN</t>
        </is>
      </c>
      <c r="E671" t="inlineStr">
        <is>
          <t>NORDMALING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7048-2023</t>
        </is>
      </c>
      <c r="B672" s="1" t="n">
        <v>44968</v>
      </c>
      <c r="C672" s="1" t="n">
        <v>46110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24850-2023</t>
        </is>
      </c>
      <c r="B673" s="1" t="n">
        <v>45078</v>
      </c>
      <c r="C673" s="1" t="n">
        <v>46110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878-2025</t>
        </is>
      </c>
      <c r="B674" s="1" t="n">
        <v>45665.63706018519</v>
      </c>
      <c r="C674" s="1" t="n">
        <v>46110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7220-2025</t>
        </is>
      </c>
      <c r="B675" s="1" t="n">
        <v>45702.48326388889</v>
      </c>
      <c r="C675" s="1" t="n">
        <v>46110</v>
      </c>
      <c r="D675" t="inlineStr">
        <is>
          <t>VÄSTERBOTTENS LÄN</t>
        </is>
      </c>
      <c r="E675" t="inlineStr">
        <is>
          <t>NORDMALING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2658-2025</t>
        </is>
      </c>
      <c r="B676" s="1" t="n">
        <v>45676</v>
      </c>
      <c r="C676" s="1" t="n">
        <v>46110</v>
      </c>
      <c r="D676" t="inlineStr">
        <is>
          <t>VÄSTERBOTTENS LÄN</t>
        </is>
      </c>
      <c r="E676" t="inlineStr">
        <is>
          <t>NORDMALING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13913-2025</t>
        </is>
      </c>
      <c r="B677" s="1" t="n">
        <v>45737.65015046296</v>
      </c>
      <c r="C677" s="1" t="n">
        <v>46110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9015-2025</t>
        </is>
      </c>
      <c r="B678" s="1" t="n">
        <v>45713.59037037037</v>
      </c>
      <c r="C678" s="1" t="n">
        <v>46110</v>
      </c>
      <c r="D678" t="inlineStr">
        <is>
          <t>VÄSTERBOTTENS LÄN</t>
        </is>
      </c>
      <c r="E678" t="inlineStr">
        <is>
          <t>NORDMALING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61283-2023</t>
        </is>
      </c>
      <c r="B679" s="1" t="n">
        <v>45264</v>
      </c>
      <c r="C679" s="1" t="n">
        <v>46110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56277-2023</t>
        </is>
      </c>
      <c r="B680" s="1" t="n">
        <v>45241.61490740741</v>
      </c>
      <c r="C680" s="1" t="n">
        <v>46110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2922-2025</t>
        </is>
      </c>
      <c r="B681" s="1" t="n">
        <v>45678.32327546296</v>
      </c>
      <c r="C681" s="1" t="n">
        <v>46110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43491-2024</t>
        </is>
      </c>
      <c r="B682" s="1" t="n">
        <v>45568</v>
      </c>
      <c r="C682" s="1" t="n">
        <v>46110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43492-2024</t>
        </is>
      </c>
      <c r="B683" s="1" t="n">
        <v>45568.92467592593</v>
      </c>
      <c r="C683" s="1" t="n">
        <v>46110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17893-2024</t>
        </is>
      </c>
      <c r="B684" s="1" t="n">
        <v>45419.48121527778</v>
      </c>
      <c r="C684" s="1" t="n">
        <v>46110</v>
      </c>
      <c r="D684" t="inlineStr">
        <is>
          <t>VÄSTERBOTTENS LÄN</t>
        </is>
      </c>
      <c r="E684" t="inlineStr">
        <is>
          <t>NORDMALING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46110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502-2025</t>
        </is>
      </c>
      <c r="B686" s="1" t="n">
        <v>45664</v>
      </c>
      <c r="C686" s="1" t="n">
        <v>46110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19581-2024</t>
        </is>
      </c>
      <c r="B687" s="1" t="n">
        <v>45429</v>
      </c>
      <c r="C687" s="1" t="n">
        <v>46110</v>
      </c>
      <c r="D687" t="inlineStr">
        <is>
          <t>VÄSTERBOTTENS LÄN</t>
        </is>
      </c>
      <c r="E687" t="inlineStr">
        <is>
          <t>NORDMALING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19038-2025</t>
        </is>
      </c>
      <c r="B688" s="1" t="n">
        <v>45764.67561342593</v>
      </c>
      <c r="C688" s="1" t="n">
        <v>46110</v>
      </c>
      <c r="D688" t="inlineStr">
        <is>
          <t>VÄSTERBOTTENS LÄN</t>
        </is>
      </c>
      <c r="E688" t="inlineStr">
        <is>
          <t>NORDMALING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27383-2024</t>
        </is>
      </c>
      <c r="B689" s="1" t="n">
        <v>45473</v>
      </c>
      <c r="C689" s="1" t="n">
        <v>46110</v>
      </c>
      <c r="D689" t="inlineStr">
        <is>
          <t>VÄSTERBOTTENS LÄN</t>
        </is>
      </c>
      <c r="E689" t="inlineStr">
        <is>
          <t>NORDMALING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48932-2023</t>
        </is>
      </c>
      <c r="B690" s="1" t="n">
        <v>45204</v>
      </c>
      <c r="C690" s="1" t="n">
        <v>46110</v>
      </c>
      <c r="D690" t="inlineStr">
        <is>
          <t>VÄSTERBOTTENS LÄN</t>
        </is>
      </c>
      <c r="E690" t="inlineStr">
        <is>
          <t>NORDMALING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24944-2022</t>
        </is>
      </c>
      <c r="B691" s="1" t="n">
        <v>44728</v>
      </c>
      <c r="C691" s="1" t="n">
        <v>46110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HYPERLINK("https://klasma.github.io/Logging_2401/knärot/A 24944-2022 karta knärot.png", "A 24944-2022")</f>
        <v/>
      </c>
      <c r="V691">
        <f>HYPERLINK("https://klasma.github.io/Logging_2401/klagomål/A 24944-2022 FSC-klagomål.docx", "A 24944-2022")</f>
        <v/>
      </c>
      <c r="W691">
        <f>HYPERLINK("https://klasma.github.io/Logging_2401/klagomålsmail/A 24944-2022 FSC-klagomål mail.docx", "A 24944-2022")</f>
        <v/>
      </c>
      <c r="X691">
        <f>HYPERLINK("https://klasma.github.io/Logging_2401/tillsyn/A 24944-2022 tillsynsbegäran.docx", "A 24944-2022")</f>
        <v/>
      </c>
      <c r="Y691">
        <f>HYPERLINK("https://klasma.github.io/Logging_2401/tillsynsmail/A 24944-2022 tillsynsbegäran mail.docx", "A 24944-2022")</f>
        <v/>
      </c>
    </row>
    <row r="692" ht="15" customHeight="1">
      <c r="A692" t="inlineStr">
        <is>
          <t>A 16758-2023</t>
        </is>
      </c>
      <c r="B692" s="1" t="n">
        <v>45030</v>
      </c>
      <c r="C692" s="1" t="n">
        <v>46110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21736-2025</t>
        </is>
      </c>
      <c r="B693" s="1" t="n">
        <v>45783.58952546296</v>
      </c>
      <c r="C693" s="1" t="n">
        <v>46110</v>
      </c>
      <c r="D693" t="inlineStr">
        <is>
          <t>VÄSTERBOTTENS LÄN</t>
        </is>
      </c>
      <c r="E693" t="inlineStr">
        <is>
          <t>NORDMALING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21733-2025</t>
        </is>
      </c>
      <c r="B694" s="1" t="n">
        <v>45783.58576388889</v>
      </c>
      <c r="C694" s="1" t="n">
        <v>46110</v>
      </c>
      <c r="D694" t="inlineStr">
        <is>
          <t>VÄSTERBOTTENS LÄN</t>
        </is>
      </c>
      <c r="E694" t="inlineStr">
        <is>
          <t>NORDMALING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2026-03-29T11:43:00Z</dcterms:created>
  <dcterms:modified xmlns:dcterms="http://purl.org/dc/terms/" xmlns:xsi="http://www.w3.org/2001/XMLSchema-instance" xsi:type="dcterms:W3CDTF">2026-03-29T11:43:01Z</dcterms:modified>
</cp:coreProperties>
</file>