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14021-2026</t>
        </is>
      </c>
      <c r="B2" s="1" t="n">
        <v>46098.70232638889</v>
      </c>
      <c r="C2" s="1" t="n">
        <v>46158</v>
      </c>
      <c r="D2" t="inlineStr">
        <is>
          <t>VÄSTERBOTTENS LÄN</t>
        </is>
      </c>
      <c r="E2" t="inlineStr">
        <is>
          <t>NORDMALING</t>
        </is>
      </c>
      <c r="G2" t="n">
        <v>7.8</v>
      </c>
      <c r="H2" t="n">
        <v>4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Knärot
Rynkskinn
Garnlav
Granticka
Harticka
Spillkråka
Talltita
Ullticka
Mörk husmossa
Skinnlav
Trådticka
Vedticka
Tjäder</t>
        </is>
      </c>
      <c r="S2">
        <f>HYPERLINK("https://klasma.github.io/Logging_2401/artfynd/A 14021-2026 artfynd.xlsx", "A 14021-2026")</f>
        <v/>
      </c>
      <c r="T2">
        <f>HYPERLINK("https://klasma.github.io/Logging_2401/kartor/A 14021-2026 karta.png", "A 14021-2026")</f>
        <v/>
      </c>
      <c r="U2">
        <f>HYPERLINK("https://klasma.github.io/Logging_2401/knärot/A 14021-2026 karta knärot.png", "A 14021-2026")</f>
        <v/>
      </c>
      <c r="V2">
        <f>HYPERLINK("https://klasma.github.io/Logging_2401/klagomål/A 14021-2026 FSC-klagomål.docx", "A 14021-2026")</f>
        <v/>
      </c>
      <c r="W2">
        <f>HYPERLINK("https://klasma.github.io/Logging_2401/klagomålsmail/A 14021-2026 FSC-klagomål mail.docx", "A 14021-2026")</f>
        <v/>
      </c>
      <c r="X2">
        <f>HYPERLINK("https://klasma.github.io/Logging_2401/tillsyn/A 14021-2026 tillsynsbegäran.docx", "A 14021-2026")</f>
        <v/>
      </c>
      <c r="Y2">
        <f>HYPERLINK("https://klasma.github.io/Logging_2401/tillsynsmail/A 14021-2026 tillsynsbegäran mail.docx", "A 14021-2026")</f>
        <v/>
      </c>
      <c r="Z2">
        <f>HYPERLINK("https://klasma.github.io/Logging_2401/fåglar/A 14021-2026 prioriterade fågelarter.docx", "A 14021-2026")</f>
        <v/>
      </c>
    </row>
    <row r="3" ht="15" customHeight="1">
      <c r="A3" t="inlineStr">
        <is>
          <t>A 40113-2023</t>
        </is>
      </c>
      <c r="B3" s="1" t="n">
        <v>45168</v>
      </c>
      <c r="C3" s="1" t="n">
        <v>46158</v>
      </c>
      <c r="D3" t="inlineStr">
        <is>
          <t>VÄSTERBOTTENS LÄN</t>
        </is>
      </c>
      <c r="E3" t="inlineStr">
        <is>
          <t>NORDMALING</t>
        </is>
      </c>
      <c r="F3" t="inlineStr">
        <is>
          <t>SCA</t>
        </is>
      </c>
      <c r="G3" t="n">
        <v>6.1</v>
      </c>
      <c r="H3" t="n">
        <v>3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Knärot
Rynkskinn
Garnlav
Granticka
Kötticka
Lunglav
Rosenticka
Spillkråka
Ullticka
Bårdlav
Vedticka
Tjäder</t>
        </is>
      </c>
      <c r="S3">
        <f>HYPERLINK("https://klasma.github.io/Logging_2401/artfynd/A 40113-2023 artfynd.xlsx", "A 40113-2023")</f>
        <v/>
      </c>
      <c r="T3">
        <f>HYPERLINK("https://klasma.github.io/Logging_2401/kartor/A 40113-2023 karta.png", "A 40113-2023")</f>
        <v/>
      </c>
      <c r="U3">
        <f>HYPERLINK("https://klasma.github.io/Logging_2401/knärot/A 40113-2023 karta knärot.png", "A 40113-2023")</f>
        <v/>
      </c>
      <c r="V3">
        <f>HYPERLINK("https://klasma.github.io/Logging_2401/klagomål/A 40113-2023 FSC-klagomål.docx", "A 40113-2023")</f>
        <v/>
      </c>
      <c r="W3">
        <f>HYPERLINK("https://klasma.github.io/Logging_2401/klagomålsmail/A 40113-2023 FSC-klagomål mail.docx", "A 40113-2023")</f>
        <v/>
      </c>
      <c r="X3">
        <f>HYPERLINK("https://klasma.github.io/Logging_2401/tillsyn/A 40113-2023 tillsynsbegäran.docx", "A 40113-2023")</f>
        <v/>
      </c>
      <c r="Y3">
        <f>HYPERLINK("https://klasma.github.io/Logging_2401/tillsynsmail/A 40113-2023 tillsynsbegäran mail.docx", "A 40113-2023")</f>
        <v/>
      </c>
      <c r="Z3">
        <f>HYPERLINK("https://klasma.github.io/Logging_2401/fåglar/A 40113-2023 prioriterade fågelarter.docx", "A 40113-2023")</f>
        <v/>
      </c>
    </row>
    <row r="4" ht="15" customHeight="1">
      <c r="A4" t="inlineStr">
        <is>
          <t>A 24051-2021</t>
        </is>
      </c>
      <c r="B4" s="1" t="n">
        <v>44335</v>
      </c>
      <c r="C4" s="1" t="n">
        <v>46158</v>
      </c>
      <c r="D4" t="inlineStr">
        <is>
          <t>VÄSTERBOTTENS LÄN</t>
        </is>
      </c>
      <c r="E4" t="inlineStr">
        <is>
          <t>NORDMALING</t>
        </is>
      </c>
      <c r="G4" t="n">
        <v>2.6</v>
      </c>
      <c r="H4" t="n">
        <v>2</v>
      </c>
      <c r="I4" t="n">
        <v>0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8</v>
      </c>
      <c r="R4" s="2" t="inlineStr">
        <is>
          <t>Trådbrosklav
Rynkskinn
Ulltickeporing
Garnlav
Järpe
Rosenticka
Tretåig hackspett
Ullticka</t>
        </is>
      </c>
      <c r="S4">
        <f>HYPERLINK("https://klasma.github.io/Logging_2401/artfynd/A 24051-2021 artfynd.xlsx", "A 24051-2021")</f>
        <v/>
      </c>
      <c r="T4">
        <f>HYPERLINK("https://klasma.github.io/Logging_2401/kartor/A 24051-2021 karta.png", "A 24051-2021")</f>
        <v/>
      </c>
      <c r="V4">
        <f>HYPERLINK("https://klasma.github.io/Logging_2401/klagomål/A 24051-2021 FSC-klagomål.docx", "A 24051-2021")</f>
        <v/>
      </c>
      <c r="W4">
        <f>HYPERLINK("https://klasma.github.io/Logging_2401/klagomålsmail/A 24051-2021 FSC-klagomål mail.docx", "A 24051-2021")</f>
        <v/>
      </c>
      <c r="X4">
        <f>HYPERLINK("https://klasma.github.io/Logging_2401/tillsyn/A 24051-2021 tillsynsbegäran.docx", "A 24051-2021")</f>
        <v/>
      </c>
      <c r="Y4">
        <f>HYPERLINK("https://klasma.github.io/Logging_2401/tillsynsmail/A 24051-2021 tillsynsbegäran mail.docx", "A 24051-2021")</f>
        <v/>
      </c>
      <c r="Z4">
        <f>HYPERLINK("https://klasma.github.io/Logging_2401/fåglar/A 24051-2021 prioriterade fågelarter.docx", "A 24051-2021")</f>
        <v/>
      </c>
    </row>
    <row r="5" ht="15" customHeight="1">
      <c r="A5" t="inlineStr">
        <is>
          <t>A 37547-2023</t>
        </is>
      </c>
      <c r="B5" s="1" t="n">
        <v>45158</v>
      </c>
      <c r="C5" s="1" t="n">
        <v>46158</v>
      </c>
      <c r="D5" t="inlineStr">
        <is>
          <t>VÄSTERBOTTENS LÄN</t>
        </is>
      </c>
      <c r="E5" t="inlineStr">
        <is>
          <t>NORDMALING</t>
        </is>
      </c>
      <c r="G5" t="n">
        <v>4.2</v>
      </c>
      <c r="H5" t="n">
        <v>0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Granticka
Orange taggsvamp
Svartvit taggsvamp
Dropptaggsvamp
Tjockfotad fingersvamp
Vågbandad barkbock</t>
        </is>
      </c>
      <c r="S5">
        <f>HYPERLINK("https://klasma.github.io/Logging_2401/artfynd/A 37547-2023 artfynd.xlsx", "A 37547-2023")</f>
        <v/>
      </c>
      <c r="T5">
        <f>HYPERLINK("https://klasma.github.io/Logging_2401/kartor/A 37547-2023 karta.png", "A 37547-2023")</f>
        <v/>
      </c>
      <c r="V5">
        <f>HYPERLINK("https://klasma.github.io/Logging_2401/klagomål/A 37547-2023 FSC-klagomål.docx", "A 37547-2023")</f>
        <v/>
      </c>
      <c r="W5">
        <f>HYPERLINK("https://klasma.github.io/Logging_2401/klagomålsmail/A 37547-2023 FSC-klagomål mail.docx", "A 37547-2023")</f>
        <v/>
      </c>
      <c r="X5">
        <f>HYPERLINK("https://klasma.github.io/Logging_2401/tillsyn/A 37547-2023 tillsynsbegäran.docx", "A 37547-2023")</f>
        <v/>
      </c>
      <c r="Y5">
        <f>HYPERLINK("https://klasma.github.io/Logging_2401/tillsynsmail/A 37547-2023 tillsynsbegäran mail.docx", "A 37547-2023")</f>
        <v/>
      </c>
    </row>
    <row r="6" ht="15" customHeight="1">
      <c r="A6" t="inlineStr">
        <is>
          <t>A 37141-2023</t>
        </is>
      </c>
      <c r="B6" s="1" t="n">
        <v>45154</v>
      </c>
      <c r="C6" s="1" t="n">
        <v>46158</v>
      </c>
      <c r="D6" t="inlineStr">
        <is>
          <t>VÄSTERBOTTENS LÄN</t>
        </is>
      </c>
      <c r="E6" t="inlineStr">
        <is>
          <t>NORDMALING</t>
        </is>
      </c>
      <c r="G6" t="n">
        <v>6.2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Goliatmusseron
Blå taggsvamp
Garnlav
Motaggsvamp
Orange taggsvamp
Dropptaggsvamp</t>
        </is>
      </c>
      <c r="S6">
        <f>HYPERLINK("https://klasma.github.io/Logging_2401/artfynd/A 37141-2023 artfynd.xlsx", "A 37141-2023")</f>
        <v/>
      </c>
      <c r="T6">
        <f>HYPERLINK("https://klasma.github.io/Logging_2401/kartor/A 37141-2023 karta.png", "A 37141-2023")</f>
        <v/>
      </c>
      <c r="V6">
        <f>HYPERLINK("https://klasma.github.io/Logging_2401/klagomål/A 37141-2023 FSC-klagomål.docx", "A 37141-2023")</f>
        <v/>
      </c>
      <c r="W6">
        <f>HYPERLINK("https://klasma.github.io/Logging_2401/klagomålsmail/A 37141-2023 FSC-klagomål mail.docx", "A 37141-2023")</f>
        <v/>
      </c>
      <c r="X6">
        <f>HYPERLINK("https://klasma.github.io/Logging_2401/tillsyn/A 37141-2023 tillsynsbegäran.docx", "A 37141-2023")</f>
        <v/>
      </c>
      <c r="Y6">
        <f>HYPERLINK("https://klasma.github.io/Logging_2401/tillsynsmail/A 37141-2023 tillsynsbegäran mail.docx", "A 37141-2023")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46158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46158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55814-2023</t>
        </is>
      </c>
      <c r="B9" s="1" t="n">
        <v>45239</v>
      </c>
      <c r="C9" s="1" t="n">
        <v>46158</v>
      </c>
      <c r="D9" t="inlineStr">
        <is>
          <t>VÄSTERBOTTENS LÄN</t>
        </is>
      </c>
      <c r="E9" t="inlineStr">
        <is>
          <t>NORDMALING</t>
        </is>
      </c>
      <c r="G9" t="n">
        <v>2.7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Garnlav
Granticka
Tretåig hackspett
Ullticka
Vågbandad barkbock</t>
        </is>
      </c>
      <c r="S9">
        <f>HYPERLINK("https://klasma.github.io/Logging_2401/artfynd/A 55814-2023 artfynd.xlsx", "A 55814-2023")</f>
        <v/>
      </c>
      <c r="T9">
        <f>HYPERLINK("https://klasma.github.io/Logging_2401/kartor/A 55814-2023 karta.png", "A 55814-2023")</f>
        <v/>
      </c>
      <c r="V9">
        <f>HYPERLINK("https://klasma.github.io/Logging_2401/klagomål/A 55814-2023 FSC-klagomål.docx", "A 55814-2023")</f>
        <v/>
      </c>
      <c r="W9">
        <f>HYPERLINK("https://klasma.github.io/Logging_2401/klagomålsmail/A 55814-2023 FSC-klagomål mail.docx", "A 55814-2023")</f>
        <v/>
      </c>
      <c r="X9">
        <f>HYPERLINK("https://klasma.github.io/Logging_2401/tillsyn/A 55814-2023 tillsynsbegäran.docx", "A 55814-2023")</f>
        <v/>
      </c>
      <c r="Y9">
        <f>HYPERLINK("https://klasma.github.io/Logging_2401/tillsynsmail/A 55814-2023 tillsynsbegäran mail.docx", "A 55814-2023")</f>
        <v/>
      </c>
      <c r="Z9">
        <f>HYPERLINK("https://klasma.github.io/Logging_2401/fåglar/A 55814-2023 prioriterade fågelarter.docx", "A 55814-2023")</f>
        <v/>
      </c>
    </row>
    <row r="10" ht="15" customHeight="1">
      <c r="A10" t="inlineStr">
        <is>
          <t>A 20163-2026</t>
        </is>
      </c>
      <c r="B10" s="1" t="n">
        <v>46139.29862268519</v>
      </c>
      <c r="C10" s="1" t="n">
        <v>46158</v>
      </c>
      <c r="D10" t="inlineStr">
        <is>
          <t>VÄSTERBOTTENS LÄN</t>
        </is>
      </c>
      <c r="E10" t="inlineStr">
        <is>
          <t>NORDMALING</t>
        </is>
      </c>
      <c r="G10" t="n">
        <v>1.9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Garnlav
Granticka
Järpe
Spillkråka
Ullticka</t>
        </is>
      </c>
      <c r="S10">
        <f>HYPERLINK("https://klasma.github.io/Logging_2401/artfynd/A 20163-2026 artfynd.xlsx", "A 20163-2026")</f>
        <v/>
      </c>
      <c r="T10">
        <f>HYPERLINK("https://klasma.github.io/Logging_2401/kartor/A 20163-2026 karta.png", "A 20163-2026")</f>
        <v/>
      </c>
      <c r="V10">
        <f>HYPERLINK("https://klasma.github.io/Logging_2401/klagomål/A 20163-2026 FSC-klagomål.docx", "A 20163-2026")</f>
        <v/>
      </c>
      <c r="W10">
        <f>HYPERLINK("https://klasma.github.io/Logging_2401/klagomålsmail/A 20163-2026 FSC-klagomål mail.docx", "A 20163-2026")</f>
        <v/>
      </c>
      <c r="X10">
        <f>HYPERLINK("https://klasma.github.io/Logging_2401/tillsyn/A 20163-2026 tillsynsbegäran.docx", "A 20163-2026")</f>
        <v/>
      </c>
      <c r="Y10">
        <f>HYPERLINK("https://klasma.github.io/Logging_2401/tillsynsmail/A 20163-2026 tillsynsbegäran mail.docx", "A 20163-2026")</f>
        <v/>
      </c>
      <c r="Z10">
        <f>HYPERLINK("https://klasma.github.io/Logging_2401/fåglar/A 20163-2026 prioriterade fågelarter.docx", "A 20163-2026")</f>
        <v/>
      </c>
    </row>
    <row r="11" ht="15" customHeight="1">
      <c r="A11" t="inlineStr">
        <is>
          <t>A 25188-2025</t>
        </is>
      </c>
      <c r="B11" s="1" t="n">
        <v>45800</v>
      </c>
      <c r="C11" s="1" t="n">
        <v>46158</v>
      </c>
      <c r="D11" t="inlineStr">
        <is>
          <t>VÄSTERBOTTENS LÄN</t>
        </is>
      </c>
      <c r="E11" t="inlineStr">
        <is>
          <t>NORDMALING</t>
        </is>
      </c>
      <c r="G11" t="n">
        <v>1.6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Lunglav
Talltita
Ullticka
Stuplav</t>
        </is>
      </c>
      <c r="S11">
        <f>HYPERLINK("https://klasma.github.io/Logging_2401/artfynd/A 25188-2025 artfynd.xlsx", "A 25188-2025")</f>
        <v/>
      </c>
      <c r="T11">
        <f>HYPERLINK("https://klasma.github.io/Logging_2401/kartor/A 25188-2025 karta.png", "A 25188-2025")</f>
        <v/>
      </c>
      <c r="V11">
        <f>HYPERLINK("https://klasma.github.io/Logging_2401/klagomål/A 25188-2025 FSC-klagomål.docx", "A 25188-2025")</f>
        <v/>
      </c>
      <c r="W11">
        <f>HYPERLINK("https://klasma.github.io/Logging_2401/klagomålsmail/A 25188-2025 FSC-klagomål mail.docx", "A 25188-2025")</f>
        <v/>
      </c>
      <c r="X11">
        <f>HYPERLINK("https://klasma.github.io/Logging_2401/tillsyn/A 25188-2025 tillsynsbegäran.docx", "A 25188-2025")</f>
        <v/>
      </c>
      <c r="Y11">
        <f>HYPERLINK("https://klasma.github.io/Logging_2401/tillsynsmail/A 25188-2025 tillsynsbegäran mail.docx", "A 25188-2025")</f>
        <v/>
      </c>
      <c r="Z11">
        <f>HYPERLINK("https://klasma.github.io/Logging_2401/fåglar/A 25188-2025 prioriterade fågelarter.docx", "A 25188-2025")</f>
        <v/>
      </c>
    </row>
    <row r="12" ht="15" customHeight="1">
      <c r="A12" t="inlineStr">
        <is>
          <t>A 3483-2026</t>
        </is>
      </c>
      <c r="B12" s="1" t="n">
        <v>46042.55883101852</v>
      </c>
      <c r="C12" s="1" t="n">
        <v>46158</v>
      </c>
      <c r="D12" t="inlineStr">
        <is>
          <t>VÄSTERBOTTENS LÄN</t>
        </is>
      </c>
      <c r="E12" t="inlineStr">
        <is>
          <t>NORDMALING</t>
        </is>
      </c>
      <c r="G12" t="n">
        <v>0.7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Garnlav
Granticka
Stjärntagging
Ullticka</t>
        </is>
      </c>
      <c r="S12">
        <f>HYPERLINK("https://klasma.github.io/Logging_2401/artfynd/A 3483-2026 artfynd.xlsx", "A 3483-2026")</f>
        <v/>
      </c>
      <c r="T12">
        <f>HYPERLINK("https://klasma.github.io/Logging_2401/kartor/A 3483-2026 karta.png", "A 3483-2026")</f>
        <v/>
      </c>
      <c r="V12">
        <f>HYPERLINK("https://klasma.github.io/Logging_2401/klagomål/A 3483-2026 FSC-klagomål.docx", "A 3483-2026")</f>
        <v/>
      </c>
      <c r="W12">
        <f>HYPERLINK("https://klasma.github.io/Logging_2401/klagomålsmail/A 3483-2026 FSC-klagomål mail.docx", "A 3483-2026")</f>
        <v/>
      </c>
      <c r="X12">
        <f>HYPERLINK("https://klasma.github.io/Logging_2401/tillsyn/A 3483-2026 tillsynsbegäran.docx", "A 3483-2026")</f>
        <v/>
      </c>
      <c r="Y12">
        <f>HYPERLINK("https://klasma.github.io/Logging_2401/tillsynsmail/A 3483-2026 tillsynsbegäran mail.docx", "A 3483-2026")</f>
        <v/>
      </c>
    </row>
    <row r="13" ht="15" customHeight="1">
      <c r="A13" t="inlineStr">
        <is>
          <t>A 6922-2025</t>
        </is>
      </c>
      <c r="B13" s="1" t="n">
        <v>45701</v>
      </c>
      <c r="C13" s="1" t="n">
        <v>46158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9.699999999999999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Doftskinn
Garnlav
Violettgrå tagellav</t>
        </is>
      </c>
      <c r="S13">
        <f>HYPERLINK("https://klasma.github.io/Logging_2401/artfynd/A 6922-2025 artfynd.xlsx", "A 6922-2025")</f>
        <v/>
      </c>
      <c r="T13">
        <f>HYPERLINK("https://klasma.github.io/Logging_2401/kartor/A 6922-2025 karta.png", "A 6922-2025")</f>
        <v/>
      </c>
      <c r="V13">
        <f>HYPERLINK("https://klasma.github.io/Logging_2401/klagomål/A 6922-2025 FSC-klagomål.docx", "A 6922-2025")</f>
        <v/>
      </c>
      <c r="W13">
        <f>HYPERLINK("https://klasma.github.io/Logging_2401/klagomålsmail/A 6922-2025 FSC-klagomål mail.docx", "A 6922-2025")</f>
        <v/>
      </c>
      <c r="X13">
        <f>HYPERLINK("https://klasma.github.io/Logging_2401/tillsyn/A 6922-2025 tillsynsbegäran.docx", "A 6922-2025")</f>
        <v/>
      </c>
      <c r="Y13">
        <f>HYPERLINK("https://klasma.github.io/Logging_2401/tillsynsmail/A 6922-2025 tillsynsbegäran mail.docx", "A 6922-2025")</f>
        <v/>
      </c>
    </row>
    <row r="14" ht="15" customHeight="1">
      <c r="A14" t="inlineStr">
        <is>
          <t>A 60450-2022</t>
        </is>
      </c>
      <c r="B14" s="1" t="n">
        <v>44904</v>
      </c>
      <c r="C14" s="1" t="n">
        <v>46158</v>
      </c>
      <c r="D14" t="inlineStr">
        <is>
          <t>VÄSTERBOTTENS LÄN</t>
        </is>
      </c>
      <c r="E14" t="inlineStr">
        <is>
          <t>NORDMALING</t>
        </is>
      </c>
      <c r="G14" t="n">
        <v>3.3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Lunglav
Ullticka</t>
        </is>
      </c>
      <c r="S14">
        <f>HYPERLINK("https://klasma.github.io/Logging_2401/artfynd/A 60450-2022 artfynd.xlsx", "A 60450-2022")</f>
        <v/>
      </c>
      <c r="T14">
        <f>HYPERLINK("https://klasma.github.io/Logging_2401/kartor/A 60450-2022 karta.png", "A 60450-2022")</f>
        <v/>
      </c>
      <c r="V14">
        <f>HYPERLINK("https://klasma.github.io/Logging_2401/klagomål/A 60450-2022 FSC-klagomål.docx", "A 60450-2022")</f>
        <v/>
      </c>
      <c r="W14">
        <f>HYPERLINK("https://klasma.github.io/Logging_2401/klagomålsmail/A 60450-2022 FSC-klagomål mail.docx", "A 60450-2022")</f>
        <v/>
      </c>
      <c r="X14">
        <f>HYPERLINK("https://klasma.github.io/Logging_2401/tillsyn/A 60450-2022 tillsynsbegäran.docx", "A 60450-2022")</f>
        <v/>
      </c>
      <c r="Y14">
        <f>HYPERLINK("https://klasma.github.io/Logging_2401/tillsynsmail/A 60450-2022 tillsynsbegäran mail.docx", "A 60450-2022")</f>
        <v/>
      </c>
    </row>
    <row r="15" ht="15" customHeight="1">
      <c r="A15" t="inlineStr">
        <is>
          <t>A 19667-2022</t>
        </is>
      </c>
      <c r="B15" s="1" t="n">
        <v>44694</v>
      </c>
      <c r="C15" s="1" t="n">
        <v>46158</v>
      </c>
      <c r="D15" t="inlineStr">
        <is>
          <t>VÄSTERBOTTENS LÄN</t>
        </is>
      </c>
      <c r="E15" t="inlineStr">
        <is>
          <t>NORDMALING</t>
        </is>
      </c>
      <c r="G15" t="n">
        <v>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Mustaschfladdermus
Tajgafladdermus</t>
        </is>
      </c>
      <c r="S15">
        <f>HYPERLINK("https://klasma.github.io/Logging_2401/artfynd/A 19667-2022 artfynd.xlsx", "A 19667-2022")</f>
        <v/>
      </c>
      <c r="T15">
        <f>HYPERLINK("https://klasma.github.io/Logging_2401/kartor/A 19667-2022 karta.png", "A 19667-2022")</f>
        <v/>
      </c>
      <c r="V15">
        <f>HYPERLINK("https://klasma.github.io/Logging_2401/klagomål/A 19667-2022 FSC-klagomål.docx", "A 19667-2022")</f>
        <v/>
      </c>
      <c r="W15">
        <f>HYPERLINK("https://klasma.github.io/Logging_2401/klagomålsmail/A 19667-2022 FSC-klagomål mail.docx", "A 19667-2022")</f>
        <v/>
      </c>
      <c r="X15">
        <f>HYPERLINK("https://klasma.github.io/Logging_2401/tillsyn/A 19667-2022 tillsynsbegäran.docx", "A 19667-2022")</f>
        <v/>
      </c>
      <c r="Y15">
        <f>HYPERLINK("https://klasma.github.io/Logging_2401/tillsynsmail/A 19667-2022 tillsynsbegäran mail.docx", "A 19667-2022")</f>
        <v/>
      </c>
    </row>
    <row r="16" ht="15" customHeight="1">
      <c r="A16" t="inlineStr">
        <is>
          <t>A 48951-2022</t>
        </is>
      </c>
      <c r="B16" s="1" t="n">
        <v>44859.95800925926</v>
      </c>
      <c r="C16" s="1" t="n">
        <v>46158</v>
      </c>
      <c r="D16" t="inlineStr">
        <is>
          <t>VÄSTERBOTTENS LÄN</t>
        </is>
      </c>
      <c r="E16" t="inlineStr">
        <is>
          <t>NORDMALING</t>
        </is>
      </c>
      <c r="F16" t="inlineStr">
        <is>
          <t>SCA</t>
        </is>
      </c>
      <c r="G16" t="n">
        <v>2.6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Ullticka</t>
        </is>
      </c>
      <c r="S16">
        <f>HYPERLINK("https://klasma.github.io/Logging_2401/artfynd/A 48951-2022 artfynd.xlsx", "A 48951-2022")</f>
        <v/>
      </c>
      <c r="T16">
        <f>HYPERLINK("https://klasma.github.io/Logging_2401/kartor/A 48951-2022 karta.png", "A 48951-2022")</f>
        <v/>
      </c>
      <c r="V16">
        <f>HYPERLINK("https://klasma.github.io/Logging_2401/klagomål/A 48951-2022 FSC-klagomål.docx", "A 48951-2022")</f>
        <v/>
      </c>
      <c r="W16">
        <f>HYPERLINK("https://klasma.github.io/Logging_2401/klagomålsmail/A 48951-2022 FSC-klagomål mail.docx", "A 48951-2022")</f>
        <v/>
      </c>
      <c r="X16">
        <f>HYPERLINK("https://klasma.github.io/Logging_2401/tillsyn/A 48951-2022 tillsynsbegäran.docx", "A 48951-2022")</f>
        <v/>
      </c>
      <c r="Y16">
        <f>HYPERLINK("https://klasma.github.io/Logging_2401/tillsynsmail/A 48951-2022 tillsynsbegäran mail.docx", "A 48951-2022")</f>
        <v/>
      </c>
    </row>
    <row r="17" ht="15" customHeight="1">
      <c r="A17" t="inlineStr">
        <is>
          <t>A 55632-2023</t>
        </is>
      </c>
      <c r="B17" s="1" t="n">
        <v>45238</v>
      </c>
      <c r="C17" s="1" t="n">
        <v>46158</v>
      </c>
      <c r="D17" t="inlineStr">
        <is>
          <t>VÄSTERBOTTENS LÄN</t>
        </is>
      </c>
      <c r="E17" t="inlineStr">
        <is>
          <t>NORDMALING</t>
        </is>
      </c>
      <c r="G17" t="n">
        <v>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Skinnlav</t>
        </is>
      </c>
      <c r="S17">
        <f>HYPERLINK("https://klasma.github.io/Logging_2401/artfynd/A 55632-2023 artfynd.xlsx", "A 55632-2023")</f>
        <v/>
      </c>
      <c r="T17">
        <f>HYPERLINK("https://klasma.github.io/Logging_2401/kartor/A 55632-2023 karta.png", "A 55632-2023")</f>
        <v/>
      </c>
      <c r="V17">
        <f>HYPERLINK("https://klasma.github.io/Logging_2401/klagomål/A 55632-2023 FSC-klagomål.docx", "A 55632-2023")</f>
        <v/>
      </c>
      <c r="W17">
        <f>HYPERLINK("https://klasma.github.io/Logging_2401/klagomålsmail/A 55632-2023 FSC-klagomål mail.docx", "A 55632-2023")</f>
        <v/>
      </c>
      <c r="X17">
        <f>HYPERLINK("https://klasma.github.io/Logging_2401/tillsyn/A 55632-2023 tillsynsbegäran.docx", "A 55632-2023")</f>
        <v/>
      </c>
      <c r="Y17">
        <f>HYPERLINK("https://klasma.github.io/Logging_2401/tillsynsmail/A 55632-2023 tillsynsbegäran mail.docx", "A 55632-2023")</f>
        <v/>
      </c>
    </row>
    <row r="18" ht="15" customHeight="1">
      <c r="A18" t="inlineStr">
        <is>
          <t>A 29323-2025</t>
        </is>
      </c>
      <c r="B18" s="1" t="n">
        <v>45824.47902777778</v>
      </c>
      <c r="C18" s="1" t="n">
        <v>46158</v>
      </c>
      <c r="D18" t="inlineStr">
        <is>
          <t>VÄSTERBOTTENS LÄN</t>
        </is>
      </c>
      <c r="E18" t="inlineStr">
        <is>
          <t>NORDMALING</t>
        </is>
      </c>
      <c r="G18" t="n">
        <v>2.9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Granticka</t>
        </is>
      </c>
      <c r="S18">
        <f>HYPERLINK("https://klasma.github.io/Logging_2401/artfynd/A 29323-2025 artfynd.xlsx", "A 29323-2025")</f>
        <v/>
      </c>
      <c r="T18">
        <f>HYPERLINK("https://klasma.github.io/Logging_2401/kartor/A 29323-2025 karta.png", "A 29323-2025")</f>
        <v/>
      </c>
      <c r="V18">
        <f>HYPERLINK("https://klasma.github.io/Logging_2401/klagomål/A 29323-2025 FSC-klagomål.docx", "A 29323-2025")</f>
        <v/>
      </c>
      <c r="W18">
        <f>HYPERLINK("https://klasma.github.io/Logging_2401/klagomålsmail/A 29323-2025 FSC-klagomål mail.docx", "A 29323-2025")</f>
        <v/>
      </c>
      <c r="X18">
        <f>HYPERLINK("https://klasma.github.io/Logging_2401/tillsyn/A 29323-2025 tillsynsbegäran.docx", "A 29323-2025")</f>
        <v/>
      </c>
      <c r="Y18">
        <f>HYPERLINK("https://klasma.github.io/Logging_2401/tillsynsmail/A 29323-2025 tillsynsbegäran mail.docx", "A 29323-2025")</f>
        <v/>
      </c>
    </row>
    <row r="19" ht="15" customHeight="1">
      <c r="A19" t="inlineStr">
        <is>
          <t>A 4085-2026</t>
        </is>
      </c>
      <c r="B19" s="1" t="n">
        <v>46043</v>
      </c>
      <c r="C19" s="1" t="n">
        <v>46158</v>
      </c>
      <c r="D19" t="inlineStr">
        <is>
          <t>VÄSTERBOTTENS LÄN</t>
        </is>
      </c>
      <c r="E19" t="inlineStr">
        <is>
          <t>NORDMALING</t>
        </is>
      </c>
      <c r="G19" t="n">
        <v>33.1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Tretåig hackspett</t>
        </is>
      </c>
      <c r="S19">
        <f>HYPERLINK("https://klasma.github.io/Logging_2401/artfynd/A 4085-2026 artfynd.xlsx", "A 4085-2026")</f>
        <v/>
      </c>
      <c r="T19">
        <f>HYPERLINK("https://klasma.github.io/Logging_2401/kartor/A 4085-2026 karta.png", "A 4085-2026")</f>
        <v/>
      </c>
      <c r="V19">
        <f>HYPERLINK("https://klasma.github.io/Logging_2401/klagomål/A 4085-2026 FSC-klagomål.docx", "A 4085-2026")</f>
        <v/>
      </c>
      <c r="W19">
        <f>HYPERLINK("https://klasma.github.io/Logging_2401/klagomålsmail/A 4085-2026 FSC-klagomål mail.docx", "A 4085-2026")</f>
        <v/>
      </c>
      <c r="X19">
        <f>HYPERLINK("https://klasma.github.io/Logging_2401/tillsyn/A 4085-2026 tillsynsbegäran.docx", "A 4085-2026")</f>
        <v/>
      </c>
      <c r="Y19">
        <f>HYPERLINK("https://klasma.github.io/Logging_2401/tillsynsmail/A 4085-2026 tillsynsbegäran mail.docx", "A 4085-2026")</f>
        <v/>
      </c>
      <c r="Z19">
        <f>HYPERLINK("https://klasma.github.io/Logging_2401/fåglar/A 4085-2026 prioriterade fågelarter.docx", "A 4085-2026")</f>
        <v/>
      </c>
    </row>
    <row r="20" ht="15" customHeight="1">
      <c r="A20" t="inlineStr">
        <is>
          <t>A 36810-2025</t>
        </is>
      </c>
      <c r="B20" s="1" t="n">
        <v>45873</v>
      </c>
      <c r="C20" s="1" t="n">
        <v>46158</v>
      </c>
      <c r="D20" t="inlineStr">
        <is>
          <t>VÄSTERBOTTENS LÄN</t>
        </is>
      </c>
      <c r="E20" t="inlineStr">
        <is>
          <t>NORDMALING</t>
        </is>
      </c>
      <c r="G20" t="n">
        <v>1.3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Granbarkgnagare</t>
        </is>
      </c>
      <c r="S20">
        <f>HYPERLINK("https://klasma.github.io/Logging_2401/artfynd/A 36810-2025 artfynd.xlsx", "A 36810-2025")</f>
        <v/>
      </c>
      <c r="T20">
        <f>HYPERLINK("https://klasma.github.io/Logging_2401/kartor/A 36810-2025 karta.png", "A 36810-2025")</f>
        <v/>
      </c>
      <c r="V20">
        <f>HYPERLINK("https://klasma.github.io/Logging_2401/klagomål/A 36810-2025 FSC-klagomål.docx", "A 36810-2025")</f>
        <v/>
      </c>
      <c r="W20">
        <f>HYPERLINK("https://klasma.github.io/Logging_2401/klagomålsmail/A 36810-2025 FSC-klagomål mail.docx", "A 36810-2025")</f>
        <v/>
      </c>
      <c r="X20">
        <f>HYPERLINK("https://klasma.github.io/Logging_2401/tillsyn/A 36810-2025 tillsynsbegäran.docx", "A 36810-2025")</f>
        <v/>
      </c>
      <c r="Y20">
        <f>HYPERLINK("https://klasma.github.io/Logging_2401/tillsynsmail/A 36810-2025 tillsynsbegäran mail.docx", "A 36810-2025")</f>
        <v/>
      </c>
    </row>
    <row r="21" ht="15" customHeight="1">
      <c r="A21" t="inlineStr">
        <is>
          <t>A 65043-2023</t>
        </is>
      </c>
      <c r="B21" s="1" t="n">
        <v>45283</v>
      </c>
      <c r="C21" s="1" t="n">
        <v>46158</v>
      </c>
      <c r="D21" t="inlineStr">
        <is>
          <t>VÄSTERBOTTENS LÄN</t>
        </is>
      </c>
      <c r="E21" t="inlineStr">
        <is>
          <t>NORDMALING</t>
        </is>
      </c>
      <c r="F21" t="inlineStr">
        <is>
          <t>Kommuner</t>
        </is>
      </c>
      <c r="G21" t="n">
        <v>9.1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Grönsångare
Mindre hackspett</t>
        </is>
      </c>
      <c r="S21">
        <f>HYPERLINK("https://klasma.github.io/Logging_2401/artfynd/A 65043-2023 artfynd.xlsx", "A 65043-2023")</f>
        <v/>
      </c>
      <c r="T21">
        <f>HYPERLINK("https://klasma.github.io/Logging_2401/kartor/A 65043-2023 karta.png", "A 65043-2023")</f>
        <v/>
      </c>
      <c r="V21">
        <f>HYPERLINK("https://klasma.github.io/Logging_2401/klagomål/A 65043-2023 FSC-klagomål.docx", "A 65043-2023")</f>
        <v/>
      </c>
      <c r="W21">
        <f>HYPERLINK("https://klasma.github.io/Logging_2401/klagomålsmail/A 65043-2023 FSC-klagomål mail.docx", "A 65043-2023")</f>
        <v/>
      </c>
      <c r="X21">
        <f>HYPERLINK("https://klasma.github.io/Logging_2401/tillsyn/A 65043-2023 tillsynsbegäran.docx", "A 65043-2023")</f>
        <v/>
      </c>
      <c r="Y21">
        <f>HYPERLINK("https://klasma.github.io/Logging_2401/tillsynsmail/A 65043-2023 tillsynsbegäran mail.docx", "A 65043-2023")</f>
        <v/>
      </c>
      <c r="Z21">
        <f>HYPERLINK("https://klasma.github.io/Logging_2401/fåglar/A 65043-2023 prioriterade fågelarter.docx", "A 65043-2023")</f>
        <v/>
      </c>
    </row>
    <row r="22" ht="15" customHeight="1">
      <c r="A22" t="inlineStr">
        <is>
          <t>A 17442-2025</t>
        </is>
      </c>
      <c r="B22" s="1" t="n">
        <v>45757.42755787037</v>
      </c>
      <c r="C22" s="1" t="n">
        <v>46158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1.6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Åkergroda
Vanlig groda</t>
        </is>
      </c>
      <c r="S22">
        <f>HYPERLINK("https://klasma.github.io/Logging_2401/artfynd/A 17442-2025 artfynd.xlsx", "A 17442-2025")</f>
        <v/>
      </c>
      <c r="T22">
        <f>HYPERLINK("https://klasma.github.io/Logging_2401/kartor/A 17442-2025 karta.png", "A 17442-2025")</f>
        <v/>
      </c>
      <c r="V22">
        <f>HYPERLINK("https://klasma.github.io/Logging_2401/klagomål/A 17442-2025 FSC-klagomål.docx", "A 17442-2025")</f>
        <v/>
      </c>
      <c r="W22">
        <f>HYPERLINK("https://klasma.github.io/Logging_2401/klagomålsmail/A 17442-2025 FSC-klagomål mail.docx", "A 17442-2025")</f>
        <v/>
      </c>
      <c r="X22">
        <f>HYPERLINK("https://klasma.github.io/Logging_2401/tillsyn/A 17442-2025 tillsynsbegäran.docx", "A 17442-2025")</f>
        <v/>
      </c>
      <c r="Y22">
        <f>HYPERLINK("https://klasma.github.io/Logging_2401/tillsynsmail/A 17442-2025 tillsynsbegäran mail.docx", "A 17442-2025")</f>
        <v/>
      </c>
    </row>
    <row r="23" ht="15" customHeight="1">
      <c r="A23" t="inlineStr">
        <is>
          <t>A 43050-2021</t>
        </is>
      </c>
      <c r="B23" s="1" t="n">
        <v>44431</v>
      </c>
      <c r="C23" s="1" t="n">
        <v>46158</v>
      </c>
      <c r="D23" t="inlineStr">
        <is>
          <t>VÄSTERBOTTENS LÄN</t>
        </is>
      </c>
      <c r="E23" t="inlineStr">
        <is>
          <t>NORDMALING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43050-2021 artfynd.xlsx", "A 43050-2021")</f>
        <v/>
      </c>
      <c r="T23">
        <f>HYPERLINK("https://klasma.github.io/Logging_2401/kartor/A 43050-2021 karta.png", "A 43050-2021")</f>
        <v/>
      </c>
      <c r="V23">
        <f>HYPERLINK("https://klasma.github.io/Logging_2401/klagomål/A 43050-2021 FSC-klagomål.docx", "A 43050-2021")</f>
        <v/>
      </c>
      <c r="W23">
        <f>HYPERLINK("https://klasma.github.io/Logging_2401/klagomålsmail/A 43050-2021 FSC-klagomål mail.docx", "A 43050-2021")</f>
        <v/>
      </c>
      <c r="X23">
        <f>HYPERLINK("https://klasma.github.io/Logging_2401/tillsyn/A 43050-2021 tillsynsbegäran.docx", "A 43050-2021")</f>
        <v/>
      </c>
      <c r="Y23">
        <f>HYPERLINK("https://klasma.github.io/Logging_2401/tillsynsmail/A 43050-2021 tillsynsbegäran mail.docx", "A 43050-2021")</f>
        <v/>
      </c>
    </row>
    <row r="24" ht="15" customHeight="1">
      <c r="A24" t="inlineStr">
        <is>
          <t>A 60310-2021</t>
        </is>
      </c>
      <c r="B24" s="1" t="n">
        <v>44495</v>
      </c>
      <c r="C24" s="1" t="n">
        <v>46158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aspticka</t>
        </is>
      </c>
      <c r="S24">
        <f>HYPERLINK("https://klasma.github.io/Logging_2401/artfynd/A 60310-2021 artfynd.xlsx", "A 60310-2021")</f>
        <v/>
      </c>
      <c r="T24">
        <f>HYPERLINK("https://klasma.github.io/Logging_2401/kartor/A 60310-2021 karta.png", "A 60310-2021")</f>
        <v/>
      </c>
      <c r="V24">
        <f>HYPERLINK("https://klasma.github.io/Logging_2401/klagomål/A 60310-2021 FSC-klagomål.docx", "A 60310-2021")</f>
        <v/>
      </c>
      <c r="W24">
        <f>HYPERLINK("https://klasma.github.io/Logging_2401/klagomålsmail/A 60310-2021 FSC-klagomål mail.docx", "A 60310-2021")</f>
        <v/>
      </c>
      <c r="X24">
        <f>HYPERLINK("https://klasma.github.io/Logging_2401/tillsyn/A 60310-2021 tillsynsbegäran.docx", "A 60310-2021")</f>
        <v/>
      </c>
      <c r="Y24">
        <f>HYPERLINK("https://klasma.github.io/Logging_2401/tillsynsmail/A 60310-2021 tillsynsbegäran mail.docx", "A 60310-2021")</f>
        <v/>
      </c>
    </row>
    <row r="25" ht="15" customHeight="1">
      <c r="A25" t="inlineStr">
        <is>
          <t>A 60309-2021</t>
        </is>
      </c>
      <c r="B25" s="1" t="n">
        <v>44495</v>
      </c>
      <c r="C25" s="1" t="n">
        <v>46158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Gränsticka</t>
        </is>
      </c>
      <c r="S25">
        <f>HYPERLINK("https://klasma.github.io/Logging_2401/artfynd/A 60309-2021 artfynd.xlsx", "A 60309-2021")</f>
        <v/>
      </c>
      <c r="T25">
        <f>HYPERLINK("https://klasma.github.io/Logging_2401/kartor/A 60309-2021 karta.png", "A 60309-2021")</f>
        <v/>
      </c>
      <c r="V25">
        <f>HYPERLINK("https://klasma.github.io/Logging_2401/klagomål/A 60309-2021 FSC-klagomål.docx", "A 60309-2021")</f>
        <v/>
      </c>
      <c r="W25">
        <f>HYPERLINK("https://klasma.github.io/Logging_2401/klagomålsmail/A 60309-2021 FSC-klagomål mail.docx", "A 60309-2021")</f>
        <v/>
      </c>
      <c r="X25">
        <f>HYPERLINK("https://klasma.github.io/Logging_2401/tillsyn/A 60309-2021 tillsynsbegäran.docx", "A 60309-2021")</f>
        <v/>
      </c>
      <c r="Y25">
        <f>HYPERLINK("https://klasma.github.io/Logging_2401/tillsynsmail/A 60309-2021 tillsynsbegäran mail.docx", "A 60309-2021")</f>
        <v/>
      </c>
    </row>
    <row r="26" ht="15" customHeight="1">
      <c r="A26" t="inlineStr">
        <is>
          <t>A 31355-2021</t>
        </is>
      </c>
      <c r="B26" s="1" t="n">
        <v>44368.93952546296</v>
      </c>
      <c r="C26" s="1" t="n">
        <v>46158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HYPERLINK("https://klasma.github.io/Logging_2401/artfynd/A 31355-2021 artfynd.xlsx", "A 31355-2021")</f>
        <v/>
      </c>
      <c r="T26">
        <f>HYPERLINK("https://klasma.github.io/Logging_2401/kartor/A 31355-2021 karta.png", "A 31355-2021")</f>
        <v/>
      </c>
      <c r="V26">
        <f>HYPERLINK("https://klasma.github.io/Logging_2401/klagomål/A 31355-2021 FSC-klagomål.docx", "A 31355-2021")</f>
        <v/>
      </c>
      <c r="W26">
        <f>HYPERLINK("https://klasma.github.io/Logging_2401/klagomålsmail/A 31355-2021 FSC-klagomål mail.docx", "A 31355-2021")</f>
        <v/>
      </c>
      <c r="X26">
        <f>HYPERLINK("https://klasma.github.io/Logging_2401/tillsyn/A 31355-2021 tillsynsbegäran.docx", "A 31355-2021")</f>
        <v/>
      </c>
      <c r="Y26">
        <f>HYPERLINK("https://klasma.github.io/Logging_2401/tillsynsmail/A 31355-2021 tillsynsbegäran mail.docx", "A 31355-2021")</f>
        <v/>
      </c>
    </row>
    <row r="27" ht="15" customHeight="1">
      <c r="A27" t="inlineStr">
        <is>
          <t>A 48947-2022</t>
        </is>
      </c>
      <c r="B27" s="1" t="n">
        <v>44859</v>
      </c>
      <c r="C27" s="1" t="n">
        <v>46158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3.4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Trådticka</t>
        </is>
      </c>
      <c r="S27">
        <f>HYPERLINK("https://klasma.github.io/Logging_2401/artfynd/A 48947-2022 artfynd.xlsx", "A 48947-2022")</f>
        <v/>
      </c>
      <c r="T27">
        <f>HYPERLINK("https://klasma.github.io/Logging_2401/kartor/A 48947-2022 karta.png", "A 48947-2022")</f>
        <v/>
      </c>
      <c r="V27">
        <f>HYPERLINK("https://klasma.github.io/Logging_2401/klagomål/A 48947-2022 FSC-klagomål.docx", "A 48947-2022")</f>
        <v/>
      </c>
      <c r="W27">
        <f>HYPERLINK("https://klasma.github.io/Logging_2401/klagomålsmail/A 48947-2022 FSC-klagomål mail.docx", "A 48947-2022")</f>
        <v/>
      </c>
      <c r="X27">
        <f>HYPERLINK("https://klasma.github.io/Logging_2401/tillsyn/A 48947-2022 tillsynsbegäran.docx", "A 48947-2022")</f>
        <v/>
      </c>
      <c r="Y27">
        <f>HYPERLINK("https://klasma.github.io/Logging_2401/tillsynsmail/A 48947-2022 tillsynsbegäran mail.docx", "A 48947-2022")</f>
        <v/>
      </c>
    </row>
    <row r="28" ht="15" customHeight="1">
      <c r="A28" t="inlineStr">
        <is>
          <t>A 1433-2026</t>
        </is>
      </c>
      <c r="B28" s="1" t="n">
        <v>46032.43961805556</v>
      </c>
      <c r="C28" s="1" t="n">
        <v>46158</v>
      </c>
      <c r="D28" t="inlineStr">
        <is>
          <t>VÄSTERBOTTENS LÄN</t>
        </is>
      </c>
      <c r="E28" t="inlineStr">
        <is>
          <t>NORDMALING</t>
        </is>
      </c>
      <c r="F28" t="inlineStr">
        <is>
          <t>Holmen skog AB</t>
        </is>
      </c>
      <c r="G28" t="n">
        <v>22.4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Bårdlav</t>
        </is>
      </c>
      <c r="S28">
        <f>HYPERLINK("https://klasma.github.io/Logging_2401/artfynd/A 1433-2026 artfynd.xlsx", "A 1433-2026")</f>
        <v/>
      </c>
      <c r="T28">
        <f>HYPERLINK("https://klasma.github.io/Logging_2401/kartor/A 1433-2026 karta.png", "A 1433-2026")</f>
        <v/>
      </c>
      <c r="V28">
        <f>HYPERLINK("https://klasma.github.io/Logging_2401/klagomål/A 1433-2026 FSC-klagomål.docx", "A 1433-2026")</f>
        <v/>
      </c>
      <c r="W28">
        <f>HYPERLINK("https://klasma.github.io/Logging_2401/klagomålsmail/A 1433-2026 FSC-klagomål mail.docx", "A 1433-2026")</f>
        <v/>
      </c>
      <c r="X28">
        <f>HYPERLINK("https://klasma.github.io/Logging_2401/tillsyn/A 1433-2026 tillsynsbegäran.docx", "A 1433-2026")</f>
        <v/>
      </c>
      <c r="Y28">
        <f>HYPERLINK("https://klasma.github.io/Logging_2401/tillsynsmail/A 1433-2026 tillsynsbegäran mail.docx", "A 1433-2026")</f>
        <v/>
      </c>
    </row>
    <row r="29" ht="15" customHeight="1">
      <c r="A29" t="inlineStr">
        <is>
          <t>A 28817-2025</t>
        </is>
      </c>
      <c r="B29" s="1" t="n">
        <v>45820.53430555556</v>
      </c>
      <c r="C29" s="1" t="n">
        <v>46158</v>
      </c>
      <c r="D29" t="inlineStr">
        <is>
          <t>VÄSTERBOTTENS LÄN</t>
        </is>
      </c>
      <c r="E29" t="inlineStr">
        <is>
          <t>NORDMALING</t>
        </is>
      </c>
      <c r="G29" t="n">
        <v>6.5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HYPERLINK("https://klasma.github.io/Logging_2401/artfynd/A 28817-2025 artfynd.xlsx", "A 28817-2025")</f>
        <v/>
      </c>
      <c r="T29">
        <f>HYPERLINK("https://klasma.github.io/Logging_2401/kartor/A 28817-2025 karta.png", "A 28817-2025")</f>
        <v/>
      </c>
      <c r="V29">
        <f>HYPERLINK("https://klasma.github.io/Logging_2401/klagomål/A 28817-2025 FSC-klagomål.docx", "A 28817-2025")</f>
        <v/>
      </c>
      <c r="W29">
        <f>HYPERLINK("https://klasma.github.io/Logging_2401/klagomålsmail/A 28817-2025 FSC-klagomål mail.docx", "A 28817-2025")</f>
        <v/>
      </c>
      <c r="X29">
        <f>HYPERLINK("https://klasma.github.io/Logging_2401/tillsyn/A 28817-2025 tillsynsbegäran.docx", "A 28817-2025")</f>
        <v/>
      </c>
      <c r="Y29">
        <f>HYPERLINK("https://klasma.github.io/Logging_2401/tillsynsmail/A 28817-2025 tillsynsbegäran mail.docx", "A 28817-2025")</f>
        <v/>
      </c>
      <c r="Z29">
        <f>HYPERLINK("https://klasma.github.io/Logging_2401/fåglar/A 28817-2025 prioriterade fågelarter.docx", "A 28817-2025")</f>
        <v/>
      </c>
    </row>
    <row r="30" ht="15" customHeight="1">
      <c r="A30" t="inlineStr">
        <is>
          <t>A 44987-2024</t>
        </is>
      </c>
      <c r="B30" s="1" t="n">
        <v>45575</v>
      </c>
      <c r="C30" s="1" t="n">
        <v>46158</v>
      </c>
      <c r="D30" t="inlineStr">
        <is>
          <t>VÄSTERBOTTENS LÄN</t>
        </is>
      </c>
      <c r="E30" t="inlineStr">
        <is>
          <t>NORDMALING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HYPERLINK("https://klasma.github.io/Logging_2401/artfynd/A 44987-2024 artfynd.xlsx", "A 44987-2024")</f>
        <v/>
      </c>
      <c r="T30">
        <f>HYPERLINK("https://klasma.github.io/Logging_2401/kartor/A 44987-2024 karta.png", "A 44987-2024")</f>
        <v/>
      </c>
      <c r="V30">
        <f>HYPERLINK("https://klasma.github.io/Logging_2401/klagomål/A 44987-2024 FSC-klagomål.docx", "A 44987-2024")</f>
        <v/>
      </c>
      <c r="W30">
        <f>HYPERLINK("https://klasma.github.io/Logging_2401/klagomålsmail/A 44987-2024 FSC-klagomål mail.docx", "A 44987-2024")</f>
        <v/>
      </c>
      <c r="X30">
        <f>HYPERLINK("https://klasma.github.io/Logging_2401/tillsyn/A 44987-2024 tillsynsbegäran.docx", "A 44987-2024")</f>
        <v/>
      </c>
      <c r="Y30">
        <f>HYPERLINK("https://klasma.github.io/Logging_2401/tillsynsmail/A 44987-2024 tillsynsbegäran mail.docx", "A 44987-2024")</f>
        <v/>
      </c>
    </row>
    <row r="31" ht="15" customHeight="1">
      <c r="A31" t="inlineStr">
        <is>
          <t>A 45294-2025</t>
        </is>
      </c>
      <c r="B31" s="1" t="n">
        <v>45920.55261574074</v>
      </c>
      <c r="C31" s="1" t="n">
        <v>46158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7.2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Skarp dropptaggsvamp</t>
        </is>
      </c>
      <c r="S31">
        <f>HYPERLINK("https://klasma.github.io/Logging_2401/artfynd/A 45294-2025 artfynd.xlsx", "A 45294-2025")</f>
        <v/>
      </c>
      <c r="T31">
        <f>HYPERLINK("https://klasma.github.io/Logging_2401/kartor/A 45294-2025 karta.png", "A 45294-2025")</f>
        <v/>
      </c>
      <c r="V31">
        <f>HYPERLINK("https://klasma.github.io/Logging_2401/klagomål/A 45294-2025 FSC-klagomål.docx", "A 45294-2025")</f>
        <v/>
      </c>
      <c r="W31">
        <f>HYPERLINK("https://klasma.github.io/Logging_2401/klagomålsmail/A 45294-2025 FSC-klagomål mail.docx", "A 45294-2025")</f>
        <v/>
      </c>
      <c r="X31">
        <f>HYPERLINK("https://klasma.github.io/Logging_2401/tillsyn/A 45294-2025 tillsynsbegäran.docx", "A 45294-2025")</f>
        <v/>
      </c>
      <c r="Y31">
        <f>HYPERLINK("https://klasma.github.io/Logging_2401/tillsynsmail/A 45294-2025 tillsynsbegäran mail.docx", "A 45294-2025")</f>
        <v/>
      </c>
    </row>
    <row r="32" ht="15" customHeight="1">
      <c r="A32" t="inlineStr">
        <is>
          <t>A 47835-2025</t>
        </is>
      </c>
      <c r="B32" s="1" t="n">
        <v>45932.36537037037</v>
      </c>
      <c r="C32" s="1" t="n">
        <v>46158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HYPERLINK("https://klasma.github.io/Logging_2401/artfynd/A 47835-2025 artfynd.xlsx", "A 47835-2025")</f>
        <v/>
      </c>
      <c r="T32">
        <f>HYPERLINK("https://klasma.github.io/Logging_2401/kartor/A 47835-2025 karta.png", "A 47835-2025")</f>
        <v/>
      </c>
      <c r="V32">
        <f>HYPERLINK("https://klasma.github.io/Logging_2401/klagomål/A 47835-2025 FSC-klagomål.docx", "A 47835-2025")</f>
        <v/>
      </c>
      <c r="W32">
        <f>HYPERLINK("https://klasma.github.io/Logging_2401/klagomålsmail/A 47835-2025 FSC-klagomål mail.docx", "A 47835-2025")</f>
        <v/>
      </c>
      <c r="X32">
        <f>HYPERLINK("https://klasma.github.io/Logging_2401/tillsyn/A 47835-2025 tillsynsbegäran.docx", "A 47835-2025")</f>
        <v/>
      </c>
      <c r="Y32">
        <f>HYPERLINK("https://klasma.github.io/Logging_2401/tillsynsmail/A 47835-2025 tillsynsbegäran mail.docx", "A 47835-2025")</f>
        <v/>
      </c>
    </row>
    <row r="33" ht="15" customHeight="1">
      <c r="A33" t="inlineStr">
        <is>
          <t>A 49363-2025</t>
        </is>
      </c>
      <c r="B33" s="1" t="n">
        <v>45938.61984953703</v>
      </c>
      <c r="C33" s="1" t="n">
        <v>46158</v>
      </c>
      <c r="D33" t="inlineStr">
        <is>
          <t>VÄSTERBOTTENS LÄN</t>
        </is>
      </c>
      <c r="E33" t="inlineStr">
        <is>
          <t>NORDMALING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HYPERLINK("https://klasma.github.io/Logging_2401/artfynd/A 49363-2025 artfynd.xlsx", "A 49363-2025")</f>
        <v/>
      </c>
      <c r="T33">
        <f>HYPERLINK("https://klasma.github.io/Logging_2401/kartor/A 49363-2025 karta.png", "A 49363-2025")</f>
        <v/>
      </c>
      <c r="V33">
        <f>HYPERLINK("https://klasma.github.io/Logging_2401/klagomål/A 49363-2025 FSC-klagomål.docx", "A 49363-2025")</f>
        <v/>
      </c>
      <c r="W33">
        <f>HYPERLINK("https://klasma.github.io/Logging_2401/klagomålsmail/A 49363-2025 FSC-klagomål mail.docx", "A 49363-2025")</f>
        <v/>
      </c>
      <c r="X33">
        <f>HYPERLINK("https://klasma.github.io/Logging_2401/tillsyn/A 49363-2025 tillsynsbegäran.docx", "A 49363-2025")</f>
        <v/>
      </c>
      <c r="Y33">
        <f>HYPERLINK("https://klasma.github.io/Logging_2401/tillsynsmail/A 49363-2025 tillsynsbegäran mail.docx", "A 49363-2025")</f>
        <v/>
      </c>
    </row>
    <row r="34" ht="15" customHeight="1">
      <c r="A34" t="inlineStr">
        <is>
          <t>A 11056-2023</t>
        </is>
      </c>
      <c r="B34" s="1" t="n">
        <v>44991</v>
      </c>
      <c r="C34" s="1" t="n">
        <v>46158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HYPERLINK("https://klasma.github.io/Logging_2401/artfynd/A 11056-2023 artfynd.xlsx", "A 11056-2023")</f>
        <v/>
      </c>
      <c r="T34">
        <f>HYPERLINK("https://klasma.github.io/Logging_2401/kartor/A 11056-2023 karta.png", "A 11056-2023")</f>
        <v/>
      </c>
      <c r="V34">
        <f>HYPERLINK("https://klasma.github.io/Logging_2401/klagomål/A 11056-2023 FSC-klagomål.docx", "A 11056-2023")</f>
        <v/>
      </c>
      <c r="W34">
        <f>HYPERLINK("https://klasma.github.io/Logging_2401/klagomålsmail/A 11056-2023 FSC-klagomål mail.docx", "A 11056-2023")</f>
        <v/>
      </c>
      <c r="X34">
        <f>HYPERLINK("https://klasma.github.io/Logging_2401/tillsyn/A 11056-2023 tillsynsbegäran.docx", "A 11056-2023")</f>
        <v/>
      </c>
      <c r="Y34">
        <f>HYPERLINK("https://klasma.github.io/Logging_2401/tillsynsmail/A 11056-2023 tillsynsbegäran mail.docx", "A 11056-2023")</f>
        <v/>
      </c>
    </row>
    <row r="35" ht="15" customHeight="1">
      <c r="A35" t="inlineStr">
        <is>
          <t>A 23496-2022</t>
        </is>
      </c>
      <c r="B35" s="1" t="n">
        <v>44721</v>
      </c>
      <c r="C35" s="1" t="n">
        <v>46158</v>
      </c>
      <c r="D35" t="inlineStr">
        <is>
          <t>VÄSTERBOTTENS LÄN</t>
        </is>
      </c>
      <c r="E35" t="inlineStr">
        <is>
          <t>NORDMALING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Järpe</t>
        </is>
      </c>
      <c r="S35">
        <f>HYPERLINK("https://klasma.github.io/Logging_2401/artfynd/A 23496-2022 artfynd.xlsx", "A 23496-2022")</f>
        <v/>
      </c>
      <c r="T35">
        <f>HYPERLINK("https://klasma.github.io/Logging_2401/kartor/A 23496-2022 karta.png", "A 23496-2022")</f>
        <v/>
      </c>
      <c r="V35">
        <f>HYPERLINK("https://klasma.github.io/Logging_2401/klagomål/A 23496-2022 FSC-klagomål.docx", "A 23496-2022")</f>
        <v/>
      </c>
      <c r="W35">
        <f>HYPERLINK("https://klasma.github.io/Logging_2401/klagomålsmail/A 23496-2022 FSC-klagomål mail.docx", "A 23496-2022")</f>
        <v/>
      </c>
      <c r="X35">
        <f>HYPERLINK("https://klasma.github.io/Logging_2401/tillsyn/A 23496-2022 tillsynsbegäran.docx", "A 23496-2022")</f>
        <v/>
      </c>
      <c r="Y35">
        <f>HYPERLINK("https://klasma.github.io/Logging_2401/tillsynsmail/A 23496-2022 tillsynsbegäran mail.docx", "A 23496-2022")</f>
        <v/>
      </c>
      <c r="Z35">
        <f>HYPERLINK("https://klasma.github.io/Logging_2401/fåglar/A 23496-2022 prioriterade fågelarter.docx", "A 23496-2022")</f>
        <v/>
      </c>
    </row>
    <row r="36" ht="15" customHeight="1">
      <c r="A36" t="inlineStr">
        <is>
          <t>A 61794-2023</t>
        </is>
      </c>
      <c r="B36" s="1" t="n">
        <v>45265</v>
      </c>
      <c r="C36" s="1" t="n">
        <v>46158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HYPERLINK("https://klasma.github.io/Logging_2401/artfynd/A 61794-2023 artfynd.xlsx", "A 61794-2023")</f>
        <v/>
      </c>
      <c r="T36">
        <f>HYPERLINK("https://klasma.github.io/Logging_2401/kartor/A 61794-2023 karta.png", "A 61794-2023")</f>
        <v/>
      </c>
      <c r="V36">
        <f>HYPERLINK("https://klasma.github.io/Logging_2401/klagomål/A 61794-2023 FSC-klagomål.docx", "A 61794-2023")</f>
        <v/>
      </c>
      <c r="W36">
        <f>HYPERLINK("https://klasma.github.io/Logging_2401/klagomålsmail/A 61794-2023 FSC-klagomål mail.docx", "A 61794-2023")</f>
        <v/>
      </c>
      <c r="X36">
        <f>HYPERLINK("https://klasma.github.io/Logging_2401/tillsyn/A 61794-2023 tillsynsbegäran.docx", "A 61794-2023")</f>
        <v/>
      </c>
      <c r="Y36">
        <f>HYPERLINK("https://klasma.github.io/Logging_2401/tillsynsmail/A 61794-2023 tillsynsbegäran mail.docx", "A 61794-2023")</f>
        <v/>
      </c>
    </row>
    <row r="37" ht="15" customHeight="1">
      <c r="A37" t="inlineStr">
        <is>
          <t>A 9012-2025</t>
        </is>
      </c>
      <c r="B37" s="1" t="n">
        <v>45713.58675925926</v>
      </c>
      <c r="C37" s="1" t="n">
        <v>46158</v>
      </c>
      <c r="D37" t="inlineStr">
        <is>
          <t>VÄSTERBOTTENS LÄN</t>
        </is>
      </c>
      <c r="E37" t="inlineStr">
        <is>
          <t>NORDMALING</t>
        </is>
      </c>
      <c r="G37" t="n">
        <v>6.3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HYPERLINK("https://klasma.github.io/Logging_2401/artfynd/A 9012-2025 artfynd.xlsx", "A 9012-2025")</f>
        <v/>
      </c>
      <c r="T37">
        <f>HYPERLINK("https://klasma.github.io/Logging_2401/kartor/A 9012-2025 karta.png", "A 9012-2025")</f>
        <v/>
      </c>
      <c r="V37">
        <f>HYPERLINK("https://klasma.github.io/Logging_2401/klagomål/A 9012-2025 FSC-klagomål.docx", "A 9012-2025")</f>
        <v/>
      </c>
      <c r="W37">
        <f>HYPERLINK("https://klasma.github.io/Logging_2401/klagomålsmail/A 9012-2025 FSC-klagomål mail.docx", "A 9012-2025")</f>
        <v/>
      </c>
      <c r="X37">
        <f>HYPERLINK("https://klasma.github.io/Logging_2401/tillsyn/A 9012-2025 tillsynsbegäran.docx", "A 9012-2025")</f>
        <v/>
      </c>
      <c r="Y37">
        <f>HYPERLINK("https://klasma.github.io/Logging_2401/tillsynsmail/A 9012-2025 tillsynsbegäran mail.docx", "A 9012-2025")</f>
        <v/>
      </c>
      <c r="Z37">
        <f>HYPERLINK("https://klasma.github.io/Logging_2401/fåglar/A 9012-2025 prioriterade fågelarter.docx", "A 9012-2025")</f>
        <v/>
      </c>
    </row>
    <row r="38" ht="15" customHeight="1">
      <c r="A38" t="inlineStr">
        <is>
          <t>A 44195-2024</t>
        </is>
      </c>
      <c r="B38" s="1" t="n">
        <v>45573</v>
      </c>
      <c r="C38" s="1" t="n">
        <v>46158</v>
      </c>
      <c r="D38" t="inlineStr">
        <is>
          <t>VÄSTERBOTTENS LÄN</t>
        </is>
      </c>
      <c r="E38" t="inlineStr">
        <is>
          <t>NORDMALING</t>
        </is>
      </c>
      <c r="G38" t="n">
        <v>8.4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HYPERLINK("https://klasma.github.io/Logging_2401/artfynd/A 44195-2024 artfynd.xlsx", "A 44195-2024")</f>
        <v/>
      </c>
      <c r="T38">
        <f>HYPERLINK("https://klasma.github.io/Logging_2401/kartor/A 44195-2024 karta.png", "A 44195-2024")</f>
        <v/>
      </c>
      <c r="V38">
        <f>HYPERLINK("https://klasma.github.io/Logging_2401/klagomål/A 44195-2024 FSC-klagomål.docx", "A 44195-2024")</f>
        <v/>
      </c>
      <c r="W38">
        <f>HYPERLINK("https://klasma.github.io/Logging_2401/klagomålsmail/A 44195-2024 FSC-klagomål mail.docx", "A 44195-2024")</f>
        <v/>
      </c>
      <c r="X38">
        <f>HYPERLINK("https://klasma.github.io/Logging_2401/tillsyn/A 44195-2024 tillsynsbegäran.docx", "A 44195-2024")</f>
        <v/>
      </c>
      <c r="Y38">
        <f>HYPERLINK("https://klasma.github.io/Logging_2401/tillsynsmail/A 44195-2024 tillsynsbegäran mail.docx", "A 44195-2024")</f>
        <v/>
      </c>
    </row>
    <row r="39" ht="15" customHeight="1">
      <c r="A39" t="inlineStr">
        <is>
          <t>A 61867-2024</t>
        </is>
      </c>
      <c r="B39" s="1" t="n">
        <v>45651.46909722222</v>
      </c>
      <c r="C39" s="1" t="n">
        <v>46158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HYPERLINK("https://klasma.github.io/Logging_2401/artfynd/A 61867-2024 artfynd.xlsx", "A 61867-2024")</f>
        <v/>
      </c>
      <c r="T39">
        <f>HYPERLINK("https://klasma.github.io/Logging_2401/kartor/A 61867-2024 karta.png", "A 61867-2024")</f>
        <v/>
      </c>
      <c r="V39">
        <f>HYPERLINK("https://klasma.github.io/Logging_2401/klagomål/A 61867-2024 FSC-klagomål.docx", "A 61867-2024")</f>
        <v/>
      </c>
      <c r="W39">
        <f>HYPERLINK("https://klasma.github.io/Logging_2401/klagomålsmail/A 61867-2024 FSC-klagomål mail.docx", "A 61867-2024")</f>
        <v/>
      </c>
      <c r="X39">
        <f>HYPERLINK("https://klasma.github.io/Logging_2401/tillsyn/A 61867-2024 tillsynsbegäran.docx", "A 61867-2024")</f>
        <v/>
      </c>
      <c r="Y39">
        <f>HYPERLINK("https://klasma.github.io/Logging_2401/tillsynsmail/A 61867-2024 tillsynsbegäran mail.docx", "A 61867-2024")</f>
        <v/>
      </c>
    </row>
    <row r="40" ht="15" customHeight="1">
      <c r="A40" t="inlineStr">
        <is>
          <t>A 60756-2025</t>
        </is>
      </c>
      <c r="B40" s="1" t="n">
        <v>45999.38415509259</v>
      </c>
      <c r="C40" s="1" t="n">
        <v>46158</v>
      </c>
      <c r="D40" t="inlineStr">
        <is>
          <t>VÄSTERBOTTENS LÄN</t>
        </is>
      </c>
      <c r="E40" t="inlineStr">
        <is>
          <t>NORDMALING</t>
        </is>
      </c>
      <c r="F40" t="inlineStr">
        <is>
          <t>Holmen skog AB</t>
        </is>
      </c>
      <c r="G40" t="n">
        <v>8.800000000000001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HYPERLINK("https://klasma.github.io/Logging_2401/artfynd/A 60756-2025 artfynd.xlsx", "A 60756-2025")</f>
        <v/>
      </c>
      <c r="T40">
        <f>HYPERLINK("https://klasma.github.io/Logging_2401/kartor/A 60756-2025 karta.png", "A 60756-2025")</f>
        <v/>
      </c>
      <c r="V40">
        <f>HYPERLINK("https://klasma.github.io/Logging_2401/klagomål/A 60756-2025 FSC-klagomål.docx", "A 60756-2025")</f>
        <v/>
      </c>
      <c r="W40">
        <f>HYPERLINK("https://klasma.github.io/Logging_2401/klagomålsmail/A 60756-2025 FSC-klagomål mail.docx", "A 60756-2025")</f>
        <v/>
      </c>
      <c r="X40">
        <f>HYPERLINK("https://klasma.github.io/Logging_2401/tillsyn/A 60756-2025 tillsynsbegäran.docx", "A 60756-2025")</f>
        <v/>
      </c>
      <c r="Y40">
        <f>HYPERLINK("https://klasma.github.io/Logging_2401/tillsynsmail/A 60756-2025 tillsynsbegäran mail.docx", "A 60756-2025")</f>
        <v/>
      </c>
    </row>
    <row r="41" ht="15" customHeight="1">
      <c r="A41" t="inlineStr">
        <is>
          <t>A 60849-2025</t>
        </is>
      </c>
      <c r="B41" s="1" t="n">
        <v>45999.50113425926</v>
      </c>
      <c r="C41" s="1" t="n">
        <v>46158</v>
      </c>
      <c r="D41" t="inlineStr">
        <is>
          <t>VÄSTERBOTTENS LÄN</t>
        </is>
      </c>
      <c r="E41" t="inlineStr">
        <is>
          <t>NORDMALING</t>
        </is>
      </c>
      <c r="G41" t="n">
        <v>13.5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HYPERLINK("https://klasma.github.io/Logging_2401/artfynd/A 60849-2025 artfynd.xlsx", "A 60849-2025")</f>
        <v/>
      </c>
      <c r="T41">
        <f>HYPERLINK("https://klasma.github.io/Logging_2401/kartor/A 60849-2025 karta.png", "A 60849-2025")</f>
        <v/>
      </c>
      <c r="V41">
        <f>HYPERLINK("https://klasma.github.io/Logging_2401/klagomål/A 60849-2025 FSC-klagomål.docx", "A 60849-2025")</f>
        <v/>
      </c>
      <c r="W41">
        <f>HYPERLINK("https://klasma.github.io/Logging_2401/klagomålsmail/A 60849-2025 FSC-klagomål mail.docx", "A 60849-2025")</f>
        <v/>
      </c>
      <c r="X41">
        <f>HYPERLINK("https://klasma.github.io/Logging_2401/tillsyn/A 60849-2025 tillsynsbegäran.docx", "A 60849-2025")</f>
        <v/>
      </c>
      <c r="Y41">
        <f>HYPERLINK("https://klasma.github.io/Logging_2401/tillsynsmail/A 60849-2025 tillsynsbegäran mail.docx", "A 60849-2025")</f>
        <v/>
      </c>
    </row>
    <row r="42" ht="15" customHeight="1">
      <c r="A42" t="inlineStr">
        <is>
          <t>A 60773-2025</t>
        </is>
      </c>
      <c r="B42" s="1" t="n">
        <v>45999.38724537037</v>
      </c>
      <c r="C42" s="1" t="n">
        <v>46158</v>
      </c>
      <c r="D42" t="inlineStr">
        <is>
          <t>VÄSTERBOTTENS LÄN</t>
        </is>
      </c>
      <c r="E42" t="inlineStr">
        <is>
          <t>NORDMALING</t>
        </is>
      </c>
      <c r="G42" t="n">
        <v>6.6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Gammelgransskål</t>
        </is>
      </c>
      <c r="S42">
        <f>HYPERLINK("https://klasma.github.io/Logging_2401/artfynd/A 60773-2025 artfynd.xlsx", "A 60773-2025")</f>
        <v/>
      </c>
      <c r="T42">
        <f>HYPERLINK("https://klasma.github.io/Logging_2401/kartor/A 60773-2025 karta.png", "A 60773-2025")</f>
        <v/>
      </c>
      <c r="V42">
        <f>HYPERLINK("https://klasma.github.io/Logging_2401/klagomål/A 60773-2025 FSC-klagomål.docx", "A 60773-2025")</f>
        <v/>
      </c>
      <c r="W42">
        <f>HYPERLINK("https://klasma.github.io/Logging_2401/klagomålsmail/A 60773-2025 FSC-klagomål mail.docx", "A 60773-2025")</f>
        <v/>
      </c>
      <c r="X42">
        <f>HYPERLINK("https://klasma.github.io/Logging_2401/tillsyn/A 60773-2025 tillsynsbegäran.docx", "A 60773-2025")</f>
        <v/>
      </c>
      <c r="Y42">
        <f>HYPERLINK("https://klasma.github.io/Logging_2401/tillsynsmail/A 60773-2025 tillsynsbegäran mail.docx", "A 60773-2025")</f>
        <v/>
      </c>
    </row>
    <row r="43" ht="15" customHeight="1">
      <c r="A43" t="inlineStr">
        <is>
          <t>A 36467-2024</t>
        </is>
      </c>
      <c r="B43" s="1" t="n">
        <v>45537</v>
      </c>
      <c r="C43" s="1" t="n">
        <v>46158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HYPERLINK("https://klasma.github.io/Logging_2401/artfynd/A 36467-2024 artfynd.xlsx", "A 36467-2024")</f>
        <v/>
      </c>
      <c r="T43">
        <f>HYPERLINK("https://klasma.github.io/Logging_2401/kartor/A 36467-2024 karta.png", "A 36467-2024")</f>
        <v/>
      </c>
      <c r="V43">
        <f>HYPERLINK("https://klasma.github.io/Logging_2401/klagomål/A 36467-2024 FSC-klagomål.docx", "A 36467-2024")</f>
        <v/>
      </c>
      <c r="W43">
        <f>HYPERLINK("https://klasma.github.io/Logging_2401/klagomålsmail/A 36467-2024 FSC-klagomål mail.docx", "A 36467-2024")</f>
        <v/>
      </c>
      <c r="X43">
        <f>HYPERLINK("https://klasma.github.io/Logging_2401/tillsyn/A 36467-2024 tillsynsbegäran.docx", "A 36467-2024")</f>
        <v/>
      </c>
      <c r="Y43">
        <f>HYPERLINK("https://klasma.github.io/Logging_2401/tillsynsmail/A 36467-2024 tillsynsbegäran mail.docx", "A 36467-2024")</f>
        <v/>
      </c>
    </row>
    <row r="44" ht="15" customHeight="1">
      <c r="A44" t="inlineStr">
        <is>
          <t>A 63031-2025</t>
        </is>
      </c>
      <c r="B44" s="1" t="n">
        <v>46009.60197916667</v>
      </c>
      <c r="C44" s="1" t="n">
        <v>46158</v>
      </c>
      <c r="D44" t="inlineStr">
        <is>
          <t>VÄSTERBOTTENS LÄN</t>
        </is>
      </c>
      <c r="E44" t="inlineStr">
        <is>
          <t>NORDMALING</t>
        </is>
      </c>
      <c r="G44" t="n">
        <v>10.3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Rödvingetrast</t>
        </is>
      </c>
      <c r="S44">
        <f>HYPERLINK("https://klasma.github.io/Logging_2401/artfynd/A 63031-2025 artfynd.xlsx", "A 63031-2025")</f>
        <v/>
      </c>
      <c r="T44">
        <f>HYPERLINK("https://klasma.github.io/Logging_2401/kartor/A 63031-2025 karta.png", "A 63031-2025")</f>
        <v/>
      </c>
      <c r="V44">
        <f>HYPERLINK("https://klasma.github.io/Logging_2401/klagomål/A 63031-2025 FSC-klagomål.docx", "A 63031-2025")</f>
        <v/>
      </c>
      <c r="W44">
        <f>HYPERLINK("https://klasma.github.io/Logging_2401/klagomålsmail/A 63031-2025 FSC-klagomål mail.docx", "A 63031-2025")</f>
        <v/>
      </c>
      <c r="X44">
        <f>HYPERLINK("https://klasma.github.io/Logging_2401/tillsyn/A 63031-2025 tillsynsbegäran.docx", "A 63031-2025")</f>
        <v/>
      </c>
      <c r="Y44">
        <f>HYPERLINK("https://klasma.github.io/Logging_2401/tillsynsmail/A 63031-2025 tillsynsbegäran mail.docx", "A 63031-2025")</f>
        <v/>
      </c>
      <c r="Z44">
        <f>HYPERLINK("https://klasma.github.io/Logging_2401/fåglar/A 63031-2025 prioriterade fågelarter.docx", "A 63031-2025")</f>
        <v/>
      </c>
    </row>
    <row r="45" ht="15" customHeight="1">
      <c r="A45" t="inlineStr">
        <is>
          <t>A 65044-2023</t>
        </is>
      </c>
      <c r="B45" s="1" t="n">
        <v>45283</v>
      </c>
      <c r="C45" s="1" t="n">
        <v>46158</v>
      </c>
      <c r="D45" t="inlineStr">
        <is>
          <t>VÄSTERBOTTENS LÄN</t>
        </is>
      </c>
      <c r="E45" t="inlineStr">
        <is>
          <t>NORDMALING</t>
        </is>
      </c>
      <c r="F45" t="inlineStr">
        <is>
          <t>Kommuner</t>
        </is>
      </c>
      <c r="G45" t="n">
        <v>15.4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hackspett</t>
        </is>
      </c>
      <c r="S45">
        <f>HYPERLINK("https://klasma.github.io/Logging_2401/artfynd/A 65044-2023 artfynd.xlsx", "A 65044-2023")</f>
        <v/>
      </c>
      <c r="T45">
        <f>HYPERLINK("https://klasma.github.io/Logging_2401/kartor/A 65044-2023 karta.png", "A 65044-2023")</f>
        <v/>
      </c>
      <c r="V45">
        <f>HYPERLINK("https://klasma.github.io/Logging_2401/klagomål/A 65044-2023 FSC-klagomål.docx", "A 65044-2023")</f>
        <v/>
      </c>
      <c r="W45">
        <f>HYPERLINK("https://klasma.github.io/Logging_2401/klagomålsmail/A 65044-2023 FSC-klagomål mail.docx", "A 65044-2023")</f>
        <v/>
      </c>
      <c r="X45">
        <f>HYPERLINK("https://klasma.github.io/Logging_2401/tillsyn/A 65044-2023 tillsynsbegäran.docx", "A 65044-2023")</f>
        <v/>
      </c>
      <c r="Y45">
        <f>HYPERLINK("https://klasma.github.io/Logging_2401/tillsynsmail/A 65044-2023 tillsynsbegäran mail.docx", "A 65044-2023")</f>
        <v/>
      </c>
      <c r="Z45">
        <f>HYPERLINK("https://klasma.github.io/Logging_2401/fåglar/A 65044-2023 prioriterade fågelarter.docx", "A 65044-2023")</f>
        <v/>
      </c>
    </row>
    <row r="46" ht="15" customHeight="1">
      <c r="A46" t="inlineStr">
        <is>
          <t>A 15970-2026</t>
        </is>
      </c>
      <c r="B46" s="1" t="n">
        <v>46108.34547453704</v>
      </c>
      <c r="C46" s="1" t="n">
        <v>46158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HYPERLINK("https://klasma.github.io/Logging_2401/artfynd/A 15970-2026 artfynd.xlsx", "A 15970-2026")</f>
        <v/>
      </c>
      <c r="T46">
        <f>HYPERLINK("https://klasma.github.io/Logging_2401/kartor/A 15970-2026 karta.png", "A 15970-2026")</f>
        <v/>
      </c>
      <c r="V46">
        <f>HYPERLINK("https://klasma.github.io/Logging_2401/klagomål/A 15970-2026 FSC-klagomål.docx", "A 15970-2026")</f>
        <v/>
      </c>
      <c r="W46">
        <f>HYPERLINK("https://klasma.github.io/Logging_2401/klagomålsmail/A 15970-2026 FSC-klagomål mail.docx", "A 15970-2026")</f>
        <v/>
      </c>
      <c r="X46">
        <f>HYPERLINK("https://klasma.github.io/Logging_2401/tillsyn/A 15970-2026 tillsynsbegäran.docx", "A 15970-2026")</f>
        <v/>
      </c>
      <c r="Y46">
        <f>HYPERLINK("https://klasma.github.io/Logging_2401/tillsynsmail/A 15970-2026 tillsynsbegäran mail.docx", "A 15970-2026")</f>
        <v/>
      </c>
    </row>
    <row r="47" ht="15" customHeight="1">
      <c r="A47" t="inlineStr">
        <is>
          <t>A 37546-2023</t>
        </is>
      </c>
      <c r="B47" s="1" t="n">
        <v>45158</v>
      </c>
      <c r="C47" s="1" t="n">
        <v>46158</v>
      </c>
      <c r="D47" t="inlineStr">
        <is>
          <t>VÄSTERBOTTENS LÄN</t>
        </is>
      </c>
      <c r="E47" t="inlineStr">
        <is>
          <t>NORDMALING</t>
        </is>
      </c>
      <c r="G47" t="n">
        <v>4.7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HYPERLINK("https://klasma.github.io/Logging_2401/artfynd/A 37546-2023 artfynd.xlsx", "A 37546-2023")</f>
        <v/>
      </c>
      <c r="T47">
        <f>HYPERLINK("https://klasma.github.io/Logging_2401/kartor/A 37546-2023 karta.png", "A 37546-2023")</f>
        <v/>
      </c>
      <c r="V47">
        <f>HYPERLINK("https://klasma.github.io/Logging_2401/klagomål/A 37546-2023 FSC-klagomål.docx", "A 37546-2023")</f>
        <v/>
      </c>
      <c r="W47">
        <f>HYPERLINK("https://klasma.github.io/Logging_2401/klagomålsmail/A 37546-2023 FSC-klagomål mail.docx", "A 37546-2023")</f>
        <v/>
      </c>
      <c r="X47">
        <f>HYPERLINK("https://klasma.github.io/Logging_2401/tillsyn/A 37546-2023 tillsynsbegäran.docx", "A 37546-2023")</f>
        <v/>
      </c>
      <c r="Y47">
        <f>HYPERLINK("https://klasma.github.io/Logging_2401/tillsynsmail/A 37546-2023 tillsynsbegäran mail.docx", "A 37546-2023")</f>
        <v/>
      </c>
    </row>
    <row r="48" ht="15" customHeight="1">
      <c r="A48" t="inlineStr">
        <is>
          <t>A 44443-2024</t>
        </is>
      </c>
      <c r="B48" s="1" t="n">
        <v>45574</v>
      </c>
      <c r="C48" s="1" t="n">
        <v>46158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HYPERLINK("https://klasma.github.io/Logging_2401/artfynd/A 44443-2024 artfynd.xlsx", "A 44443-2024")</f>
        <v/>
      </c>
      <c r="T48">
        <f>HYPERLINK("https://klasma.github.io/Logging_2401/kartor/A 44443-2024 karta.png", "A 44443-2024")</f>
        <v/>
      </c>
      <c r="V48">
        <f>HYPERLINK("https://klasma.github.io/Logging_2401/klagomål/A 44443-2024 FSC-klagomål.docx", "A 44443-2024")</f>
        <v/>
      </c>
      <c r="W48">
        <f>HYPERLINK("https://klasma.github.io/Logging_2401/klagomålsmail/A 44443-2024 FSC-klagomål mail.docx", "A 44443-2024")</f>
        <v/>
      </c>
      <c r="X48">
        <f>HYPERLINK("https://klasma.github.io/Logging_2401/tillsyn/A 44443-2024 tillsynsbegäran.docx", "A 44443-2024")</f>
        <v/>
      </c>
      <c r="Y48">
        <f>HYPERLINK("https://klasma.github.io/Logging_2401/tillsynsmail/A 44443-2024 tillsynsbegäran mail.docx", "A 44443-2024")</f>
        <v/>
      </c>
    </row>
    <row r="49" ht="15" customHeight="1">
      <c r="A49" t="inlineStr">
        <is>
          <t>A 48329-2022</t>
        </is>
      </c>
      <c r="B49" s="1" t="n">
        <v>44858</v>
      </c>
      <c r="C49" s="1" t="n">
        <v>46158</v>
      </c>
      <c r="D49" t="inlineStr">
        <is>
          <t>VÄSTERBOTTENS LÄN</t>
        </is>
      </c>
      <c r="E49" t="inlineStr">
        <is>
          <t>NORDMALING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58046-2021</t>
        </is>
      </c>
      <c r="B50" s="1" t="n">
        <v>44487</v>
      </c>
      <c r="C50" s="1" t="n">
        <v>46158</v>
      </c>
      <c r="D50" t="inlineStr">
        <is>
          <t>VÄSTERBOTTENS LÄN</t>
        </is>
      </c>
      <c r="E50" t="inlineStr">
        <is>
          <t>NORDMALING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52412-2021</t>
        </is>
      </c>
      <c r="B51" s="1" t="n">
        <v>44463</v>
      </c>
      <c r="C51" s="1" t="n">
        <v>46158</v>
      </c>
      <c r="D51" t="inlineStr">
        <is>
          <t>VÄSTERBOTTENS LÄN</t>
        </is>
      </c>
      <c r="E51" t="inlineStr">
        <is>
          <t>NORDMALING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42860-2021</t>
        </is>
      </c>
      <c r="B52" s="1" t="n">
        <v>44430.85060185185</v>
      </c>
      <c r="C52" s="1" t="n">
        <v>46158</v>
      </c>
      <c r="D52" t="inlineStr">
        <is>
          <t>VÄSTERBOTTENS LÄN</t>
        </is>
      </c>
      <c r="E52" t="inlineStr">
        <is>
          <t>NORDMALING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42885-2021</t>
        </is>
      </c>
      <c r="B53" s="1" t="n">
        <v>44431</v>
      </c>
      <c r="C53" s="1" t="n">
        <v>46158</v>
      </c>
      <c r="D53" t="inlineStr">
        <is>
          <t>VÄSTERBOTTENS LÄN</t>
        </is>
      </c>
      <c r="E53" t="inlineStr">
        <is>
          <t>NORDMALING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31434-2021</t>
        </is>
      </c>
      <c r="B54" s="1" t="n">
        <v>44369</v>
      </c>
      <c r="C54" s="1" t="n">
        <v>46158</v>
      </c>
      <c r="D54" t="inlineStr">
        <is>
          <t>VÄSTERBOTTENS LÄN</t>
        </is>
      </c>
      <c r="E54" t="inlineStr">
        <is>
          <t>NORDMALING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25401-2021</t>
        </is>
      </c>
      <c r="B55" s="1" t="n">
        <v>44342</v>
      </c>
      <c r="C55" s="1" t="n">
        <v>46158</v>
      </c>
      <c r="D55" t="inlineStr">
        <is>
          <t>VÄSTERBOTTENS LÄN</t>
        </is>
      </c>
      <c r="E55" t="inlineStr">
        <is>
          <t>NORDMALING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64098-2021</t>
        </is>
      </c>
      <c r="B56" s="1" t="n">
        <v>44510.4482175926</v>
      </c>
      <c r="C56" s="1" t="n">
        <v>46158</v>
      </c>
      <c r="D56" t="inlineStr">
        <is>
          <t>VÄSTERBOTTENS LÄN</t>
        </is>
      </c>
      <c r="E56" t="inlineStr">
        <is>
          <t>NORDMALING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35954-2022</t>
        </is>
      </c>
      <c r="B57" s="1" t="n">
        <v>44802</v>
      </c>
      <c r="C57" s="1" t="n">
        <v>46158</v>
      </c>
      <c r="D57" t="inlineStr">
        <is>
          <t>VÄSTERBOTTENS LÄN</t>
        </is>
      </c>
      <c r="E57" t="inlineStr">
        <is>
          <t>NORDMALING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39676-2022</t>
        </is>
      </c>
      <c r="B58" s="1" t="n">
        <v>44818</v>
      </c>
      <c r="C58" s="1" t="n">
        <v>46158</v>
      </c>
      <c r="D58" t="inlineStr">
        <is>
          <t>VÄSTERBOTTENS LÄN</t>
        </is>
      </c>
      <c r="E58" t="inlineStr">
        <is>
          <t>NORDMALING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30344-2021</t>
        </is>
      </c>
      <c r="B59" s="1" t="n">
        <v>44363</v>
      </c>
      <c r="C59" s="1" t="n">
        <v>46158</v>
      </c>
      <c r="D59" t="inlineStr">
        <is>
          <t>VÄSTERBOTTENS LÄN</t>
        </is>
      </c>
      <c r="E59" t="inlineStr">
        <is>
          <t>NORDMALING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48943-2022</t>
        </is>
      </c>
      <c r="B60" s="1" t="n">
        <v>44859.95741898148</v>
      </c>
      <c r="C60" s="1" t="n">
        <v>46158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51555-2021</t>
        </is>
      </c>
      <c r="B61" s="1" t="n">
        <v>44462.42559027778</v>
      </c>
      <c r="C61" s="1" t="n">
        <v>46158</v>
      </c>
      <c r="D61" t="inlineStr">
        <is>
          <t>VÄSTERBOTTENS LÄN</t>
        </is>
      </c>
      <c r="E61" t="inlineStr">
        <is>
          <t>NORDMALING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32319-2021</t>
        </is>
      </c>
      <c r="B62" s="1" t="n">
        <v>44371</v>
      </c>
      <c r="C62" s="1" t="n">
        <v>46158</v>
      </c>
      <c r="D62" t="inlineStr">
        <is>
          <t>VÄSTERBOTTENS LÄN</t>
        </is>
      </c>
      <c r="E62" t="inlineStr">
        <is>
          <t>NORDMALING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46923-2022</t>
        </is>
      </c>
      <c r="B63" s="1" t="n">
        <v>44851.68325231481</v>
      </c>
      <c r="C63" s="1" t="n">
        <v>46158</v>
      </c>
      <c r="D63" t="inlineStr">
        <is>
          <t>VÄSTERBOTTENS LÄN</t>
        </is>
      </c>
      <c r="E63" t="inlineStr">
        <is>
          <t>NORDMALING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14199-2022</t>
        </is>
      </c>
      <c r="B64" s="1" t="n">
        <v>44651</v>
      </c>
      <c r="C64" s="1" t="n">
        <v>46158</v>
      </c>
      <c r="D64" t="inlineStr">
        <is>
          <t>VÄSTERBOTTENS LÄN</t>
        </is>
      </c>
      <c r="E64" t="inlineStr">
        <is>
          <t>NORDMALING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51005-2022</t>
        </is>
      </c>
      <c r="B65" s="1" t="n">
        <v>44867.94863425926</v>
      </c>
      <c r="C65" s="1" t="n">
        <v>46158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51008-2022</t>
        </is>
      </c>
      <c r="B66" s="1" t="n">
        <v>44867.94878472222</v>
      </c>
      <c r="C66" s="1" t="n">
        <v>46158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51356-2022</t>
        </is>
      </c>
      <c r="B67" s="1" t="n">
        <v>44866</v>
      </c>
      <c r="C67" s="1" t="n">
        <v>46158</v>
      </c>
      <c r="D67" t="inlineStr">
        <is>
          <t>VÄSTERBOTTENS LÄN</t>
        </is>
      </c>
      <c r="E67" t="inlineStr">
        <is>
          <t>NORDMALING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48941-2022</t>
        </is>
      </c>
      <c r="B68" s="1" t="n">
        <v>44859.95730324074</v>
      </c>
      <c r="C68" s="1" t="n">
        <v>46158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42859-2021</t>
        </is>
      </c>
      <c r="B69" s="1" t="n">
        <v>44430.8487962963</v>
      </c>
      <c r="C69" s="1" t="n">
        <v>46158</v>
      </c>
      <c r="D69" t="inlineStr">
        <is>
          <t>VÄSTERBOTTENS LÄN</t>
        </is>
      </c>
      <c r="E69" t="inlineStr">
        <is>
          <t>NORDMALING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27976-2022</t>
        </is>
      </c>
      <c r="B70" s="1" t="n">
        <v>44744.94275462963</v>
      </c>
      <c r="C70" s="1" t="n">
        <v>46158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69945-2021</t>
        </is>
      </c>
      <c r="B71" s="1" t="n">
        <v>44532</v>
      </c>
      <c r="C71" s="1" t="n">
        <v>46158</v>
      </c>
      <c r="D71" t="inlineStr">
        <is>
          <t>VÄSTERBOTTENS LÄN</t>
        </is>
      </c>
      <c r="E71" t="inlineStr">
        <is>
          <t>NORDMALING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48942-2022</t>
        </is>
      </c>
      <c r="B72" s="1" t="n">
        <v>44859.95736111111</v>
      </c>
      <c r="C72" s="1" t="n">
        <v>46158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48944-2022</t>
        </is>
      </c>
      <c r="B73" s="1" t="n">
        <v>44859.95748842593</v>
      </c>
      <c r="C73" s="1" t="n">
        <v>46158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43139-2022</t>
        </is>
      </c>
      <c r="B74" s="1" t="n">
        <v>44833.94997685185</v>
      </c>
      <c r="C74" s="1" t="n">
        <v>46158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27860-2021</t>
        </is>
      </c>
      <c r="B75" s="1" t="n">
        <v>44354</v>
      </c>
      <c r="C75" s="1" t="n">
        <v>46158</v>
      </c>
      <c r="D75" t="inlineStr">
        <is>
          <t>VÄSTERBOTTENS LÄN</t>
        </is>
      </c>
      <c r="E75" t="inlineStr">
        <is>
          <t>NORDMALING</t>
        </is>
      </c>
      <c r="F75" t="inlineStr">
        <is>
          <t>Kyrkan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439-2022</t>
        </is>
      </c>
      <c r="B76" s="1" t="n">
        <v>44565.96545138889</v>
      </c>
      <c r="C76" s="1" t="n">
        <v>46158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14207-2022</t>
        </is>
      </c>
      <c r="B77" s="1" t="n">
        <v>44651</v>
      </c>
      <c r="C77" s="1" t="n">
        <v>46158</v>
      </c>
      <c r="D77" t="inlineStr">
        <is>
          <t>VÄSTERBOTTENS LÄN</t>
        </is>
      </c>
      <c r="E77" t="inlineStr">
        <is>
          <t>NORDMALING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58034-2021</t>
        </is>
      </c>
      <c r="B78" s="1" t="n">
        <v>44487</v>
      </c>
      <c r="C78" s="1" t="n">
        <v>46158</v>
      </c>
      <c r="D78" t="inlineStr">
        <is>
          <t>VÄSTERBOTTENS LÄN</t>
        </is>
      </c>
      <c r="E78" t="inlineStr">
        <is>
          <t>NORDMALING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15003-2022</t>
        </is>
      </c>
      <c r="B79" s="1" t="n">
        <v>44657</v>
      </c>
      <c r="C79" s="1" t="n">
        <v>46158</v>
      </c>
      <c r="D79" t="inlineStr">
        <is>
          <t>VÄSTERBOTTENS LÄN</t>
        </is>
      </c>
      <c r="E79" t="inlineStr">
        <is>
          <t>NORDMALING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18641-2022</t>
        </is>
      </c>
      <c r="B80" s="1" t="n">
        <v>44687</v>
      </c>
      <c r="C80" s="1" t="n">
        <v>46158</v>
      </c>
      <c r="D80" t="inlineStr">
        <is>
          <t>VÄSTERBOTTENS LÄN</t>
        </is>
      </c>
      <c r="E80" t="inlineStr">
        <is>
          <t>NORDMALING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30276-2022</t>
        </is>
      </c>
      <c r="B81" s="1" t="n">
        <v>44759</v>
      </c>
      <c r="C81" s="1" t="n">
        <v>46158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48948-2022</t>
        </is>
      </c>
      <c r="B82" s="1" t="n">
        <v>44859.95777777778</v>
      </c>
      <c r="C82" s="1" t="n">
        <v>46158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39932-2022</t>
        </is>
      </c>
      <c r="B83" s="1" t="n">
        <v>44819</v>
      </c>
      <c r="C83" s="1" t="n">
        <v>46158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48949-2022</t>
        </is>
      </c>
      <c r="B84" s="1" t="n">
        <v>44859.95784722222</v>
      </c>
      <c r="C84" s="1" t="n">
        <v>46158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25403-2021</t>
        </is>
      </c>
      <c r="B85" s="1" t="n">
        <v>44342</v>
      </c>
      <c r="C85" s="1" t="n">
        <v>46158</v>
      </c>
      <c r="D85" t="inlineStr">
        <is>
          <t>VÄSTERBOTTENS LÄN</t>
        </is>
      </c>
      <c r="E85" t="inlineStr">
        <is>
          <t>NORDMALING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47748-2022</t>
        </is>
      </c>
      <c r="B86" s="1" t="n">
        <v>44854.65578703704</v>
      </c>
      <c r="C86" s="1" t="n">
        <v>46158</v>
      </c>
      <c r="D86" t="inlineStr">
        <is>
          <t>VÄSTERBOTTENS LÄN</t>
        </is>
      </c>
      <c r="E86" t="inlineStr">
        <is>
          <t>NORDMALING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42905-2022</t>
        </is>
      </c>
      <c r="B87" s="1" t="n">
        <v>44832.9546875</v>
      </c>
      <c r="C87" s="1" t="n">
        <v>46158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51323-2022</t>
        </is>
      </c>
      <c r="B88" s="1" t="n">
        <v>44868.95143518518</v>
      </c>
      <c r="C88" s="1" t="n">
        <v>46158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42292-2022</t>
        </is>
      </c>
      <c r="B89" s="1" t="n">
        <v>44830.95403935185</v>
      </c>
      <c r="C89" s="1" t="n">
        <v>46158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54872-2021</t>
        </is>
      </c>
      <c r="B90" s="1" t="n">
        <v>44473</v>
      </c>
      <c r="C90" s="1" t="n">
        <v>46158</v>
      </c>
      <c r="D90" t="inlineStr">
        <is>
          <t>VÄSTERBOTTENS LÄN</t>
        </is>
      </c>
      <c r="E90" t="inlineStr">
        <is>
          <t>NORDMALING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53736-2021</t>
        </is>
      </c>
      <c r="B91" s="1" t="n">
        <v>44469.5366087963</v>
      </c>
      <c r="C91" s="1" t="n">
        <v>46158</v>
      </c>
      <c r="D91" t="inlineStr">
        <is>
          <t>VÄSTERBOTTENS LÄN</t>
        </is>
      </c>
      <c r="E91" t="inlineStr">
        <is>
          <t>NORDMALING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33541-2021</t>
        </is>
      </c>
      <c r="B92" s="1" t="n">
        <v>44377</v>
      </c>
      <c r="C92" s="1" t="n">
        <v>46158</v>
      </c>
      <c r="D92" t="inlineStr">
        <is>
          <t>VÄSTERBOTTENS LÄN</t>
        </is>
      </c>
      <c r="E92" t="inlineStr">
        <is>
          <t>NORDMALING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9858-2022</t>
        </is>
      </c>
      <c r="B93" s="1" t="n">
        <v>44620</v>
      </c>
      <c r="C93" s="1" t="n">
        <v>46158</v>
      </c>
      <c r="D93" t="inlineStr">
        <is>
          <t>VÄSTERBOTTENS LÄN</t>
        </is>
      </c>
      <c r="E93" t="inlineStr">
        <is>
          <t>NORDMALING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37901-2021</t>
        </is>
      </c>
      <c r="B94" s="1" t="n">
        <v>44403</v>
      </c>
      <c r="C94" s="1" t="n">
        <v>46158</v>
      </c>
      <c r="D94" t="inlineStr">
        <is>
          <t>VÄSTERBOTTENS LÄN</t>
        </is>
      </c>
      <c r="E94" t="inlineStr">
        <is>
          <t>NORDMALING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49525-2022</t>
        </is>
      </c>
      <c r="B95" s="1" t="n">
        <v>44861.95695601852</v>
      </c>
      <c r="C95" s="1" t="n">
        <v>46158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9993-2022</t>
        </is>
      </c>
      <c r="B96" s="1" t="n">
        <v>44621</v>
      </c>
      <c r="C96" s="1" t="n">
        <v>46158</v>
      </c>
      <c r="D96" t="inlineStr">
        <is>
          <t>VÄSTERBOTTENS LÄN</t>
        </is>
      </c>
      <c r="E96" t="inlineStr">
        <is>
          <t>NORDMALING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14540-2022</t>
        </is>
      </c>
      <c r="B97" s="1" t="n">
        <v>44655</v>
      </c>
      <c r="C97" s="1" t="n">
        <v>46158</v>
      </c>
      <c r="D97" t="inlineStr">
        <is>
          <t>VÄSTERBOTTENS LÄN</t>
        </is>
      </c>
      <c r="E97" t="inlineStr">
        <is>
          <t>NORDMALING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46205-2021</t>
        </is>
      </c>
      <c r="B98" s="1" t="n">
        <v>44441</v>
      </c>
      <c r="C98" s="1" t="n">
        <v>46158</v>
      </c>
      <c r="D98" t="inlineStr">
        <is>
          <t>VÄSTERBOTTENS LÄN</t>
        </is>
      </c>
      <c r="E98" t="inlineStr">
        <is>
          <t>NORDMALING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48939-2022</t>
        </is>
      </c>
      <c r="B99" s="1" t="n">
        <v>44859.95717592593</v>
      </c>
      <c r="C99" s="1" t="n">
        <v>46158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43426-2023</t>
        </is>
      </c>
      <c r="B100" s="1" t="n">
        <v>45183</v>
      </c>
      <c r="C100" s="1" t="n">
        <v>46158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24234-2021</t>
        </is>
      </c>
      <c r="B101" s="1" t="n">
        <v>44336.9184375</v>
      </c>
      <c r="C101" s="1" t="n">
        <v>46158</v>
      </c>
      <c r="D101" t="inlineStr">
        <is>
          <t>VÄSTERBOTTENS LÄN</t>
        </is>
      </c>
      <c r="E101" t="inlineStr">
        <is>
          <t>NORDMALING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20008-2025</t>
        </is>
      </c>
      <c r="B102" s="1" t="n">
        <v>45772.27237268518</v>
      </c>
      <c r="C102" s="1" t="n">
        <v>46158</v>
      </c>
      <c r="D102" t="inlineStr">
        <is>
          <t>VÄSTERBOTTENS LÄN</t>
        </is>
      </c>
      <c r="E102" t="inlineStr">
        <is>
          <t>NORDMALING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30715-2022</t>
        </is>
      </c>
      <c r="B103" s="1" t="n">
        <v>44763</v>
      </c>
      <c r="C103" s="1" t="n">
        <v>46158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33496-2022</t>
        </is>
      </c>
      <c r="B104" s="1" t="n">
        <v>44788.92680555556</v>
      </c>
      <c r="C104" s="1" t="n">
        <v>46158</v>
      </c>
      <c r="D104" t="inlineStr">
        <is>
          <t>VÄSTERBOTTENS LÄN</t>
        </is>
      </c>
      <c r="E104" t="inlineStr">
        <is>
          <t>NORDMALING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39776-2024</t>
        </is>
      </c>
      <c r="B105" s="1" t="n">
        <v>45552.8096875</v>
      </c>
      <c r="C105" s="1" t="n">
        <v>46158</v>
      </c>
      <c r="D105" t="inlineStr">
        <is>
          <t>VÄSTERBOTTENS LÄN</t>
        </is>
      </c>
      <c r="E105" t="inlineStr">
        <is>
          <t>NORDMALING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12374-2024</t>
        </is>
      </c>
      <c r="B106" s="1" t="n">
        <v>45378</v>
      </c>
      <c r="C106" s="1" t="n">
        <v>46158</v>
      </c>
      <c r="D106" t="inlineStr">
        <is>
          <t>VÄSTERBOTTENS LÄN</t>
        </is>
      </c>
      <c r="E106" t="inlineStr">
        <is>
          <t>NORDMALING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34176-2023</t>
        </is>
      </c>
      <c r="B107" s="1" t="n">
        <v>45126</v>
      </c>
      <c r="C107" s="1" t="n">
        <v>46158</v>
      </c>
      <c r="D107" t="inlineStr">
        <is>
          <t>VÄSTERBOTTENS LÄN</t>
        </is>
      </c>
      <c r="E107" t="inlineStr">
        <is>
          <t>NORDMALING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27568-2023</t>
        </is>
      </c>
      <c r="B108" s="1" t="n">
        <v>45092</v>
      </c>
      <c r="C108" s="1" t="n">
        <v>46158</v>
      </c>
      <c r="D108" t="inlineStr">
        <is>
          <t>VÄSTERBOTTENS LÄN</t>
        </is>
      </c>
      <c r="E108" t="inlineStr">
        <is>
          <t>NORDMALING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27378-2023</t>
        </is>
      </c>
      <c r="B109" s="1" t="n">
        <v>45096.93858796296</v>
      </c>
      <c r="C109" s="1" t="n">
        <v>46158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17892-2024</t>
        </is>
      </c>
      <c r="B110" s="1" t="n">
        <v>45419.47746527778</v>
      </c>
      <c r="C110" s="1" t="n">
        <v>46158</v>
      </c>
      <c r="D110" t="inlineStr">
        <is>
          <t>VÄSTERBOTTENS LÄN</t>
        </is>
      </c>
      <c r="E110" t="inlineStr">
        <is>
          <t>NORDMALING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55198-2022</t>
        </is>
      </c>
      <c r="B111" s="1" t="n">
        <v>44886.93724537037</v>
      </c>
      <c r="C111" s="1" t="n">
        <v>46158</v>
      </c>
      <c r="D111" t="inlineStr">
        <is>
          <t>VÄSTERBOTTENS LÄN</t>
        </is>
      </c>
      <c r="E111" t="inlineStr">
        <is>
          <t>NORDMALING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17889-2024</t>
        </is>
      </c>
      <c r="B112" s="1" t="n">
        <v>45419.47402777777</v>
      </c>
      <c r="C112" s="1" t="n">
        <v>46158</v>
      </c>
      <c r="D112" t="inlineStr">
        <is>
          <t>VÄSTERBOTTENS LÄN</t>
        </is>
      </c>
      <c r="E112" t="inlineStr">
        <is>
          <t>NORDMALING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38285-2022</t>
        </is>
      </c>
      <c r="B113" s="1" t="n">
        <v>44812</v>
      </c>
      <c r="C113" s="1" t="n">
        <v>46158</v>
      </c>
      <c r="D113" t="inlineStr">
        <is>
          <t>VÄSTERBOTTENS LÄN</t>
        </is>
      </c>
      <c r="E113" t="inlineStr">
        <is>
          <t>NORDMALING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56674-2021</t>
        </is>
      </c>
      <c r="B114" s="1" t="n">
        <v>44480</v>
      </c>
      <c r="C114" s="1" t="n">
        <v>46158</v>
      </c>
      <c r="D114" t="inlineStr">
        <is>
          <t>VÄSTERBOTTENS LÄN</t>
        </is>
      </c>
      <c r="E114" t="inlineStr">
        <is>
          <t>NORDMALING</t>
        </is>
      </c>
      <c r="G114" t="n">
        <v>12.5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50520-2023</t>
        </is>
      </c>
      <c r="B115" s="1" t="n">
        <v>45216</v>
      </c>
      <c r="C115" s="1" t="n">
        <v>46158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43735-2021</t>
        </is>
      </c>
      <c r="B116" s="1" t="n">
        <v>44433</v>
      </c>
      <c r="C116" s="1" t="n">
        <v>46158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14431-2024</t>
        </is>
      </c>
      <c r="B117" s="1" t="n">
        <v>45394</v>
      </c>
      <c r="C117" s="1" t="n">
        <v>46158</v>
      </c>
      <c r="D117" t="inlineStr">
        <is>
          <t>VÄSTERBOTTENS LÄN</t>
        </is>
      </c>
      <c r="E117" t="inlineStr">
        <is>
          <t>NORDMALING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61792-2023</t>
        </is>
      </c>
      <c r="B118" s="1" t="n">
        <v>45265</v>
      </c>
      <c r="C118" s="1" t="n">
        <v>46158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61793-2023</t>
        </is>
      </c>
      <c r="B119" s="1" t="n">
        <v>45265.958125</v>
      </c>
      <c r="C119" s="1" t="n">
        <v>46158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57388-2023</t>
        </is>
      </c>
      <c r="B120" s="1" t="n">
        <v>45245</v>
      </c>
      <c r="C120" s="1" t="n">
        <v>46158</v>
      </c>
      <c r="D120" t="inlineStr">
        <is>
          <t>VÄSTERBOTTENS LÄN</t>
        </is>
      </c>
      <c r="E120" t="inlineStr">
        <is>
          <t>NORDMALING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60175-2022</t>
        </is>
      </c>
      <c r="B121" s="1" t="n">
        <v>44909</v>
      </c>
      <c r="C121" s="1" t="n">
        <v>46158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SCA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23566-2024</t>
        </is>
      </c>
      <c r="B122" s="1" t="n">
        <v>45453.95530092593</v>
      </c>
      <c r="C122" s="1" t="n">
        <v>46158</v>
      </c>
      <c r="D122" t="inlineStr">
        <is>
          <t>VÄSTERBOTTENS LÄN</t>
        </is>
      </c>
      <c r="E122" t="inlineStr">
        <is>
          <t>NORDMALING</t>
        </is>
      </c>
      <c r="F122" t="inlineStr">
        <is>
          <t>SCA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38367-2025</t>
        </is>
      </c>
      <c r="B123" s="1" t="n">
        <v>45883.55422453704</v>
      </c>
      <c r="C123" s="1" t="n">
        <v>46158</v>
      </c>
      <c r="D123" t="inlineStr">
        <is>
          <t>VÄSTERBOTTENS LÄN</t>
        </is>
      </c>
      <c r="E123" t="inlineStr">
        <is>
          <t>NORDMALING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38445-2025</t>
        </is>
      </c>
      <c r="B124" s="1" t="n">
        <v>45883.65679398148</v>
      </c>
      <c r="C124" s="1" t="n">
        <v>46158</v>
      </c>
      <c r="D124" t="inlineStr">
        <is>
          <t>VÄSTERBOTTENS LÄN</t>
        </is>
      </c>
      <c r="E124" t="inlineStr">
        <is>
          <t>NORDMALING</t>
        </is>
      </c>
      <c r="F124" t="inlineStr">
        <is>
          <t>SCA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30183-2024</t>
        </is>
      </c>
      <c r="B125" s="1" t="n">
        <v>45489.94449074074</v>
      </c>
      <c r="C125" s="1" t="n">
        <v>46158</v>
      </c>
      <c r="D125" t="inlineStr">
        <is>
          <t>VÄSTERBOTTENS LÄN</t>
        </is>
      </c>
      <c r="E125" t="inlineStr">
        <is>
          <t>NORDMALING</t>
        </is>
      </c>
      <c r="F125" t="inlineStr">
        <is>
          <t>SCA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43-2026</t>
        </is>
      </c>
      <c r="B126" s="1" t="n">
        <v>46014</v>
      </c>
      <c r="C126" s="1" t="n">
        <v>46158</v>
      </c>
      <c r="D126" t="inlineStr">
        <is>
          <t>VÄSTERBOTTENS LÄN</t>
        </is>
      </c>
      <c r="E126" t="inlineStr">
        <is>
          <t>NORDMALING</t>
        </is>
      </c>
      <c r="G126" t="n">
        <v>10.6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123-2026</t>
        </is>
      </c>
      <c r="B127" s="1" t="n">
        <v>46019</v>
      </c>
      <c r="C127" s="1" t="n">
        <v>46158</v>
      </c>
      <c r="D127" t="inlineStr">
        <is>
          <t>VÄSTERBOTTENS LÄN</t>
        </is>
      </c>
      <c r="E127" t="inlineStr">
        <is>
          <t>NORDMALING</t>
        </is>
      </c>
      <c r="G127" t="n">
        <v>7.7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118-2026</t>
        </is>
      </c>
      <c r="B128" s="1" t="n">
        <v>46019</v>
      </c>
      <c r="C128" s="1" t="n">
        <v>46158</v>
      </c>
      <c r="D128" t="inlineStr">
        <is>
          <t>VÄSTERBOTTENS LÄN</t>
        </is>
      </c>
      <c r="E128" t="inlineStr">
        <is>
          <t>NORDMALING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38490-2025</t>
        </is>
      </c>
      <c r="B129" s="1" t="n">
        <v>45884.34648148148</v>
      </c>
      <c r="C129" s="1" t="n">
        <v>46158</v>
      </c>
      <c r="D129" t="inlineStr">
        <is>
          <t>VÄSTERBOTTENS LÄN</t>
        </is>
      </c>
      <c r="E129" t="inlineStr">
        <is>
          <t>NORDMALING</t>
        </is>
      </c>
      <c r="F129" t="inlineStr">
        <is>
          <t>Naturvårdsverket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63754-2025</t>
        </is>
      </c>
      <c r="B130" s="1" t="n">
        <v>46018.34943287037</v>
      </c>
      <c r="C130" s="1" t="n">
        <v>46158</v>
      </c>
      <c r="D130" t="inlineStr">
        <is>
          <t>VÄSTERBOTTENS LÄN</t>
        </is>
      </c>
      <c r="E130" t="inlineStr">
        <is>
          <t>NORDMALING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112-2026</t>
        </is>
      </c>
      <c r="B131" s="1" t="n">
        <v>46019</v>
      </c>
      <c r="C131" s="1" t="n">
        <v>46158</v>
      </c>
      <c r="D131" t="inlineStr">
        <is>
          <t>VÄSTERBOTTENS LÄN</t>
        </is>
      </c>
      <c r="E131" t="inlineStr">
        <is>
          <t>NORDMALING</t>
        </is>
      </c>
      <c r="G131" t="n">
        <v>15.3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63755-2025</t>
        </is>
      </c>
      <c r="B132" s="1" t="n">
        <v>46018.35533564815</v>
      </c>
      <c r="C132" s="1" t="n">
        <v>46158</v>
      </c>
      <c r="D132" t="inlineStr">
        <is>
          <t>VÄSTERBOTTENS LÄN</t>
        </is>
      </c>
      <c r="E132" t="inlineStr">
        <is>
          <t>NORDMALING</t>
        </is>
      </c>
      <c r="G132" t="n">
        <v>16.2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63756-2025</t>
        </is>
      </c>
      <c r="B133" s="1" t="n">
        <v>46018.36070601852</v>
      </c>
      <c r="C133" s="1" t="n">
        <v>46158</v>
      </c>
      <c r="D133" t="inlineStr">
        <is>
          <t>VÄSTERBOTTENS LÄN</t>
        </is>
      </c>
      <c r="E133" t="inlineStr">
        <is>
          <t>NORDMALING</t>
        </is>
      </c>
      <c r="G133" t="n">
        <v>12.8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63813-2025</t>
        </is>
      </c>
      <c r="B134" s="1" t="n">
        <v>46020.33409722222</v>
      </c>
      <c r="C134" s="1" t="n">
        <v>46158</v>
      </c>
      <c r="D134" t="inlineStr">
        <is>
          <t>VÄSTERBOTTENS LÄN</t>
        </is>
      </c>
      <c r="E134" t="inlineStr">
        <is>
          <t>NORDMALING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22004-2024</t>
        </is>
      </c>
      <c r="B135" s="1" t="n">
        <v>45443</v>
      </c>
      <c r="C135" s="1" t="n">
        <v>46158</v>
      </c>
      <c r="D135" t="inlineStr">
        <is>
          <t>VÄSTERBOTTENS LÄN</t>
        </is>
      </c>
      <c r="E135" t="inlineStr">
        <is>
          <t>NORDMALING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35882-2024</t>
        </is>
      </c>
      <c r="B136" s="1" t="n">
        <v>45533.35350694445</v>
      </c>
      <c r="C136" s="1" t="n">
        <v>46158</v>
      </c>
      <c r="D136" t="inlineStr">
        <is>
          <t>VÄSTERBOTTENS LÄN</t>
        </is>
      </c>
      <c r="E136" t="inlineStr">
        <is>
          <t>NORDMALING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34480-2024</t>
        </is>
      </c>
      <c r="B137" s="1" t="n">
        <v>45525.60537037037</v>
      </c>
      <c r="C137" s="1" t="n">
        <v>46158</v>
      </c>
      <c r="D137" t="inlineStr">
        <is>
          <t>VÄSTERBOTTENS LÄN</t>
        </is>
      </c>
      <c r="E137" t="inlineStr">
        <is>
          <t>NORDMALING</t>
        </is>
      </c>
      <c r="G137" t="n">
        <v>12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23565-2024</t>
        </is>
      </c>
      <c r="B138" s="1" t="n">
        <v>45453.95523148148</v>
      </c>
      <c r="C138" s="1" t="n">
        <v>46158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6224-2023</t>
        </is>
      </c>
      <c r="B139" s="1" t="n">
        <v>44964.87626157407</v>
      </c>
      <c r="C139" s="1" t="n">
        <v>46158</v>
      </c>
      <c r="D139" t="inlineStr">
        <is>
          <t>VÄSTERBOTTENS LÄN</t>
        </is>
      </c>
      <c r="E139" t="inlineStr">
        <is>
          <t>NORDMALING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15745-2023</t>
        </is>
      </c>
      <c r="B140" s="1" t="n">
        <v>45021.60850694445</v>
      </c>
      <c r="C140" s="1" t="n">
        <v>46158</v>
      </c>
      <c r="D140" t="inlineStr">
        <is>
          <t>VÄSTERBOTTENS LÄN</t>
        </is>
      </c>
      <c r="E140" t="inlineStr">
        <is>
          <t>NORDMALING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63922-2025</t>
        </is>
      </c>
      <c r="B141" s="1" t="n">
        <v>46020.75583333334</v>
      </c>
      <c r="C141" s="1" t="n">
        <v>46158</v>
      </c>
      <c r="D141" t="inlineStr">
        <is>
          <t>VÄSTERBOTTENS LÄN</t>
        </is>
      </c>
      <c r="E141" t="inlineStr">
        <is>
          <t>NORDMALING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24045-2025</t>
        </is>
      </c>
      <c r="B142" s="1" t="n">
        <v>45796.49280092592</v>
      </c>
      <c r="C142" s="1" t="n">
        <v>46158</v>
      </c>
      <c r="D142" t="inlineStr">
        <is>
          <t>VÄSTERBOTTENS LÄN</t>
        </is>
      </c>
      <c r="E142" t="inlineStr">
        <is>
          <t>NORDMALING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64158-2025</t>
        </is>
      </c>
      <c r="B143" s="1" t="n">
        <v>46022.87686342592</v>
      </c>
      <c r="C143" s="1" t="n">
        <v>46158</v>
      </c>
      <c r="D143" t="inlineStr">
        <is>
          <t>VÄSTERBOTTENS LÄN</t>
        </is>
      </c>
      <c r="E143" t="inlineStr">
        <is>
          <t>NORDMALING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38260-2025</t>
        </is>
      </c>
      <c r="B144" s="1" t="n">
        <v>45883.39547453704</v>
      </c>
      <c r="C144" s="1" t="n">
        <v>46158</v>
      </c>
      <c r="D144" t="inlineStr">
        <is>
          <t>VÄSTERBOTTENS LÄN</t>
        </is>
      </c>
      <c r="E144" t="inlineStr">
        <is>
          <t>NORDMALING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19-2026</t>
        </is>
      </c>
      <c r="B145" s="1" t="n">
        <v>46023</v>
      </c>
      <c r="C145" s="1" t="n">
        <v>46158</v>
      </c>
      <c r="D145" t="inlineStr">
        <is>
          <t>VÄSTERBOTTENS LÄN</t>
        </is>
      </c>
      <c r="E145" t="inlineStr">
        <is>
          <t>NORDMALING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6402-2025</t>
        </is>
      </c>
      <c r="B146" s="1" t="n">
        <v>45699.44813657407</v>
      </c>
      <c r="C146" s="1" t="n">
        <v>46158</v>
      </c>
      <c r="D146" t="inlineStr">
        <is>
          <t>VÄSTERBOTTENS LÄN</t>
        </is>
      </c>
      <c r="E146" t="inlineStr">
        <is>
          <t>NORDMALING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65688-2021</t>
        </is>
      </c>
      <c r="B147" s="1" t="n">
        <v>44515</v>
      </c>
      <c r="C147" s="1" t="n">
        <v>46158</v>
      </c>
      <c r="D147" t="inlineStr">
        <is>
          <t>VÄSTERBOTTENS LÄN</t>
        </is>
      </c>
      <c r="E147" t="inlineStr">
        <is>
          <t>NORDMALING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62119-2022</t>
        </is>
      </c>
      <c r="B148" s="1" t="n">
        <v>44921.69261574074</v>
      </c>
      <c r="C148" s="1" t="n">
        <v>46158</v>
      </c>
      <c r="D148" t="inlineStr">
        <is>
          <t>VÄSTERBOTTENS LÄN</t>
        </is>
      </c>
      <c r="E148" t="inlineStr">
        <is>
          <t>NORDMALING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38864-2025</t>
        </is>
      </c>
      <c r="B149" s="1" t="n">
        <v>45887.56605324074</v>
      </c>
      <c r="C149" s="1" t="n">
        <v>46158</v>
      </c>
      <c r="D149" t="inlineStr">
        <is>
          <t>VÄSTERBOTTENS LÄN</t>
        </is>
      </c>
      <c r="E149" t="inlineStr">
        <is>
          <t>NORDMALING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38870-2025</t>
        </is>
      </c>
      <c r="B150" s="1" t="n">
        <v>45887.57328703703</v>
      </c>
      <c r="C150" s="1" t="n">
        <v>46158</v>
      </c>
      <c r="D150" t="inlineStr">
        <is>
          <t>VÄSTERBOTTENS LÄN</t>
        </is>
      </c>
      <c r="E150" t="inlineStr">
        <is>
          <t>NORDMALING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38991-2025</t>
        </is>
      </c>
      <c r="B151" s="1" t="n">
        <v>45888.32443287037</v>
      </c>
      <c r="C151" s="1" t="n">
        <v>46158</v>
      </c>
      <c r="D151" t="inlineStr">
        <is>
          <t>VÄSTERBOTTENS LÄN</t>
        </is>
      </c>
      <c r="E151" t="inlineStr">
        <is>
          <t>NORDMALING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62203-2022</t>
        </is>
      </c>
      <c r="B152" s="1" t="n">
        <v>44922.60114583333</v>
      </c>
      <c r="C152" s="1" t="n">
        <v>46158</v>
      </c>
      <c r="D152" t="inlineStr">
        <is>
          <t>VÄSTERBOTTENS LÄN</t>
        </is>
      </c>
      <c r="E152" t="inlineStr">
        <is>
          <t>NORDMALING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65334-2021</t>
        </is>
      </c>
      <c r="B153" s="1" t="n">
        <v>44515</v>
      </c>
      <c r="C153" s="1" t="n">
        <v>46158</v>
      </c>
      <c r="D153" t="inlineStr">
        <is>
          <t>VÄSTERBOTTENS LÄN</t>
        </is>
      </c>
      <c r="E153" t="inlineStr">
        <is>
          <t>NORDMALING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25018-2025</t>
        </is>
      </c>
      <c r="B154" s="1" t="n">
        <v>45799.6438425926</v>
      </c>
      <c r="C154" s="1" t="n">
        <v>46158</v>
      </c>
      <c r="D154" t="inlineStr">
        <is>
          <t>VÄSTERBOTTENS LÄN</t>
        </is>
      </c>
      <c r="E154" t="inlineStr">
        <is>
          <t>NORDMALING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61136-2024</t>
        </is>
      </c>
      <c r="B155" s="1" t="n">
        <v>45645.58386574074</v>
      </c>
      <c r="C155" s="1" t="n">
        <v>46158</v>
      </c>
      <c r="D155" t="inlineStr">
        <is>
          <t>VÄSTERBOTTENS LÄN</t>
        </is>
      </c>
      <c r="E155" t="inlineStr">
        <is>
          <t>NORDMALING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25137-2025</t>
        </is>
      </c>
      <c r="B156" s="1" t="n">
        <v>45800.39288194444</v>
      </c>
      <c r="C156" s="1" t="n">
        <v>46158</v>
      </c>
      <c r="D156" t="inlineStr">
        <is>
          <t>VÄSTERBOTTENS LÄN</t>
        </is>
      </c>
      <c r="E156" t="inlineStr">
        <is>
          <t>NORDMALING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29150-2024</t>
        </is>
      </c>
      <c r="B157" s="1" t="n">
        <v>45482.44936342593</v>
      </c>
      <c r="C157" s="1" t="n">
        <v>46158</v>
      </c>
      <c r="D157" t="inlineStr">
        <is>
          <t>VÄSTERBOTTENS LÄN</t>
        </is>
      </c>
      <c r="E157" t="inlineStr">
        <is>
          <t>NORDMALING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9490-2023</t>
        </is>
      </c>
      <c r="B158" s="1" t="n">
        <v>44977</v>
      </c>
      <c r="C158" s="1" t="n">
        <v>46158</v>
      </c>
      <c r="D158" t="inlineStr">
        <is>
          <t>VÄSTERBOTTENS LÄN</t>
        </is>
      </c>
      <c r="E158" t="inlineStr">
        <is>
          <t>NORDMALING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39573-2025</t>
        </is>
      </c>
      <c r="B159" s="1" t="n">
        <v>45890.49130787037</v>
      </c>
      <c r="C159" s="1" t="n">
        <v>46158</v>
      </c>
      <c r="D159" t="inlineStr">
        <is>
          <t>VÄSTERBOTTENS LÄN</t>
        </is>
      </c>
      <c r="E159" t="inlineStr">
        <is>
          <t>NORDMALING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26930-2024</t>
        </is>
      </c>
      <c r="B160" s="1" t="n">
        <v>45470.93159722222</v>
      </c>
      <c r="C160" s="1" t="n">
        <v>46158</v>
      </c>
      <c r="D160" t="inlineStr">
        <is>
          <t>VÄSTERBOTTENS LÄN</t>
        </is>
      </c>
      <c r="E160" t="inlineStr">
        <is>
          <t>NORDMALING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25162-2025</t>
        </is>
      </c>
      <c r="B161" s="1" t="n">
        <v>45800.43075231482</v>
      </c>
      <c r="C161" s="1" t="n">
        <v>46158</v>
      </c>
      <c r="D161" t="inlineStr">
        <is>
          <t>VÄSTERBOTTENS LÄN</t>
        </is>
      </c>
      <c r="E161" t="inlineStr">
        <is>
          <t>NORDMALING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54837-2024</t>
        </is>
      </c>
      <c r="B162" s="1" t="n">
        <v>45618.56424768519</v>
      </c>
      <c r="C162" s="1" t="n">
        <v>46158</v>
      </c>
      <c r="D162" t="inlineStr">
        <is>
          <t>VÄSTERBOTTENS LÄN</t>
        </is>
      </c>
      <c r="E162" t="inlineStr">
        <is>
          <t>NORDMALING</t>
        </is>
      </c>
      <c r="G162" t="n">
        <v>10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44548-2023</t>
        </is>
      </c>
      <c r="B163" s="1" t="n">
        <v>45183</v>
      </c>
      <c r="C163" s="1" t="n">
        <v>46158</v>
      </c>
      <c r="D163" t="inlineStr">
        <is>
          <t>VÄSTERBOTTENS LÄN</t>
        </is>
      </c>
      <c r="E163" t="inlineStr">
        <is>
          <t>NORDMALING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25043-2025</t>
        </is>
      </c>
      <c r="B164" s="1" t="n">
        <v>45799.66578703704</v>
      </c>
      <c r="C164" s="1" t="n">
        <v>46158</v>
      </c>
      <c r="D164" t="inlineStr">
        <is>
          <t>VÄSTERBOTTENS LÄN</t>
        </is>
      </c>
      <c r="E164" t="inlineStr">
        <is>
          <t>NORDMALING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39649-2025</t>
        </is>
      </c>
      <c r="B165" s="1" t="n">
        <v>45890.61537037037</v>
      </c>
      <c r="C165" s="1" t="n">
        <v>46158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19.5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25074-2025</t>
        </is>
      </c>
      <c r="B166" s="1" t="n">
        <v>45799.80739583333</v>
      </c>
      <c r="C166" s="1" t="n">
        <v>46158</v>
      </c>
      <c r="D166" t="inlineStr">
        <is>
          <t>VÄSTERBOTTENS LÄN</t>
        </is>
      </c>
      <c r="E166" t="inlineStr">
        <is>
          <t>NORDMALING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4496-2024</t>
        </is>
      </c>
      <c r="B167" s="1" t="n">
        <v>45327.60730324074</v>
      </c>
      <c r="C167" s="1" t="n">
        <v>46158</v>
      </c>
      <c r="D167" t="inlineStr">
        <is>
          <t>VÄSTERBOTTENS LÄN</t>
        </is>
      </c>
      <c r="E167" t="inlineStr">
        <is>
          <t>NORDMALING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40062-2025</t>
        </is>
      </c>
      <c r="B168" s="1" t="n">
        <v>45894.42775462963</v>
      </c>
      <c r="C168" s="1" t="n">
        <v>46158</v>
      </c>
      <c r="D168" t="inlineStr">
        <is>
          <t>VÄSTERBOTTENS LÄN</t>
        </is>
      </c>
      <c r="E168" t="inlineStr">
        <is>
          <t>NORDMALING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24037-2025</t>
        </is>
      </c>
      <c r="B169" s="1" t="n">
        <v>45796.48409722222</v>
      </c>
      <c r="C169" s="1" t="n">
        <v>46158</v>
      </c>
      <c r="D169" t="inlineStr">
        <is>
          <t>VÄSTERBOTTENS LÄN</t>
        </is>
      </c>
      <c r="E169" t="inlineStr">
        <is>
          <t>NORDMALING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404-2026</t>
        </is>
      </c>
      <c r="B170" s="1" t="n">
        <v>46028.66927083334</v>
      </c>
      <c r="C170" s="1" t="n">
        <v>46158</v>
      </c>
      <c r="D170" t="inlineStr">
        <is>
          <t>VÄSTERBOTTENS LÄN</t>
        </is>
      </c>
      <c r="E170" t="inlineStr">
        <is>
          <t>NORDMALING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39874-2025</t>
        </is>
      </c>
      <c r="B171" s="1" t="n">
        <v>45891.6150462963</v>
      </c>
      <c r="C171" s="1" t="n">
        <v>46158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SCA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39706-2025</t>
        </is>
      </c>
      <c r="B172" s="1" t="n">
        <v>45890.80981481481</v>
      </c>
      <c r="C172" s="1" t="n">
        <v>46158</v>
      </c>
      <c r="D172" t="inlineStr">
        <is>
          <t>VÄSTERBOTTENS LÄN</t>
        </is>
      </c>
      <c r="E172" t="inlineStr">
        <is>
          <t>NORDMALING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72873-2021</t>
        </is>
      </c>
      <c r="B173" s="1" t="n">
        <v>44547</v>
      </c>
      <c r="C173" s="1" t="n">
        <v>46158</v>
      </c>
      <c r="D173" t="inlineStr">
        <is>
          <t>VÄSTERBOTTENS LÄN</t>
        </is>
      </c>
      <c r="E173" t="inlineStr">
        <is>
          <t>NORDMALING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61149-2022</t>
        </is>
      </c>
      <c r="B174" s="1" t="n">
        <v>44908</v>
      </c>
      <c r="C174" s="1" t="n">
        <v>46158</v>
      </c>
      <c r="D174" t="inlineStr">
        <is>
          <t>VÄSTERBOTTENS LÄN</t>
        </is>
      </c>
      <c r="E174" t="inlineStr">
        <is>
          <t>NORDMALING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40608-2025</t>
        </is>
      </c>
      <c r="B175" s="1" t="n">
        <v>45896.57358796296</v>
      </c>
      <c r="C175" s="1" t="n">
        <v>46158</v>
      </c>
      <c r="D175" t="inlineStr">
        <is>
          <t>VÄSTERBOTTENS LÄN</t>
        </is>
      </c>
      <c r="E175" t="inlineStr">
        <is>
          <t>NORDMALING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59486-2024</t>
        </is>
      </c>
      <c r="B176" s="1" t="n">
        <v>45638.53171296296</v>
      </c>
      <c r="C176" s="1" t="n">
        <v>46158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36814-2024</t>
        </is>
      </c>
      <c r="B177" s="1" t="n">
        <v>45538</v>
      </c>
      <c r="C177" s="1" t="n">
        <v>46158</v>
      </c>
      <c r="D177" t="inlineStr">
        <is>
          <t>VÄSTERBOTTENS LÄN</t>
        </is>
      </c>
      <c r="E177" t="inlineStr">
        <is>
          <t>NORDMALING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48234-2024</t>
        </is>
      </c>
      <c r="B178" s="1" t="n">
        <v>45590.38300925926</v>
      </c>
      <c r="C178" s="1" t="n">
        <v>46158</v>
      </c>
      <c r="D178" t="inlineStr">
        <is>
          <t>VÄSTERBOTTENS LÄN</t>
        </is>
      </c>
      <c r="E178" t="inlineStr">
        <is>
          <t>NORDMALING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48178-2024</t>
        </is>
      </c>
      <c r="B179" s="1" t="n">
        <v>45589</v>
      </c>
      <c r="C179" s="1" t="n">
        <v>46158</v>
      </c>
      <c r="D179" t="inlineStr">
        <is>
          <t>VÄSTERBOTTENS LÄN</t>
        </is>
      </c>
      <c r="E179" t="inlineStr">
        <is>
          <t>NORDMALING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34184-2023</t>
        </is>
      </c>
      <c r="B180" s="1" t="n">
        <v>45126</v>
      </c>
      <c r="C180" s="1" t="n">
        <v>46158</v>
      </c>
      <c r="D180" t="inlineStr">
        <is>
          <t>VÄSTERBOTTENS LÄN</t>
        </is>
      </c>
      <c r="E180" t="inlineStr">
        <is>
          <t>NORDMALING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55627-2023</t>
        </is>
      </c>
      <c r="B181" s="1" t="n">
        <v>45238.92649305556</v>
      </c>
      <c r="C181" s="1" t="n">
        <v>46158</v>
      </c>
      <c r="D181" t="inlineStr">
        <is>
          <t>VÄSTERBOTTENS LÄN</t>
        </is>
      </c>
      <c r="E181" t="inlineStr">
        <is>
          <t>NORDMALING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494-2026</t>
        </is>
      </c>
      <c r="B182" s="1" t="n">
        <v>46029.42859953704</v>
      </c>
      <c r="C182" s="1" t="n">
        <v>46158</v>
      </c>
      <c r="D182" t="inlineStr">
        <is>
          <t>VÄSTERBOTTENS LÄN</t>
        </is>
      </c>
      <c r="E182" t="inlineStr">
        <is>
          <t>NORDMALING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41131-2025</t>
        </is>
      </c>
      <c r="B183" s="1" t="n">
        <v>45898.48043981481</v>
      </c>
      <c r="C183" s="1" t="n">
        <v>46158</v>
      </c>
      <c r="D183" t="inlineStr">
        <is>
          <t>VÄSTERBOTTENS LÄN</t>
        </is>
      </c>
      <c r="E183" t="inlineStr">
        <is>
          <t>NORDMALING</t>
        </is>
      </c>
      <c r="G183" t="n">
        <v>12.5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26632-2025</t>
        </is>
      </c>
      <c r="B184" s="1" t="n">
        <v>45810.35230324074</v>
      </c>
      <c r="C184" s="1" t="n">
        <v>46158</v>
      </c>
      <c r="D184" t="inlineStr">
        <is>
          <t>VÄSTERBOTTENS LÄN</t>
        </is>
      </c>
      <c r="E184" t="inlineStr">
        <is>
          <t>NORDMALING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26635-2025</t>
        </is>
      </c>
      <c r="B185" s="1" t="n">
        <v>45810.35407407407</v>
      </c>
      <c r="C185" s="1" t="n">
        <v>46158</v>
      </c>
      <c r="D185" t="inlineStr">
        <is>
          <t>VÄSTERBOTTENS LÄN</t>
        </is>
      </c>
      <c r="E185" t="inlineStr">
        <is>
          <t>NORDMALING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4732-2025</t>
        </is>
      </c>
      <c r="B186" s="1" t="n">
        <v>45688.43670138889</v>
      </c>
      <c r="C186" s="1" t="n">
        <v>46158</v>
      </c>
      <c r="D186" t="inlineStr">
        <is>
          <t>VÄSTERBOTTENS LÄN</t>
        </is>
      </c>
      <c r="E186" t="inlineStr">
        <is>
          <t>NORDMALING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51695-2024</t>
        </is>
      </c>
      <c r="B187" s="1" t="n">
        <v>45607.34743055556</v>
      </c>
      <c r="C187" s="1" t="n">
        <v>46158</v>
      </c>
      <c r="D187" t="inlineStr">
        <is>
          <t>VÄSTERBOTTENS LÄN</t>
        </is>
      </c>
      <c r="E187" t="inlineStr">
        <is>
          <t>NORDMALING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30438-2024</t>
        </is>
      </c>
      <c r="B188" s="1" t="n">
        <v>45491</v>
      </c>
      <c r="C188" s="1" t="n">
        <v>46158</v>
      </c>
      <c r="D188" t="inlineStr">
        <is>
          <t>VÄSTERBOTTENS LÄN</t>
        </is>
      </c>
      <c r="E188" t="inlineStr">
        <is>
          <t>NORDMALING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41573-2025</t>
        </is>
      </c>
      <c r="B189" s="1" t="n">
        <v>45901.61489583334</v>
      </c>
      <c r="C189" s="1" t="n">
        <v>46158</v>
      </c>
      <c r="D189" t="inlineStr">
        <is>
          <t>VÄSTERBOTTENS LÄN</t>
        </is>
      </c>
      <c r="E189" t="inlineStr">
        <is>
          <t>NORDMALING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26903-2025</t>
        </is>
      </c>
      <c r="B190" s="1" t="n">
        <v>45811</v>
      </c>
      <c r="C190" s="1" t="n">
        <v>46158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41365-2025</t>
        </is>
      </c>
      <c r="B191" s="1" t="n">
        <v>45900.49813657408</v>
      </c>
      <c r="C191" s="1" t="n">
        <v>46158</v>
      </c>
      <c r="D191" t="inlineStr">
        <is>
          <t>VÄSTERBOTTENS LÄN</t>
        </is>
      </c>
      <c r="E191" t="inlineStr">
        <is>
          <t>NORDMALING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6974-2024</t>
        </is>
      </c>
      <c r="B192" s="1" t="n">
        <v>45343</v>
      </c>
      <c r="C192" s="1" t="n">
        <v>46158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Kommuner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7700-2024</t>
        </is>
      </c>
      <c r="B193" s="1" t="n">
        <v>45349</v>
      </c>
      <c r="C193" s="1" t="n">
        <v>46158</v>
      </c>
      <c r="D193" t="inlineStr">
        <is>
          <t>VÄSTERBOTTENS LÄN</t>
        </is>
      </c>
      <c r="E193" t="inlineStr">
        <is>
          <t>NORDMALING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32312-2025</t>
        </is>
      </c>
      <c r="B194" s="1" t="n">
        <v>45835.83712962963</v>
      </c>
      <c r="C194" s="1" t="n">
        <v>46158</v>
      </c>
      <c r="D194" t="inlineStr">
        <is>
          <t>VÄSTERBOTTENS LÄN</t>
        </is>
      </c>
      <c r="E194" t="inlineStr">
        <is>
          <t>NORDMALING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41364-2025</t>
        </is>
      </c>
      <c r="B195" s="1" t="n">
        <v>45900.49313657408</v>
      </c>
      <c r="C195" s="1" t="n">
        <v>46158</v>
      </c>
      <c r="D195" t="inlineStr">
        <is>
          <t>VÄSTERBOTTENS LÄN</t>
        </is>
      </c>
      <c r="E195" t="inlineStr">
        <is>
          <t>NORDMALING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41820-2025</t>
        </is>
      </c>
      <c r="B196" s="1" t="n">
        <v>45902.66180555556</v>
      </c>
      <c r="C196" s="1" t="n">
        <v>46158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Holmen skog AB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28308-2025</t>
        </is>
      </c>
      <c r="B197" s="1" t="n">
        <v>45818.61790509259</v>
      </c>
      <c r="C197" s="1" t="n">
        <v>46158</v>
      </c>
      <c r="D197" t="inlineStr">
        <is>
          <t>VÄSTERBOTTENS LÄN</t>
        </is>
      </c>
      <c r="E197" t="inlineStr">
        <is>
          <t>NORDMALING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11053-2023</t>
        </is>
      </c>
      <c r="B198" s="1" t="n">
        <v>44991</v>
      </c>
      <c r="C198" s="1" t="n">
        <v>46158</v>
      </c>
      <c r="D198" t="inlineStr">
        <is>
          <t>VÄSTERBOTTENS LÄN</t>
        </is>
      </c>
      <c r="E198" t="inlineStr">
        <is>
          <t>NORDMALING</t>
        </is>
      </c>
      <c r="F198" t="inlineStr">
        <is>
          <t>SCA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501-2026</t>
        </is>
      </c>
      <c r="B199" s="1" t="n">
        <v>46029.43572916667</v>
      </c>
      <c r="C199" s="1" t="n">
        <v>46158</v>
      </c>
      <c r="D199" t="inlineStr">
        <is>
          <t>VÄSTERBOTTENS LÄN</t>
        </is>
      </c>
      <c r="E199" t="inlineStr">
        <is>
          <t>NORDMALING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42054-2025</t>
        </is>
      </c>
      <c r="B200" s="1" t="n">
        <v>45903</v>
      </c>
      <c r="C200" s="1" t="n">
        <v>46158</v>
      </c>
      <c r="D200" t="inlineStr">
        <is>
          <t>VÄSTERBOTTENS LÄN</t>
        </is>
      </c>
      <c r="E200" t="inlineStr">
        <is>
          <t>NORDMALING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41983-2025</t>
        </is>
      </c>
      <c r="B201" s="1" t="n">
        <v>45903.53185185185</v>
      </c>
      <c r="C201" s="1" t="n">
        <v>46158</v>
      </c>
      <c r="D201" t="inlineStr">
        <is>
          <t>VÄSTERBOTTENS LÄN</t>
        </is>
      </c>
      <c r="E201" t="inlineStr">
        <is>
          <t>NORDMALING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511-2026</t>
        </is>
      </c>
      <c r="B202" s="1" t="n">
        <v>46029.44138888889</v>
      </c>
      <c r="C202" s="1" t="n">
        <v>46158</v>
      </c>
      <c r="D202" t="inlineStr">
        <is>
          <t>VÄSTERBOTTENS LÄN</t>
        </is>
      </c>
      <c r="E202" t="inlineStr">
        <is>
          <t>NORDMALING</t>
        </is>
      </c>
      <c r="G202" t="n">
        <v>8.9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42774-2025</t>
        </is>
      </c>
      <c r="B203" s="1" t="n">
        <v>45908</v>
      </c>
      <c r="C203" s="1" t="n">
        <v>46158</v>
      </c>
      <c r="D203" t="inlineStr">
        <is>
          <t>VÄSTERBOTTENS LÄN</t>
        </is>
      </c>
      <c r="E203" t="inlineStr">
        <is>
          <t>NORDMALING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28818-2025</t>
        </is>
      </c>
      <c r="B204" s="1" t="n">
        <v>45820.53545138889</v>
      </c>
      <c r="C204" s="1" t="n">
        <v>46158</v>
      </c>
      <c r="D204" t="inlineStr">
        <is>
          <t>VÄSTERBOTTENS LÄN</t>
        </is>
      </c>
      <c r="E204" t="inlineStr">
        <is>
          <t>NORDMALING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43783-2024</t>
        </is>
      </c>
      <c r="B205" s="1" t="n">
        <v>45570</v>
      </c>
      <c r="C205" s="1" t="n">
        <v>46158</v>
      </c>
      <c r="D205" t="inlineStr">
        <is>
          <t>VÄSTERBOTTENS LÄN</t>
        </is>
      </c>
      <c r="E205" t="inlineStr">
        <is>
          <t>NORDMALING</t>
        </is>
      </c>
      <c r="F205" t="inlineStr">
        <is>
          <t>SCA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42660-2025</t>
        </is>
      </c>
      <c r="B206" s="1" t="n">
        <v>45907.58118055556</v>
      </c>
      <c r="C206" s="1" t="n">
        <v>46158</v>
      </c>
      <c r="D206" t="inlineStr">
        <is>
          <t>VÄSTERBOTTENS LÄN</t>
        </is>
      </c>
      <c r="E206" t="inlineStr">
        <is>
          <t>NORDMALING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1373-2026</t>
        </is>
      </c>
      <c r="B207" s="1" t="n">
        <v>46031</v>
      </c>
      <c r="C207" s="1" t="n">
        <v>46158</v>
      </c>
      <c r="D207" t="inlineStr">
        <is>
          <t>VÄSTERBOTTENS LÄN</t>
        </is>
      </c>
      <c r="E207" t="inlineStr">
        <is>
          <t>NORDMALING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1429-2026</t>
        </is>
      </c>
      <c r="B208" s="1" t="n">
        <v>46032.39072916667</v>
      </c>
      <c r="C208" s="1" t="n">
        <v>46158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Holmen skog AB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8173-2022</t>
        </is>
      </c>
      <c r="B209" s="1" t="n">
        <v>44609.64921296296</v>
      </c>
      <c r="C209" s="1" t="n">
        <v>46158</v>
      </c>
      <c r="D209" t="inlineStr">
        <is>
          <t>VÄSTERBOTTENS LÄN</t>
        </is>
      </c>
      <c r="E209" t="inlineStr">
        <is>
          <t>NORDMALING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59913-2022</t>
        </is>
      </c>
      <c r="B210" s="1" t="n">
        <v>44908.95995370371</v>
      </c>
      <c r="C210" s="1" t="n">
        <v>46158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SCA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43218-2025</t>
        </is>
      </c>
      <c r="B211" s="1" t="n">
        <v>45910.47071759259</v>
      </c>
      <c r="C211" s="1" t="n">
        <v>46158</v>
      </c>
      <c r="D211" t="inlineStr">
        <is>
          <t>VÄSTERBOTTENS LÄN</t>
        </is>
      </c>
      <c r="E211" t="inlineStr">
        <is>
          <t>NORDMALING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43538-2025</t>
        </is>
      </c>
      <c r="B212" s="1" t="n">
        <v>45911.60041666667</v>
      </c>
      <c r="C212" s="1" t="n">
        <v>46158</v>
      </c>
      <c r="D212" t="inlineStr">
        <is>
          <t>VÄSTERBOTTENS LÄN</t>
        </is>
      </c>
      <c r="E212" t="inlineStr">
        <is>
          <t>NORDMALING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54138-2023</t>
        </is>
      </c>
      <c r="B213" s="1" t="n">
        <v>45232</v>
      </c>
      <c r="C213" s="1" t="n">
        <v>46158</v>
      </c>
      <c r="D213" t="inlineStr">
        <is>
          <t>VÄSTERBOTTENS LÄN</t>
        </is>
      </c>
      <c r="E213" t="inlineStr">
        <is>
          <t>NORDMALING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41606-2024</t>
        </is>
      </c>
      <c r="B214" s="1" t="n">
        <v>45560.58483796296</v>
      </c>
      <c r="C214" s="1" t="n">
        <v>46158</v>
      </c>
      <c r="D214" t="inlineStr">
        <is>
          <t>VÄSTERBOTTENS LÄN</t>
        </is>
      </c>
      <c r="E214" t="inlineStr">
        <is>
          <t>NORDMALING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2723-2026</t>
        </is>
      </c>
      <c r="B215" s="1" t="n">
        <v>46037</v>
      </c>
      <c r="C215" s="1" t="n">
        <v>46158</v>
      </c>
      <c r="D215" t="inlineStr">
        <is>
          <t>VÄSTERBOTTENS LÄN</t>
        </is>
      </c>
      <c r="E215" t="inlineStr">
        <is>
          <t>NORDMALING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2724-2026</t>
        </is>
      </c>
      <c r="B216" s="1" t="n">
        <v>46037.81715277778</v>
      </c>
      <c r="C216" s="1" t="n">
        <v>46158</v>
      </c>
      <c r="D216" t="inlineStr">
        <is>
          <t>VÄSTERBOTTENS LÄN</t>
        </is>
      </c>
      <c r="E216" t="inlineStr">
        <is>
          <t>NORDMALING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2955-2026</t>
        </is>
      </c>
      <c r="B217" s="1" t="n">
        <v>46038.60483796296</v>
      </c>
      <c r="C217" s="1" t="n">
        <v>46158</v>
      </c>
      <c r="D217" t="inlineStr">
        <is>
          <t>VÄSTERBOTTENS LÄN</t>
        </is>
      </c>
      <c r="E217" t="inlineStr">
        <is>
          <t>NORDMALING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2727-2026</t>
        </is>
      </c>
      <c r="B218" s="1" t="n">
        <v>46037.8174537037</v>
      </c>
      <c r="C218" s="1" t="n">
        <v>46158</v>
      </c>
      <c r="D218" t="inlineStr">
        <is>
          <t>VÄSTERBOTTENS LÄN</t>
        </is>
      </c>
      <c r="E218" t="inlineStr">
        <is>
          <t>NORDMALING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2947-2026</t>
        </is>
      </c>
      <c r="B219" s="1" t="n">
        <v>46038.59554398148</v>
      </c>
      <c r="C219" s="1" t="n">
        <v>46158</v>
      </c>
      <c r="D219" t="inlineStr">
        <is>
          <t>VÄSTERBOTTENS LÄN</t>
        </is>
      </c>
      <c r="E219" t="inlineStr">
        <is>
          <t>NORDMALING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2725-2026</t>
        </is>
      </c>
      <c r="B220" s="1" t="n">
        <v>46037.8172337963</v>
      </c>
      <c r="C220" s="1" t="n">
        <v>46158</v>
      </c>
      <c r="D220" t="inlineStr">
        <is>
          <t>VÄSTERBOTTENS LÄN</t>
        </is>
      </c>
      <c r="E220" t="inlineStr">
        <is>
          <t>NORDMALING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2726-2026</t>
        </is>
      </c>
      <c r="B221" s="1" t="n">
        <v>46037.81732638889</v>
      </c>
      <c r="C221" s="1" t="n">
        <v>46158</v>
      </c>
      <c r="D221" t="inlineStr">
        <is>
          <t>VÄSTERBOTTENS LÄN</t>
        </is>
      </c>
      <c r="E221" t="inlineStr">
        <is>
          <t>NORDMALING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29576-2025</t>
        </is>
      </c>
      <c r="B222" s="1" t="n">
        <v>45825.37471064815</v>
      </c>
      <c r="C222" s="1" t="n">
        <v>46158</v>
      </c>
      <c r="D222" t="inlineStr">
        <is>
          <t>VÄSTERBOTTENS LÄN</t>
        </is>
      </c>
      <c r="E222" t="inlineStr">
        <is>
          <t>NORDMALING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43940-2025</t>
        </is>
      </c>
      <c r="B223" s="1" t="n">
        <v>45912</v>
      </c>
      <c r="C223" s="1" t="n">
        <v>46158</v>
      </c>
      <c r="D223" t="inlineStr">
        <is>
          <t>VÄSTERBOTTENS LÄN</t>
        </is>
      </c>
      <c r="E223" t="inlineStr">
        <is>
          <t>NORDMALING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3494-2026</t>
        </is>
      </c>
      <c r="B224" s="1" t="n">
        <v>46042.57334490741</v>
      </c>
      <c r="C224" s="1" t="n">
        <v>46158</v>
      </c>
      <c r="D224" t="inlineStr">
        <is>
          <t>VÄSTERBOTTENS LÄN</t>
        </is>
      </c>
      <c r="E224" t="inlineStr">
        <is>
          <t>NORDMALING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43374-2025</t>
        </is>
      </c>
      <c r="B225" s="1" t="n">
        <v>45911.35045138889</v>
      </c>
      <c r="C225" s="1" t="n">
        <v>46158</v>
      </c>
      <c r="D225" t="inlineStr">
        <is>
          <t>VÄSTERBOTTENS LÄN</t>
        </is>
      </c>
      <c r="E225" t="inlineStr">
        <is>
          <t>NORDMALING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3503-2026</t>
        </is>
      </c>
      <c r="B226" s="1" t="n">
        <v>46042.57971064815</v>
      </c>
      <c r="C226" s="1" t="n">
        <v>46158</v>
      </c>
      <c r="D226" t="inlineStr">
        <is>
          <t>VÄSTERBOTTENS LÄN</t>
        </is>
      </c>
      <c r="E226" t="inlineStr">
        <is>
          <t>NORDMALING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3517-2026</t>
        </is>
      </c>
      <c r="B227" s="1" t="n">
        <v>46042.58849537037</v>
      </c>
      <c r="C227" s="1" t="n">
        <v>46158</v>
      </c>
      <c r="D227" t="inlineStr">
        <is>
          <t>VÄSTERBOTTENS LÄN</t>
        </is>
      </c>
      <c r="E227" t="inlineStr">
        <is>
          <t>NORDMALING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3104-2026</t>
        </is>
      </c>
      <c r="B228" s="1" t="n">
        <v>46041.34425925926</v>
      </c>
      <c r="C228" s="1" t="n">
        <v>46158</v>
      </c>
      <c r="D228" t="inlineStr">
        <is>
          <t>VÄSTERBOTTENS LÄN</t>
        </is>
      </c>
      <c r="E228" t="inlineStr">
        <is>
          <t>NORDMALING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29606-2025</t>
        </is>
      </c>
      <c r="B229" s="1" t="n">
        <v>45825</v>
      </c>
      <c r="C229" s="1" t="n">
        <v>46158</v>
      </c>
      <c r="D229" t="inlineStr">
        <is>
          <t>VÄSTERBOTTENS LÄN</t>
        </is>
      </c>
      <c r="E229" t="inlineStr">
        <is>
          <t>NORDMALING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29569-2025</t>
        </is>
      </c>
      <c r="B230" s="1" t="n">
        <v>45825.36783564815</v>
      </c>
      <c r="C230" s="1" t="n">
        <v>46158</v>
      </c>
      <c r="D230" t="inlineStr">
        <is>
          <t>VÄSTERBOTTENS LÄN</t>
        </is>
      </c>
      <c r="E230" t="inlineStr">
        <is>
          <t>NORDMALING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29822-2025</t>
        </is>
      </c>
      <c r="B231" s="1" t="n">
        <v>45825.85033564815</v>
      </c>
      <c r="C231" s="1" t="n">
        <v>46158</v>
      </c>
      <c r="D231" t="inlineStr">
        <is>
          <t>VÄSTERBOTTENS LÄN</t>
        </is>
      </c>
      <c r="E231" t="inlineStr">
        <is>
          <t>NORDMALING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44212-2025</t>
        </is>
      </c>
      <c r="B232" s="1" t="n">
        <v>45912</v>
      </c>
      <c r="C232" s="1" t="n">
        <v>46158</v>
      </c>
      <c r="D232" t="inlineStr">
        <is>
          <t>VÄSTERBOTTENS LÄN</t>
        </is>
      </c>
      <c r="E232" t="inlineStr">
        <is>
          <t>NORDMALING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29573-2025</t>
        </is>
      </c>
      <c r="B233" s="1" t="n">
        <v>45825.37140046297</v>
      </c>
      <c r="C233" s="1" t="n">
        <v>46158</v>
      </c>
      <c r="D233" t="inlineStr">
        <is>
          <t>VÄSTERBOTTENS LÄN</t>
        </is>
      </c>
      <c r="E233" t="inlineStr">
        <is>
          <t>NORDMALING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29579-2025</t>
        </is>
      </c>
      <c r="B234" s="1" t="n">
        <v>45825.37862268519</v>
      </c>
      <c r="C234" s="1" t="n">
        <v>46158</v>
      </c>
      <c r="D234" t="inlineStr">
        <is>
          <t>VÄSTERBOTTENS LÄN</t>
        </is>
      </c>
      <c r="E234" t="inlineStr">
        <is>
          <t>NORDMALING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47070-2024</t>
        </is>
      </c>
      <c r="B235" s="1" t="n">
        <v>45586.48637731482</v>
      </c>
      <c r="C235" s="1" t="n">
        <v>46158</v>
      </c>
      <c r="D235" t="inlineStr">
        <is>
          <t>VÄSTERBOTTENS LÄN</t>
        </is>
      </c>
      <c r="E235" t="inlineStr">
        <is>
          <t>NORDMALING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44639-2025</t>
        </is>
      </c>
      <c r="B236" s="1" t="n">
        <v>45917.51179398148</v>
      </c>
      <c r="C236" s="1" t="n">
        <v>46158</v>
      </c>
      <c r="D236" t="inlineStr">
        <is>
          <t>VÄSTERBOTTENS LÄN</t>
        </is>
      </c>
      <c r="E236" t="inlineStr">
        <is>
          <t>NORDMALING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44636-2025</t>
        </is>
      </c>
      <c r="B237" s="1" t="n">
        <v>45917.50638888889</v>
      </c>
      <c r="C237" s="1" t="n">
        <v>46158</v>
      </c>
      <c r="D237" t="inlineStr">
        <is>
          <t>VÄSTERBOTTENS LÄN</t>
        </is>
      </c>
      <c r="E237" t="inlineStr">
        <is>
          <t>NORDMALING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30824-2025</t>
        </is>
      </c>
      <c r="B238" s="1" t="n">
        <v>45831.6749537037</v>
      </c>
      <c r="C238" s="1" t="n">
        <v>46158</v>
      </c>
      <c r="D238" t="inlineStr">
        <is>
          <t>VÄSTERBOTTENS LÄN</t>
        </is>
      </c>
      <c r="E238" t="inlineStr">
        <is>
          <t>NORDMALING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44772-2025</t>
        </is>
      </c>
      <c r="B239" s="1" t="n">
        <v>45917.81572916666</v>
      </c>
      <c r="C239" s="1" t="n">
        <v>46158</v>
      </c>
      <c r="D239" t="inlineStr">
        <is>
          <t>VÄSTERBOTTENS LÄN</t>
        </is>
      </c>
      <c r="E239" t="inlineStr">
        <is>
          <t>NORDMALING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44773-2025</t>
        </is>
      </c>
      <c r="B240" s="1" t="n">
        <v>45917.82435185185</v>
      </c>
      <c r="C240" s="1" t="n">
        <v>46158</v>
      </c>
      <c r="D240" t="inlineStr">
        <is>
          <t>VÄSTERBOTTENS LÄN</t>
        </is>
      </c>
      <c r="E240" t="inlineStr">
        <is>
          <t>NORDMALING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54784-2021</t>
        </is>
      </c>
      <c r="B241" s="1" t="n">
        <v>44473.94143518519</v>
      </c>
      <c r="C241" s="1" t="n">
        <v>46158</v>
      </c>
      <c r="D241" t="inlineStr">
        <is>
          <t>VÄSTERBOTTENS LÄN</t>
        </is>
      </c>
      <c r="E241" t="inlineStr">
        <is>
          <t>NORDMALING</t>
        </is>
      </c>
      <c r="F241" t="inlineStr">
        <is>
          <t>SCA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44774-2025</t>
        </is>
      </c>
      <c r="B242" s="1" t="n">
        <v>45917.83175925926</v>
      </c>
      <c r="C242" s="1" t="n">
        <v>46158</v>
      </c>
      <c r="D242" t="inlineStr">
        <is>
          <t>VÄSTERBOTTENS LÄN</t>
        </is>
      </c>
      <c r="E242" t="inlineStr">
        <is>
          <t>NORDMALING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3858-2026</t>
        </is>
      </c>
      <c r="B243" s="1" t="n">
        <v>46043.61787037037</v>
      </c>
      <c r="C243" s="1" t="n">
        <v>46158</v>
      </c>
      <c r="D243" t="inlineStr">
        <is>
          <t>VÄSTERBOTTENS LÄN</t>
        </is>
      </c>
      <c r="E243" t="inlineStr">
        <is>
          <t>NORDMALING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3724-2026</t>
        </is>
      </c>
      <c r="B244" s="1" t="n">
        <v>46043</v>
      </c>
      <c r="C244" s="1" t="n">
        <v>46158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45528-2025</t>
        </is>
      </c>
      <c r="B245" s="1" t="n">
        <v>45922.59987268518</v>
      </c>
      <c r="C245" s="1" t="n">
        <v>46158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31251-2025</t>
        </is>
      </c>
      <c r="B246" s="1" t="n">
        <v>45832.98082175926</v>
      </c>
      <c r="C246" s="1" t="n">
        <v>46158</v>
      </c>
      <c r="D246" t="inlineStr">
        <is>
          <t>VÄSTERBOTTENS LÄN</t>
        </is>
      </c>
      <c r="E246" t="inlineStr">
        <is>
          <t>NORDMALING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59389-2022</t>
        </is>
      </c>
      <c r="B247" s="1" t="n">
        <v>44905</v>
      </c>
      <c r="C247" s="1" t="n">
        <v>46158</v>
      </c>
      <c r="D247" t="inlineStr">
        <is>
          <t>VÄSTERBOTTENS LÄN</t>
        </is>
      </c>
      <c r="E247" t="inlineStr">
        <is>
          <t>NORDMALING</t>
        </is>
      </c>
      <c r="F247" t="inlineStr">
        <is>
          <t>SCA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45172-2025</t>
        </is>
      </c>
      <c r="B248" s="1" t="n">
        <v>45919.5108912037</v>
      </c>
      <c r="C248" s="1" t="n">
        <v>46158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SCA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45326-2025</t>
        </is>
      </c>
      <c r="B249" s="1" t="n">
        <v>45922.32254629629</v>
      </c>
      <c r="C249" s="1" t="n">
        <v>46158</v>
      </c>
      <c r="D249" t="inlineStr">
        <is>
          <t>VÄSTERBOTTENS LÄN</t>
        </is>
      </c>
      <c r="E249" t="inlineStr">
        <is>
          <t>NORDMALING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45675-2025</t>
        </is>
      </c>
      <c r="B250" s="1" t="n">
        <v>45923.36356481481</v>
      </c>
      <c r="C250" s="1" t="n">
        <v>46158</v>
      </c>
      <c r="D250" t="inlineStr">
        <is>
          <t>VÄSTERBOTTENS LÄN</t>
        </is>
      </c>
      <c r="E250" t="inlineStr">
        <is>
          <t>NORDMALING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7251-2024</t>
        </is>
      </c>
      <c r="B251" s="1" t="n">
        <v>45344</v>
      </c>
      <c r="C251" s="1" t="n">
        <v>46158</v>
      </c>
      <c r="D251" t="inlineStr">
        <is>
          <t>VÄSTERBOTTENS LÄN</t>
        </is>
      </c>
      <c r="E251" t="inlineStr">
        <is>
          <t>NORDMALING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3931-2026</t>
        </is>
      </c>
      <c r="B252" s="1" t="n">
        <v>46043.78642361111</v>
      </c>
      <c r="C252" s="1" t="n">
        <v>46158</v>
      </c>
      <c r="D252" t="inlineStr">
        <is>
          <t>VÄSTERBOTTENS LÄN</t>
        </is>
      </c>
      <c r="E252" t="inlineStr">
        <is>
          <t>NORDMALING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8641-2023</t>
        </is>
      </c>
      <c r="B253" s="1" t="n">
        <v>44977.98305555555</v>
      </c>
      <c r="C253" s="1" t="n">
        <v>46158</v>
      </c>
      <c r="D253" t="inlineStr">
        <is>
          <t>VÄSTERBOTTENS LÄN</t>
        </is>
      </c>
      <c r="E253" t="inlineStr">
        <is>
          <t>NORDMALING</t>
        </is>
      </c>
      <c r="F253" t="inlineStr">
        <is>
          <t>SCA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32575-2025</t>
        </is>
      </c>
      <c r="B254" s="1" t="n">
        <v>45838.585625</v>
      </c>
      <c r="C254" s="1" t="n">
        <v>46158</v>
      </c>
      <c r="D254" t="inlineStr">
        <is>
          <t>VÄSTERBOTTENS LÄN</t>
        </is>
      </c>
      <c r="E254" t="inlineStr">
        <is>
          <t>NORDMALING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34894-2023</t>
        </is>
      </c>
      <c r="B255" s="1" t="n">
        <v>45141</v>
      </c>
      <c r="C255" s="1" t="n">
        <v>46158</v>
      </c>
      <c r="D255" t="inlineStr">
        <is>
          <t>VÄSTERBOTTENS LÄN</t>
        </is>
      </c>
      <c r="E255" t="inlineStr">
        <is>
          <t>NORDMALING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31966-2025</t>
        </is>
      </c>
      <c r="B256" s="1" t="n">
        <v>45835.34629629629</v>
      </c>
      <c r="C256" s="1" t="n">
        <v>46158</v>
      </c>
      <c r="D256" t="inlineStr">
        <is>
          <t>VÄSTERBOTTENS LÄN</t>
        </is>
      </c>
      <c r="E256" t="inlineStr">
        <is>
          <t>NORDMALING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45676-2025</t>
        </is>
      </c>
      <c r="B257" s="1" t="n">
        <v>45923.36495370371</v>
      </c>
      <c r="C257" s="1" t="n">
        <v>46158</v>
      </c>
      <c r="D257" t="inlineStr">
        <is>
          <t>VÄSTERBOTTENS LÄN</t>
        </is>
      </c>
      <c r="E257" t="inlineStr">
        <is>
          <t>NORDMALING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45678-2025</t>
        </is>
      </c>
      <c r="B258" s="1" t="n">
        <v>45923.36631944445</v>
      </c>
      <c r="C258" s="1" t="n">
        <v>46158</v>
      </c>
      <c r="D258" t="inlineStr">
        <is>
          <t>VÄSTERBOTTENS LÄN</t>
        </is>
      </c>
      <c r="E258" t="inlineStr">
        <is>
          <t>NORDMALING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4898-2026</t>
        </is>
      </c>
      <c r="B259" s="1" t="n">
        <v>46048.67756944444</v>
      </c>
      <c r="C259" s="1" t="n">
        <v>46158</v>
      </c>
      <c r="D259" t="inlineStr">
        <is>
          <t>VÄSTERBOTTENS LÄN</t>
        </is>
      </c>
      <c r="E259" t="inlineStr">
        <is>
          <t>NORDMALING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4332-2026</t>
        </is>
      </c>
      <c r="B260" s="1" t="n">
        <v>46045.48094907407</v>
      </c>
      <c r="C260" s="1" t="n">
        <v>46158</v>
      </c>
      <c r="D260" t="inlineStr">
        <is>
          <t>VÄSTERBOTTENS LÄN</t>
        </is>
      </c>
      <c r="E260" t="inlineStr">
        <is>
          <t>NORDMALING</t>
        </is>
      </c>
      <c r="G260" t="n">
        <v>22.4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4608-2026</t>
        </is>
      </c>
      <c r="B261" s="1" t="n">
        <v>46048.35949074074</v>
      </c>
      <c r="C261" s="1" t="n">
        <v>46158</v>
      </c>
      <c r="D261" t="inlineStr">
        <is>
          <t>VÄSTERBOTTENS LÄN</t>
        </is>
      </c>
      <c r="E261" t="inlineStr">
        <is>
          <t>NORDMALING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4602-2026</t>
        </is>
      </c>
      <c r="B262" s="1" t="n">
        <v>46048.35572916667</v>
      </c>
      <c r="C262" s="1" t="n">
        <v>46158</v>
      </c>
      <c r="D262" t="inlineStr">
        <is>
          <t>VÄSTERBOTTENS LÄN</t>
        </is>
      </c>
      <c r="E262" t="inlineStr">
        <is>
          <t>NORDMALING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46593-2025</t>
        </is>
      </c>
      <c r="B263" s="1" t="n">
        <v>45926.39694444444</v>
      </c>
      <c r="C263" s="1" t="n">
        <v>46158</v>
      </c>
      <c r="D263" t="inlineStr">
        <is>
          <t>VÄSTERBOTTENS LÄN</t>
        </is>
      </c>
      <c r="E263" t="inlineStr">
        <is>
          <t>NORDMALING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32313-2025</t>
        </is>
      </c>
      <c r="B264" s="1" t="n">
        <v>45835.86921296296</v>
      </c>
      <c r="C264" s="1" t="n">
        <v>46158</v>
      </c>
      <c r="D264" t="inlineStr">
        <is>
          <t>VÄSTERBOTTENS LÄN</t>
        </is>
      </c>
      <c r="E264" t="inlineStr">
        <is>
          <t>NORDMALING</t>
        </is>
      </c>
      <c r="G264" t="n">
        <v>13.8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32316-2025</t>
        </is>
      </c>
      <c r="B265" s="1" t="n">
        <v>45835.88451388889</v>
      </c>
      <c r="C265" s="1" t="n">
        <v>46158</v>
      </c>
      <c r="D265" t="inlineStr">
        <is>
          <t>VÄSTERBOTTENS LÄN</t>
        </is>
      </c>
      <c r="E265" t="inlineStr">
        <is>
          <t>NORDMALING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5014-2026</t>
        </is>
      </c>
      <c r="B266" s="1" t="n">
        <v>46049.43175925926</v>
      </c>
      <c r="C266" s="1" t="n">
        <v>46158</v>
      </c>
      <c r="D266" t="inlineStr">
        <is>
          <t>VÄSTERBOTTENS LÄN</t>
        </is>
      </c>
      <c r="E266" t="inlineStr">
        <is>
          <t>NORDMALING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5495-2026</t>
        </is>
      </c>
      <c r="B267" s="1" t="n">
        <v>46050.61736111111</v>
      </c>
      <c r="C267" s="1" t="n">
        <v>46158</v>
      </c>
      <c r="D267" t="inlineStr">
        <is>
          <t>VÄSTERBOTTENS LÄN</t>
        </is>
      </c>
      <c r="E267" t="inlineStr">
        <is>
          <t>NORDMALING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5507-2026</t>
        </is>
      </c>
      <c r="B268" s="1" t="n">
        <v>46050.62748842593</v>
      </c>
      <c r="C268" s="1" t="n">
        <v>46158</v>
      </c>
      <c r="D268" t="inlineStr">
        <is>
          <t>VÄSTERBOTTENS LÄN</t>
        </is>
      </c>
      <c r="E268" t="inlineStr">
        <is>
          <t>NORDMALING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5544-2026</t>
        </is>
      </c>
      <c r="B269" s="1" t="n">
        <v>46050.68443287037</v>
      </c>
      <c r="C269" s="1" t="n">
        <v>46158</v>
      </c>
      <c r="D269" t="inlineStr">
        <is>
          <t>VÄSTERBOTTENS LÄN</t>
        </is>
      </c>
      <c r="E269" t="inlineStr">
        <is>
          <t>NORDMALING</t>
        </is>
      </c>
      <c r="G269" t="n">
        <v>16.1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5517-2026</t>
        </is>
      </c>
      <c r="B270" s="1" t="n">
        <v>46050.6424537037</v>
      </c>
      <c r="C270" s="1" t="n">
        <v>46158</v>
      </c>
      <c r="D270" t="inlineStr">
        <is>
          <t>VÄSTERBOTTENS LÄN</t>
        </is>
      </c>
      <c r="E270" t="inlineStr">
        <is>
          <t>NORDMALING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32315-2025</t>
        </is>
      </c>
      <c r="B271" s="1" t="n">
        <v>45835.878125</v>
      </c>
      <c r="C271" s="1" t="n">
        <v>46158</v>
      </c>
      <c r="D271" t="inlineStr">
        <is>
          <t>VÄSTERBOTTENS LÄN</t>
        </is>
      </c>
      <c r="E271" t="inlineStr">
        <is>
          <t>NORDMALING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33216-2025</t>
        </is>
      </c>
      <c r="B272" s="1" t="n">
        <v>45840.63201388889</v>
      </c>
      <c r="C272" s="1" t="n">
        <v>46158</v>
      </c>
      <c r="D272" t="inlineStr">
        <is>
          <t>VÄSTERBOTTENS LÄN</t>
        </is>
      </c>
      <c r="E272" t="inlineStr">
        <is>
          <t>NORDMALING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29547-2022</t>
        </is>
      </c>
      <c r="B273" s="1" t="n">
        <v>44753.94399305555</v>
      </c>
      <c r="C273" s="1" t="n">
        <v>46158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5483-2026</t>
        </is>
      </c>
      <c r="B274" s="1" t="n">
        <v>46050.60630787037</v>
      </c>
      <c r="C274" s="1" t="n">
        <v>46158</v>
      </c>
      <c r="D274" t="inlineStr">
        <is>
          <t>VÄSTERBOTTENS LÄN</t>
        </is>
      </c>
      <c r="E274" t="inlineStr">
        <is>
          <t>NORDMALING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46548-2025</t>
        </is>
      </c>
      <c r="B275" s="1" t="n">
        <v>45926.34539351852</v>
      </c>
      <c r="C275" s="1" t="n">
        <v>46158</v>
      </c>
      <c r="D275" t="inlineStr">
        <is>
          <t>VÄSTERBOTTENS LÄN</t>
        </is>
      </c>
      <c r="E275" t="inlineStr">
        <is>
          <t>NORDMALING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47046-2025</t>
        </is>
      </c>
      <c r="B276" s="1" t="n">
        <v>45929.6050925926</v>
      </c>
      <c r="C276" s="1" t="n">
        <v>46158</v>
      </c>
      <c r="D276" t="inlineStr">
        <is>
          <t>VÄSTERBOTTENS LÄN</t>
        </is>
      </c>
      <c r="E276" t="inlineStr">
        <is>
          <t>NORDMALING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6045-2026</t>
        </is>
      </c>
      <c r="B277" s="1" t="n">
        <v>46052.62574074074</v>
      </c>
      <c r="C277" s="1" t="n">
        <v>46158</v>
      </c>
      <c r="D277" t="inlineStr">
        <is>
          <t>VÄSTERBOTTENS LÄN</t>
        </is>
      </c>
      <c r="E277" t="inlineStr">
        <is>
          <t>NORDMALING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19300-2023</t>
        </is>
      </c>
      <c r="B278" s="1" t="n">
        <v>45049</v>
      </c>
      <c r="C278" s="1" t="n">
        <v>46158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Kyrkan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33213-2025</t>
        </is>
      </c>
      <c r="B279" s="1" t="n">
        <v>45840.62851851852</v>
      </c>
      <c r="C279" s="1" t="n">
        <v>46158</v>
      </c>
      <c r="D279" t="inlineStr">
        <is>
          <t>VÄSTERBOTTENS LÄN</t>
        </is>
      </c>
      <c r="E279" t="inlineStr">
        <is>
          <t>NORDMALING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33227-2025</t>
        </is>
      </c>
      <c r="B280" s="1" t="n">
        <v>45840.63763888889</v>
      </c>
      <c r="C280" s="1" t="n">
        <v>46158</v>
      </c>
      <c r="D280" t="inlineStr">
        <is>
          <t>VÄSTERBOTTENS LÄN</t>
        </is>
      </c>
      <c r="E280" t="inlineStr">
        <is>
          <t>NORDMALING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46877-2025</t>
        </is>
      </c>
      <c r="B281" s="1" t="n">
        <v>45929.34471064815</v>
      </c>
      <c r="C281" s="1" t="n">
        <v>46158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46876-2025</t>
        </is>
      </c>
      <c r="B282" s="1" t="n">
        <v>45929.34462962963</v>
      </c>
      <c r="C282" s="1" t="n">
        <v>46158</v>
      </c>
      <c r="D282" t="inlineStr">
        <is>
          <t>VÄSTERBOTTENS LÄN</t>
        </is>
      </c>
      <c r="E282" t="inlineStr">
        <is>
          <t>NORDMALING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43602-2024</t>
        </is>
      </c>
      <c r="B283" s="1" t="n">
        <v>45569.44695601852</v>
      </c>
      <c r="C283" s="1" t="n">
        <v>46158</v>
      </c>
      <c r="D283" t="inlineStr">
        <is>
          <t>VÄSTERBOTTENS LÄN</t>
        </is>
      </c>
      <c r="E283" t="inlineStr">
        <is>
          <t>NORDMALING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47015-2025</t>
        </is>
      </c>
      <c r="B284" s="1" t="n">
        <v>45929.57420138889</v>
      </c>
      <c r="C284" s="1" t="n">
        <v>46158</v>
      </c>
      <c r="D284" t="inlineStr">
        <is>
          <t>VÄSTERBOTTENS LÄN</t>
        </is>
      </c>
      <c r="E284" t="inlineStr">
        <is>
          <t>NORDMALING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24010-2022</t>
        </is>
      </c>
      <c r="B285" s="1" t="n">
        <v>44722.94122685185</v>
      </c>
      <c r="C285" s="1" t="n">
        <v>46158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5664-2026</t>
        </is>
      </c>
      <c r="B286" s="1" t="n">
        <v>46051.46328703704</v>
      </c>
      <c r="C286" s="1" t="n">
        <v>46158</v>
      </c>
      <c r="D286" t="inlineStr">
        <is>
          <t>VÄSTERBOTTENS LÄN</t>
        </is>
      </c>
      <c r="E286" t="inlineStr">
        <is>
          <t>NORDMALING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46878-2025</t>
        </is>
      </c>
      <c r="B287" s="1" t="n">
        <v>45929.34473379629</v>
      </c>
      <c r="C287" s="1" t="n">
        <v>46158</v>
      </c>
      <c r="D287" t="inlineStr">
        <is>
          <t>VÄSTERBOTTENS LÄN</t>
        </is>
      </c>
      <c r="E287" t="inlineStr">
        <is>
          <t>NORDMALING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33220-2025</t>
        </is>
      </c>
      <c r="B288" s="1" t="n">
        <v>45840.63465277778</v>
      </c>
      <c r="C288" s="1" t="n">
        <v>46158</v>
      </c>
      <c r="D288" t="inlineStr">
        <is>
          <t>VÄSTERBOTTENS LÄN</t>
        </is>
      </c>
      <c r="E288" t="inlineStr">
        <is>
          <t>NORDMALING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47191-2025</t>
        </is>
      </c>
      <c r="B289" s="1" t="n">
        <v>45930.34041666667</v>
      </c>
      <c r="C289" s="1" t="n">
        <v>46158</v>
      </c>
      <c r="D289" t="inlineStr">
        <is>
          <t>VÄSTERBOTTENS LÄN</t>
        </is>
      </c>
      <c r="E289" t="inlineStr">
        <is>
          <t>NORDMALING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33599-2025</t>
        </is>
      </c>
      <c r="B290" s="1" t="n">
        <v>45841.60773148148</v>
      </c>
      <c r="C290" s="1" t="n">
        <v>46158</v>
      </c>
      <c r="D290" t="inlineStr">
        <is>
          <t>VÄSTERBOTTENS LÄN</t>
        </is>
      </c>
      <c r="E290" t="inlineStr">
        <is>
          <t>NORDMALING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33938-2025</t>
        </is>
      </c>
      <c r="B291" s="1" t="n">
        <v>45842.63664351852</v>
      </c>
      <c r="C291" s="1" t="n">
        <v>46158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34601-2025</t>
        </is>
      </c>
      <c r="B292" s="1" t="n">
        <v>45846</v>
      </c>
      <c r="C292" s="1" t="n">
        <v>46158</v>
      </c>
      <c r="D292" t="inlineStr">
        <is>
          <t>VÄSTERBOTTENS LÄN</t>
        </is>
      </c>
      <c r="E292" t="inlineStr">
        <is>
          <t>NORDMALING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47834-2025</t>
        </is>
      </c>
      <c r="B293" s="1" t="n">
        <v>45932.36518518518</v>
      </c>
      <c r="C293" s="1" t="n">
        <v>46158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48744-2025</t>
        </is>
      </c>
      <c r="B294" s="1" t="n">
        <v>45936.67855324074</v>
      </c>
      <c r="C294" s="1" t="n">
        <v>46158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6342-2026</t>
        </is>
      </c>
      <c r="B295" s="1" t="n">
        <v>46055.60136574074</v>
      </c>
      <c r="C295" s="1" t="n">
        <v>46158</v>
      </c>
      <c r="D295" t="inlineStr">
        <is>
          <t>VÄSTERBOTTENS LÄN</t>
        </is>
      </c>
      <c r="E295" t="inlineStr">
        <is>
          <t>NORDMALING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48632-2025</t>
        </is>
      </c>
      <c r="B296" s="1" t="n">
        <v>45936.51171296297</v>
      </c>
      <c r="C296" s="1" t="n">
        <v>46158</v>
      </c>
      <c r="D296" t="inlineStr">
        <is>
          <t>VÄSTERBOTTENS LÄN</t>
        </is>
      </c>
      <c r="E296" t="inlineStr">
        <is>
          <t>NORDMALING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6503-2026</t>
        </is>
      </c>
      <c r="B297" s="1" t="n">
        <v>46056.3709837963</v>
      </c>
      <c r="C297" s="1" t="n">
        <v>46158</v>
      </c>
      <c r="D297" t="inlineStr">
        <is>
          <t>VÄSTERBOTTENS LÄN</t>
        </is>
      </c>
      <c r="E297" t="inlineStr">
        <is>
          <t>NORDMALING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49361-2025</t>
        </is>
      </c>
      <c r="B298" s="1" t="n">
        <v>45938.61686342592</v>
      </c>
      <c r="C298" s="1" t="n">
        <v>46158</v>
      </c>
      <c r="D298" t="inlineStr">
        <is>
          <t>VÄSTERBOTTENS LÄN</t>
        </is>
      </c>
      <c r="E298" t="inlineStr">
        <is>
          <t>NORDMALING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38271-2022</t>
        </is>
      </c>
      <c r="B299" s="1" t="n">
        <v>44812</v>
      </c>
      <c r="C299" s="1" t="n">
        <v>46158</v>
      </c>
      <c r="D299" t="inlineStr">
        <is>
          <t>VÄSTERBOTTENS LÄN</t>
        </is>
      </c>
      <c r="E299" t="inlineStr">
        <is>
          <t>NORDMALING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6099-2026</t>
        </is>
      </c>
      <c r="B300" s="1" t="n">
        <v>46052.77422453704</v>
      </c>
      <c r="C300" s="1" t="n">
        <v>46158</v>
      </c>
      <c r="D300" t="inlineStr">
        <is>
          <t>VÄSTERBOTTENS LÄN</t>
        </is>
      </c>
      <c r="E300" t="inlineStr">
        <is>
          <t>NORDMALING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6624-2026</t>
        </is>
      </c>
      <c r="B301" s="1" t="n">
        <v>46056.51085648148</v>
      </c>
      <c r="C301" s="1" t="n">
        <v>46158</v>
      </c>
      <c r="D301" t="inlineStr">
        <is>
          <t>VÄSTERBOTTENS LÄN</t>
        </is>
      </c>
      <c r="E301" t="inlineStr">
        <is>
          <t>NORDMALING</t>
        </is>
      </c>
      <c r="F301" t="inlineStr">
        <is>
          <t>SCA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34804-2025</t>
        </is>
      </c>
      <c r="B302" s="1" t="n">
        <v>45849.31851851852</v>
      </c>
      <c r="C302" s="1" t="n">
        <v>46158</v>
      </c>
      <c r="D302" t="inlineStr">
        <is>
          <t>VÄSTERBOTTENS LÄN</t>
        </is>
      </c>
      <c r="E302" t="inlineStr">
        <is>
          <t>NORDMALING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49360-2025</t>
        </is>
      </c>
      <c r="B303" s="1" t="n">
        <v>45938.61684027778</v>
      </c>
      <c r="C303" s="1" t="n">
        <v>46158</v>
      </c>
      <c r="D303" t="inlineStr">
        <is>
          <t>VÄSTERBOTTENS LÄN</t>
        </is>
      </c>
      <c r="E303" t="inlineStr">
        <is>
          <t>NORDMALING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35057-2025</t>
        </is>
      </c>
      <c r="B304" s="1" t="n">
        <v>45852.40655092592</v>
      </c>
      <c r="C304" s="1" t="n">
        <v>46158</v>
      </c>
      <c r="D304" t="inlineStr">
        <is>
          <t>VÄSTERBOTTENS LÄN</t>
        </is>
      </c>
      <c r="E304" t="inlineStr">
        <is>
          <t>NORDMALING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48999-2025</t>
        </is>
      </c>
      <c r="B305" s="1" t="n">
        <v>45937.59449074074</v>
      </c>
      <c r="C305" s="1" t="n">
        <v>46158</v>
      </c>
      <c r="D305" t="inlineStr">
        <is>
          <t>VÄSTERBOTTENS LÄN</t>
        </is>
      </c>
      <c r="E305" t="inlineStr">
        <is>
          <t>NORDMALING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49280-2025</t>
        </is>
      </c>
      <c r="B306" s="1" t="n">
        <v>45938.51097222222</v>
      </c>
      <c r="C306" s="1" t="n">
        <v>46158</v>
      </c>
      <c r="D306" t="inlineStr">
        <is>
          <t>VÄSTERBOTTENS LÄN</t>
        </is>
      </c>
      <c r="E306" t="inlineStr">
        <is>
          <t>NORDMALING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51746-2021</t>
        </is>
      </c>
      <c r="B307" s="1" t="n">
        <v>44462</v>
      </c>
      <c r="C307" s="1" t="n">
        <v>46158</v>
      </c>
      <c r="D307" t="inlineStr">
        <is>
          <t>VÄSTERBOTTENS LÄN</t>
        </is>
      </c>
      <c r="E307" t="inlineStr">
        <is>
          <t>NORDMALING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31216-2025</t>
        </is>
      </c>
      <c r="B308" s="1" t="n">
        <v>45832.74711805556</v>
      </c>
      <c r="C308" s="1" t="n">
        <v>46158</v>
      </c>
      <c r="D308" t="inlineStr">
        <is>
          <t>VÄSTERBOTTENS LÄN</t>
        </is>
      </c>
      <c r="E308" t="inlineStr">
        <is>
          <t>NORDMALING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17496-2023</t>
        </is>
      </c>
      <c r="B309" s="1" t="n">
        <v>45034</v>
      </c>
      <c r="C309" s="1" t="n">
        <v>46158</v>
      </c>
      <c r="D309" t="inlineStr">
        <is>
          <t>VÄSTERBOTTENS LÄN</t>
        </is>
      </c>
      <c r="E309" t="inlineStr">
        <is>
          <t>NORDMALING</t>
        </is>
      </c>
      <c r="G309" t="n">
        <v>13.1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49849-2025</t>
        </is>
      </c>
      <c r="B310" s="1" t="n">
        <v>45940.48415509259</v>
      </c>
      <c r="C310" s="1" t="n">
        <v>46158</v>
      </c>
      <c r="D310" t="inlineStr">
        <is>
          <t>VÄSTERBOTTENS LÄN</t>
        </is>
      </c>
      <c r="E310" t="inlineStr">
        <is>
          <t>NORDMALING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6508-2026</t>
        </is>
      </c>
      <c r="B311" s="1" t="n">
        <v>46056.38537037037</v>
      </c>
      <c r="C311" s="1" t="n">
        <v>46158</v>
      </c>
      <c r="D311" t="inlineStr">
        <is>
          <t>VÄSTERBOTTENS LÄN</t>
        </is>
      </c>
      <c r="E311" t="inlineStr">
        <is>
          <t>NORDMALING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49847-2025</t>
        </is>
      </c>
      <c r="B312" s="1" t="n">
        <v>45940.48208333334</v>
      </c>
      <c r="C312" s="1" t="n">
        <v>46158</v>
      </c>
      <c r="D312" t="inlineStr">
        <is>
          <t>VÄSTERBOTTENS LÄN</t>
        </is>
      </c>
      <c r="E312" t="inlineStr">
        <is>
          <t>NORDMALING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19230-2023</t>
        </is>
      </c>
      <c r="B313" s="1" t="n">
        <v>45048</v>
      </c>
      <c r="C313" s="1" t="n">
        <v>46158</v>
      </c>
      <c r="D313" t="inlineStr">
        <is>
          <t>VÄSTERBOTTENS LÄN</t>
        </is>
      </c>
      <c r="E313" t="inlineStr">
        <is>
          <t>NORDMALING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34492-2024</t>
        </is>
      </c>
      <c r="B314" s="1" t="n">
        <v>45525.6207175926</v>
      </c>
      <c r="C314" s="1" t="n">
        <v>46158</v>
      </c>
      <c r="D314" t="inlineStr">
        <is>
          <t>VÄSTERBOTTENS LÄN</t>
        </is>
      </c>
      <c r="E314" t="inlineStr">
        <is>
          <t>NORDMALING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59225-2024</t>
        </is>
      </c>
      <c r="B315" s="1" t="n">
        <v>45637.57925925926</v>
      </c>
      <c r="C315" s="1" t="n">
        <v>46158</v>
      </c>
      <c r="D315" t="inlineStr">
        <is>
          <t>VÄSTERBOTTENS LÄN</t>
        </is>
      </c>
      <c r="E315" t="inlineStr">
        <is>
          <t>NORDMALING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35679-2025</t>
        </is>
      </c>
      <c r="B316" s="1" t="n">
        <v>45859.65673611111</v>
      </c>
      <c r="C316" s="1" t="n">
        <v>46158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26927-2024</t>
        </is>
      </c>
      <c r="B317" s="1" t="n">
        <v>45470.93131944445</v>
      </c>
      <c r="C317" s="1" t="n">
        <v>46158</v>
      </c>
      <c r="D317" t="inlineStr">
        <is>
          <t>VÄSTERBOTTENS LÄN</t>
        </is>
      </c>
      <c r="E317" t="inlineStr">
        <is>
          <t>NORDMALING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35600-2025</t>
        </is>
      </c>
      <c r="B318" s="1" t="n">
        <v>45858.86798611111</v>
      </c>
      <c r="C318" s="1" t="n">
        <v>46158</v>
      </c>
      <c r="D318" t="inlineStr">
        <is>
          <t>VÄSTERBOTTENS LÄN</t>
        </is>
      </c>
      <c r="E318" t="inlineStr">
        <is>
          <t>NORDMALING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50386-2025</t>
        </is>
      </c>
      <c r="B319" s="1" t="n">
        <v>45944.61359953704</v>
      </c>
      <c r="C319" s="1" t="n">
        <v>46158</v>
      </c>
      <c r="D319" t="inlineStr">
        <is>
          <t>VÄSTERBOTTENS LÄN</t>
        </is>
      </c>
      <c r="E319" t="inlineStr">
        <is>
          <t>NORDMALING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50396-2025</t>
        </is>
      </c>
      <c r="B320" s="1" t="n">
        <v>45944.61931712963</v>
      </c>
      <c r="C320" s="1" t="n">
        <v>46158</v>
      </c>
      <c r="D320" t="inlineStr">
        <is>
          <t>VÄSTERBOTTENS LÄN</t>
        </is>
      </c>
      <c r="E320" t="inlineStr">
        <is>
          <t>NORDMALING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59488-2024</t>
        </is>
      </c>
      <c r="B321" s="1" t="n">
        <v>45638.53199074074</v>
      </c>
      <c r="C321" s="1" t="n">
        <v>46158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24712-2023</t>
        </is>
      </c>
      <c r="B322" s="1" t="n">
        <v>45075</v>
      </c>
      <c r="C322" s="1" t="n">
        <v>46158</v>
      </c>
      <c r="D322" t="inlineStr">
        <is>
          <t>VÄSTERBOTTENS LÄN</t>
        </is>
      </c>
      <c r="E322" t="inlineStr">
        <is>
          <t>NORDMALING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8425-2023</t>
        </is>
      </c>
      <c r="B323" s="1" t="n">
        <v>44977.45096064815</v>
      </c>
      <c r="C323" s="1" t="n">
        <v>46158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Holmen skog AB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27384-2024</t>
        </is>
      </c>
      <c r="B324" s="1" t="n">
        <v>45473</v>
      </c>
      <c r="C324" s="1" t="n">
        <v>46158</v>
      </c>
      <c r="D324" t="inlineStr">
        <is>
          <t>VÄSTERBOTTENS LÄN</t>
        </is>
      </c>
      <c r="E324" t="inlineStr">
        <is>
          <t>NORDMALING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50694-2025</t>
        </is>
      </c>
      <c r="B325" s="1" t="n">
        <v>45945.86091435186</v>
      </c>
      <c r="C325" s="1" t="n">
        <v>46158</v>
      </c>
      <c r="D325" t="inlineStr">
        <is>
          <t>VÄSTERBOTTENS LÄN</t>
        </is>
      </c>
      <c r="E325" t="inlineStr">
        <is>
          <t>NORDMALING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50725-2025</t>
        </is>
      </c>
      <c r="B326" s="1" t="n">
        <v>45946.3471875</v>
      </c>
      <c r="C326" s="1" t="n">
        <v>46158</v>
      </c>
      <c r="D326" t="inlineStr">
        <is>
          <t>VÄSTERBOTTENS LÄN</t>
        </is>
      </c>
      <c r="E326" t="inlineStr">
        <is>
          <t>NORDMALING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36077-2025</t>
        </is>
      </c>
      <c r="B327" s="1" t="n">
        <v>45866.44303240741</v>
      </c>
      <c r="C327" s="1" t="n">
        <v>46158</v>
      </c>
      <c r="D327" t="inlineStr">
        <is>
          <t>VÄSTERBOTTENS LÄN</t>
        </is>
      </c>
      <c r="E327" t="inlineStr">
        <is>
          <t>NORDMALING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23753-2023</t>
        </is>
      </c>
      <c r="B328" s="1" t="n">
        <v>45077</v>
      </c>
      <c r="C328" s="1" t="n">
        <v>46158</v>
      </c>
      <c r="D328" t="inlineStr">
        <is>
          <t>VÄSTERBOTTENS LÄN</t>
        </is>
      </c>
      <c r="E328" t="inlineStr">
        <is>
          <t>NORDMALING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36088-2025</t>
        </is>
      </c>
      <c r="B329" s="1" t="n">
        <v>45866.47144675926</v>
      </c>
      <c r="C329" s="1" t="n">
        <v>46158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36129-2025</t>
        </is>
      </c>
      <c r="B330" s="1" t="n">
        <v>45866.62015046296</v>
      </c>
      <c r="C330" s="1" t="n">
        <v>46158</v>
      </c>
      <c r="D330" t="inlineStr">
        <is>
          <t>VÄSTERBOTTENS LÄN</t>
        </is>
      </c>
      <c r="E330" t="inlineStr">
        <is>
          <t>NORDMALING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32183-2023</t>
        </is>
      </c>
      <c r="B331" s="1" t="n">
        <v>45119</v>
      </c>
      <c r="C331" s="1" t="n">
        <v>46158</v>
      </c>
      <c r="D331" t="inlineStr">
        <is>
          <t>VÄSTERBOTTENS LÄN</t>
        </is>
      </c>
      <c r="E331" t="inlineStr">
        <is>
          <t>NORDMALING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50726-2025</t>
        </is>
      </c>
      <c r="B332" s="1" t="n">
        <v>45946.3472337963</v>
      </c>
      <c r="C332" s="1" t="n">
        <v>46158</v>
      </c>
      <c r="D332" t="inlineStr">
        <is>
          <t>VÄSTERBOTTENS LÄN</t>
        </is>
      </c>
      <c r="E332" t="inlineStr">
        <is>
          <t>NORDMALING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50734-2025</t>
        </is>
      </c>
      <c r="B333" s="1" t="n">
        <v>45946.36549768518</v>
      </c>
      <c r="C333" s="1" t="n">
        <v>46158</v>
      </c>
      <c r="D333" t="inlineStr">
        <is>
          <t>VÄSTERBOTTENS LÄN</t>
        </is>
      </c>
      <c r="E333" t="inlineStr">
        <is>
          <t>NORDMALING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26627-2024</t>
        </is>
      </c>
      <c r="B334" s="1" t="n">
        <v>45469</v>
      </c>
      <c r="C334" s="1" t="n">
        <v>46158</v>
      </c>
      <c r="D334" t="inlineStr">
        <is>
          <t>VÄSTERBOTTENS LÄN</t>
        </is>
      </c>
      <c r="E334" t="inlineStr">
        <is>
          <t>NORDMALING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34898-2023</t>
        </is>
      </c>
      <c r="B335" s="1" t="n">
        <v>45141</v>
      </c>
      <c r="C335" s="1" t="n">
        <v>46158</v>
      </c>
      <c r="D335" t="inlineStr">
        <is>
          <t>VÄSTERBOTTENS LÄN</t>
        </is>
      </c>
      <c r="E335" t="inlineStr">
        <is>
          <t>NORDMALING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51511-2025</t>
        </is>
      </c>
      <c r="B336" s="1" t="n">
        <v>45950.64607638889</v>
      </c>
      <c r="C336" s="1" t="n">
        <v>46158</v>
      </c>
      <c r="D336" t="inlineStr">
        <is>
          <t>VÄSTERBOTTENS LÄN</t>
        </is>
      </c>
      <c r="E336" t="inlineStr">
        <is>
          <t>NORDMALING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36281-2025</t>
        </is>
      </c>
      <c r="B337" s="1" t="n">
        <v>45867.64376157407</v>
      </c>
      <c r="C337" s="1" t="n">
        <v>46158</v>
      </c>
      <c r="D337" t="inlineStr">
        <is>
          <t>VÄSTERBOTTENS LÄN</t>
        </is>
      </c>
      <c r="E337" t="inlineStr">
        <is>
          <t>NORDMALING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6995-2026</t>
        </is>
      </c>
      <c r="B338" s="1" t="n">
        <v>46057.61146990741</v>
      </c>
      <c r="C338" s="1" t="n">
        <v>46158</v>
      </c>
      <c r="D338" t="inlineStr">
        <is>
          <t>VÄSTERBOTTENS LÄN</t>
        </is>
      </c>
      <c r="E338" t="inlineStr">
        <is>
          <t>NORDMALING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7123-2026</t>
        </is>
      </c>
      <c r="B339" s="1" t="n">
        <v>46058.38614583333</v>
      </c>
      <c r="C339" s="1" t="n">
        <v>46158</v>
      </c>
      <c r="D339" t="inlineStr">
        <is>
          <t>VÄSTERBOTTENS LÄN</t>
        </is>
      </c>
      <c r="E339" t="inlineStr">
        <is>
          <t>NORDMALING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51542-2025</t>
        </is>
      </c>
      <c r="B340" s="1" t="n">
        <v>45950.73994212963</v>
      </c>
      <c r="C340" s="1" t="n">
        <v>46158</v>
      </c>
      <c r="D340" t="inlineStr">
        <is>
          <t>VÄSTERBOTTENS LÄN</t>
        </is>
      </c>
      <c r="E340" t="inlineStr">
        <is>
          <t>NORDMALING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51543-2025</t>
        </is>
      </c>
      <c r="B341" s="1" t="n">
        <v>45950.74270833333</v>
      </c>
      <c r="C341" s="1" t="n">
        <v>46158</v>
      </c>
      <c r="D341" t="inlineStr">
        <is>
          <t>VÄSTERBOTTENS LÄN</t>
        </is>
      </c>
      <c r="E341" t="inlineStr">
        <is>
          <t>NORDMALING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51544-2025</t>
        </is>
      </c>
      <c r="B342" s="1" t="n">
        <v>45950.74530092593</v>
      </c>
      <c r="C342" s="1" t="n">
        <v>46158</v>
      </c>
      <c r="D342" t="inlineStr">
        <is>
          <t>VÄSTERBOTTENS LÄN</t>
        </is>
      </c>
      <c r="E342" t="inlineStr">
        <is>
          <t>NORDMALING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7159-2026</t>
        </is>
      </c>
      <c r="B343" s="1" t="n">
        <v>46058.44041666666</v>
      </c>
      <c r="C343" s="1" t="n">
        <v>46158</v>
      </c>
      <c r="D343" t="inlineStr">
        <is>
          <t>VÄSTERBOTTENS LÄN</t>
        </is>
      </c>
      <c r="E343" t="inlineStr">
        <is>
          <t>NORDMALING</t>
        </is>
      </c>
      <c r="G343" t="n">
        <v>19.1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51512-2025</t>
        </is>
      </c>
      <c r="B344" s="1" t="n">
        <v>45950.65011574074</v>
      </c>
      <c r="C344" s="1" t="n">
        <v>46158</v>
      </c>
      <c r="D344" t="inlineStr">
        <is>
          <t>VÄSTERBOTTENS LÄN</t>
        </is>
      </c>
      <c r="E344" t="inlineStr">
        <is>
          <t>NORDMALING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51762-2025</t>
        </is>
      </c>
      <c r="B345" s="1" t="n">
        <v>45951.63605324074</v>
      </c>
      <c r="C345" s="1" t="n">
        <v>46158</v>
      </c>
      <c r="D345" t="inlineStr">
        <is>
          <t>VÄSTERBOTTENS LÄN</t>
        </is>
      </c>
      <c r="E345" t="inlineStr">
        <is>
          <t>NORDMALING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7122-2026</t>
        </is>
      </c>
      <c r="B346" s="1" t="n">
        <v>46058.38587962963</v>
      </c>
      <c r="C346" s="1" t="n">
        <v>46158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51736-2025</t>
        </is>
      </c>
      <c r="B347" s="1" t="n">
        <v>45951.595625</v>
      </c>
      <c r="C347" s="1" t="n">
        <v>46158</v>
      </c>
      <c r="D347" t="inlineStr">
        <is>
          <t>VÄSTERBOTTENS LÄN</t>
        </is>
      </c>
      <c r="E347" t="inlineStr">
        <is>
          <t>NORDMALING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51552-2025</t>
        </is>
      </c>
      <c r="B348" s="1" t="n">
        <v>45950.85929398148</v>
      </c>
      <c r="C348" s="1" t="n">
        <v>46158</v>
      </c>
      <c r="D348" t="inlineStr">
        <is>
          <t>VÄSTERBOTTENS LÄN</t>
        </is>
      </c>
      <c r="E348" t="inlineStr">
        <is>
          <t>NORDMALING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36832-2025</t>
        </is>
      </c>
      <c r="B349" s="1" t="n">
        <v>45874.34928240741</v>
      </c>
      <c r="C349" s="1" t="n">
        <v>46158</v>
      </c>
      <c r="D349" t="inlineStr">
        <is>
          <t>VÄSTERBOTTENS LÄN</t>
        </is>
      </c>
      <c r="E349" t="inlineStr">
        <is>
          <t>NORDMALING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43651-2023</t>
        </is>
      </c>
      <c r="B350" s="1" t="n">
        <v>45187.32118055555</v>
      </c>
      <c r="C350" s="1" t="n">
        <v>46158</v>
      </c>
      <c r="D350" t="inlineStr">
        <is>
          <t>VÄSTERBOTTENS LÄN</t>
        </is>
      </c>
      <c r="E350" t="inlineStr">
        <is>
          <t>NORDMALING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11660-2025</t>
        </is>
      </c>
      <c r="B351" s="1" t="n">
        <v>45727.49515046296</v>
      </c>
      <c r="C351" s="1" t="n">
        <v>46158</v>
      </c>
      <c r="D351" t="inlineStr">
        <is>
          <t>VÄSTERBOTTENS LÄN</t>
        </is>
      </c>
      <c r="E351" t="inlineStr">
        <is>
          <t>NORDMALING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11662-2025</t>
        </is>
      </c>
      <c r="B352" s="1" t="n">
        <v>45727.50065972222</v>
      </c>
      <c r="C352" s="1" t="n">
        <v>46158</v>
      </c>
      <c r="D352" t="inlineStr">
        <is>
          <t>VÄSTERBOTTENS LÄN</t>
        </is>
      </c>
      <c r="E352" t="inlineStr">
        <is>
          <t>NORDMALING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35650-2023</t>
        </is>
      </c>
      <c r="B353" s="1" t="n">
        <v>45147.58692129629</v>
      </c>
      <c r="C353" s="1" t="n">
        <v>46158</v>
      </c>
      <c r="D353" t="inlineStr">
        <is>
          <t>VÄSTERBOTTENS LÄN</t>
        </is>
      </c>
      <c r="E353" t="inlineStr">
        <is>
          <t>NORDMALING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35688-2023</t>
        </is>
      </c>
      <c r="B354" s="1" t="n">
        <v>45147.64556712963</v>
      </c>
      <c r="C354" s="1" t="n">
        <v>46158</v>
      </c>
      <c r="D354" t="inlineStr">
        <is>
          <t>VÄSTERBOTTENS LÄN</t>
        </is>
      </c>
      <c r="E354" t="inlineStr">
        <is>
          <t>NORDMALING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52201-2025</t>
        </is>
      </c>
      <c r="B355" s="1" t="n">
        <v>45953.40626157408</v>
      </c>
      <c r="C355" s="1" t="n">
        <v>46158</v>
      </c>
      <c r="D355" t="inlineStr">
        <is>
          <t>VÄSTERBOTTENS LÄN</t>
        </is>
      </c>
      <c r="E355" t="inlineStr">
        <is>
          <t>NORDMALING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52234-2025</t>
        </is>
      </c>
      <c r="B356" s="1" t="n">
        <v>45953.45195601852</v>
      </c>
      <c r="C356" s="1" t="n">
        <v>46158</v>
      </c>
      <c r="D356" t="inlineStr">
        <is>
          <t>VÄSTERBOTTENS LÄN</t>
        </is>
      </c>
      <c r="E356" t="inlineStr">
        <is>
          <t>NORDMALING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36716-2025</t>
        </is>
      </c>
      <c r="B357" s="1" t="n">
        <v>45873.46920138889</v>
      </c>
      <c r="C357" s="1" t="n">
        <v>46158</v>
      </c>
      <c r="D357" t="inlineStr">
        <is>
          <t>VÄSTERBOTTENS LÄN</t>
        </is>
      </c>
      <c r="E357" t="inlineStr">
        <is>
          <t>NORDMALING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36860-2025</t>
        </is>
      </c>
      <c r="B358" s="1" t="n">
        <v>45874.40981481481</v>
      </c>
      <c r="C358" s="1" t="n">
        <v>46158</v>
      </c>
      <c r="D358" t="inlineStr">
        <is>
          <t>VÄSTERBOTTENS LÄN</t>
        </is>
      </c>
      <c r="E358" t="inlineStr">
        <is>
          <t>NORDMALING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52229-2025</t>
        </is>
      </c>
      <c r="B359" s="1" t="n">
        <v>45953.44894675926</v>
      </c>
      <c r="C359" s="1" t="n">
        <v>46158</v>
      </c>
      <c r="D359" t="inlineStr">
        <is>
          <t>VÄSTERBOTTENS LÄN</t>
        </is>
      </c>
      <c r="E359" t="inlineStr">
        <is>
          <t>NORDMALING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362-2025</t>
        </is>
      </c>
      <c r="B360" s="1" t="n">
        <v>45660.90559027778</v>
      </c>
      <c r="C360" s="1" t="n">
        <v>46158</v>
      </c>
      <c r="D360" t="inlineStr">
        <is>
          <t>VÄSTERBOTTENS LÄN</t>
        </is>
      </c>
      <c r="E360" t="inlineStr">
        <is>
          <t>NORDMALING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6788-2026</t>
        </is>
      </c>
      <c r="B361" s="1" t="n">
        <v>46057.33616898148</v>
      </c>
      <c r="C361" s="1" t="n">
        <v>46158</v>
      </c>
      <c r="D361" t="inlineStr">
        <is>
          <t>VÄSTERBOTTENS LÄN</t>
        </is>
      </c>
      <c r="E361" t="inlineStr">
        <is>
          <t>NORDMALING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52916-2025</t>
        </is>
      </c>
      <c r="B362" s="1" t="n">
        <v>45957.60758101852</v>
      </c>
      <c r="C362" s="1" t="n">
        <v>46158</v>
      </c>
      <c r="D362" t="inlineStr">
        <is>
          <t>VÄSTERBOTTENS LÄN</t>
        </is>
      </c>
      <c r="E362" t="inlineStr">
        <is>
          <t>NORDMALING</t>
        </is>
      </c>
      <c r="G362" t="n">
        <v>19.9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27504-2022</t>
        </is>
      </c>
      <c r="B363" s="1" t="n">
        <v>44742</v>
      </c>
      <c r="C363" s="1" t="n">
        <v>46158</v>
      </c>
      <c r="D363" t="inlineStr">
        <is>
          <t>VÄSTERBOTTENS LÄN</t>
        </is>
      </c>
      <c r="E363" t="inlineStr">
        <is>
          <t>NORDMALING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53001-2025</t>
        </is>
      </c>
      <c r="B364" s="1" t="n">
        <v>45957.7440162037</v>
      </c>
      <c r="C364" s="1" t="n">
        <v>46158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53776-2025</t>
        </is>
      </c>
      <c r="B365" s="1" t="n">
        <v>45960.69628472222</v>
      </c>
      <c r="C365" s="1" t="n">
        <v>46158</v>
      </c>
      <c r="D365" t="inlineStr">
        <is>
          <t>VÄSTERBOTTENS LÄN</t>
        </is>
      </c>
      <c r="E365" t="inlineStr">
        <is>
          <t>NORDMALING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20471-2025</t>
        </is>
      </c>
      <c r="B366" s="1" t="n">
        <v>45775.54582175926</v>
      </c>
      <c r="C366" s="1" t="n">
        <v>46158</v>
      </c>
      <c r="D366" t="inlineStr">
        <is>
          <t>VÄSTERBOTTENS LÄN</t>
        </is>
      </c>
      <c r="E366" t="inlineStr">
        <is>
          <t>NORDMALING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24050-2025</t>
        </is>
      </c>
      <c r="B367" s="1" t="n">
        <v>45796.49869212963</v>
      </c>
      <c r="C367" s="1" t="n">
        <v>46158</v>
      </c>
      <c r="D367" t="inlineStr">
        <is>
          <t>VÄSTERBOTTENS LÄN</t>
        </is>
      </c>
      <c r="E367" t="inlineStr">
        <is>
          <t>NORDMALING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37362-2025</t>
        </is>
      </c>
      <c r="B368" s="1" t="n">
        <v>45877.31856481481</v>
      </c>
      <c r="C368" s="1" t="n">
        <v>46158</v>
      </c>
      <c r="D368" t="inlineStr">
        <is>
          <t>VÄSTERBOTTENS LÄN</t>
        </is>
      </c>
      <c r="E368" t="inlineStr">
        <is>
          <t>NORDMALING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53456-2025</t>
        </is>
      </c>
      <c r="B369" s="1" t="n">
        <v>45959.66428240741</v>
      </c>
      <c r="C369" s="1" t="n">
        <v>46158</v>
      </c>
      <c r="D369" t="inlineStr">
        <is>
          <t>VÄSTERBOTTENS LÄN</t>
        </is>
      </c>
      <c r="E369" t="inlineStr">
        <is>
          <t>NORDMALING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38163-2025</t>
        </is>
      </c>
      <c r="B370" s="1" t="n">
        <v>45882.62724537037</v>
      </c>
      <c r="C370" s="1" t="n">
        <v>46158</v>
      </c>
      <c r="D370" t="inlineStr">
        <is>
          <t>VÄSTERBOTTENS LÄN</t>
        </is>
      </c>
      <c r="E370" t="inlineStr">
        <is>
          <t>NORDMALING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7732-2026</t>
        </is>
      </c>
      <c r="B371" s="1" t="n">
        <v>46062.52329861111</v>
      </c>
      <c r="C371" s="1" t="n">
        <v>46158</v>
      </c>
      <c r="D371" t="inlineStr">
        <is>
          <t>VÄSTERBOTTENS LÄN</t>
        </is>
      </c>
      <c r="E371" t="inlineStr">
        <is>
          <t>NORDMALING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38188-2025</t>
        </is>
      </c>
      <c r="B372" s="1" t="n">
        <v>45882.65447916667</v>
      </c>
      <c r="C372" s="1" t="n">
        <v>46158</v>
      </c>
      <c r="D372" t="inlineStr">
        <is>
          <t>VÄSTERBOTTENS LÄN</t>
        </is>
      </c>
      <c r="E372" t="inlineStr">
        <is>
          <t>NORDMALING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53777-2025</t>
        </is>
      </c>
      <c r="B373" s="1" t="n">
        <v>45960.69732638889</v>
      </c>
      <c r="C373" s="1" t="n">
        <v>46158</v>
      </c>
      <c r="D373" t="inlineStr">
        <is>
          <t>VÄSTERBOTTENS LÄN</t>
        </is>
      </c>
      <c r="E373" t="inlineStr">
        <is>
          <t>NORDMALING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53976-2025</t>
        </is>
      </c>
      <c r="B374" s="1" t="n">
        <v>45961.55366898148</v>
      </c>
      <c r="C374" s="1" t="n">
        <v>46158</v>
      </c>
      <c r="D374" t="inlineStr">
        <is>
          <t>VÄSTERBOTTENS LÄN</t>
        </is>
      </c>
      <c r="E374" t="inlineStr">
        <is>
          <t>NORDMALING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54030-2025</t>
        </is>
      </c>
      <c r="B375" s="1" t="n">
        <v>45962.49011574074</v>
      </c>
      <c r="C375" s="1" t="n">
        <v>46158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54078-2025</t>
        </is>
      </c>
      <c r="B376" s="1" t="n">
        <v>45964.36516203704</v>
      </c>
      <c r="C376" s="1" t="n">
        <v>46158</v>
      </c>
      <c r="D376" t="inlineStr">
        <is>
          <t>VÄSTERBOTTENS LÄN</t>
        </is>
      </c>
      <c r="E376" t="inlineStr">
        <is>
          <t>NORDMALING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53915-2025</t>
        </is>
      </c>
      <c r="B377" s="1" t="n">
        <v>45961.44832175926</v>
      </c>
      <c r="C377" s="1" t="n">
        <v>46158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44942-2023</t>
        </is>
      </c>
      <c r="B378" s="1" t="n">
        <v>45187</v>
      </c>
      <c r="C378" s="1" t="n">
        <v>46158</v>
      </c>
      <c r="D378" t="inlineStr">
        <is>
          <t>VÄSTERBOTTENS LÄN</t>
        </is>
      </c>
      <c r="E378" t="inlineStr">
        <is>
          <t>NORDMALING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15756-2023</t>
        </is>
      </c>
      <c r="B379" s="1" t="n">
        <v>45021.62100694444</v>
      </c>
      <c r="C379" s="1" t="n">
        <v>46158</v>
      </c>
      <c r="D379" t="inlineStr">
        <is>
          <t>VÄSTERBOTTENS LÄN</t>
        </is>
      </c>
      <c r="E379" t="inlineStr">
        <is>
          <t>NORDMALING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53826-2025</t>
        </is>
      </c>
      <c r="B380" s="1" t="n">
        <v>45961.34436342592</v>
      </c>
      <c r="C380" s="1" t="n">
        <v>46158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54105-2025</t>
        </is>
      </c>
      <c r="B381" s="1" t="n">
        <v>45964.42788194444</v>
      </c>
      <c r="C381" s="1" t="n">
        <v>46158</v>
      </c>
      <c r="D381" t="inlineStr">
        <is>
          <t>VÄSTERBOTTENS LÄN</t>
        </is>
      </c>
      <c r="E381" t="inlineStr">
        <is>
          <t>NORDMALING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53969-2025</t>
        </is>
      </c>
      <c r="B382" s="1" t="n">
        <v>45961.5503587963</v>
      </c>
      <c r="C382" s="1" t="n">
        <v>46158</v>
      </c>
      <c r="D382" t="inlineStr">
        <is>
          <t>VÄSTERBOTTENS LÄN</t>
        </is>
      </c>
      <c r="E382" t="inlineStr">
        <is>
          <t>NORDMALING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54457-2025</t>
        </is>
      </c>
      <c r="B383" s="1" t="n">
        <v>45965.55269675926</v>
      </c>
      <c r="C383" s="1" t="n">
        <v>46158</v>
      </c>
      <c r="D383" t="inlineStr">
        <is>
          <t>VÄSTERBOTTENS LÄN</t>
        </is>
      </c>
      <c r="E383" t="inlineStr">
        <is>
          <t>NORDMALING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18649-2025</t>
        </is>
      </c>
      <c r="B384" s="1" t="n">
        <v>45763.57402777778</v>
      </c>
      <c r="C384" s="1" t="n">
        <v>46158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54473-2025</t>
        </is>
      </c>
      <c r="B385" s="1" t="n">
        <v>45965.57398148148</v>
      </c>
      <c r="C385" s="1" t="n">
        <v>46158</v>
      </c>
      <c r="D385" t="inlineStr">
        <is>
          <t>VÄSTERBOTTENS LÄN</t>
        </is>
      </c>
      <c r="E385" t="inlineStr">
        <is>
          <t>NORDMALING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5083-2025</t>
        </is>
      </c>
      <c r="B386" s="1" t="n">
        <v>45691</v>
      </c>
      <c r="C386" s="1" t="n">
        <v>46158</v>
      </c>
      <c r="D386" t="inlineStr">
        <is>
          <t>VÄSTERBOTTENS LÄN</t>
        </is>
      </c>
      <c r="E386" t="inlineStr">
        <is>
          <t>NORDMALING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54800-2025</t>
        </is>
      </c>
      <c r="B387" s="1" t="n">
        <v>45966.63836805556</v>
      </c>
      <c r="C387" s="1" t="n">
        <v>46158</v>
      </c>
      <c r="D387" t="inlineStr">
        <is>
          <t>VÄSTERBOTTENS LÄN</t>
        </is>
      </c>
      <c r="E387" t="inlineStr">
        <is>
          <t>NORDMALING</t>
        </is>
      </c>
      <c r="G387" t="n">
        <v>8.199999999999999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54438-2025</t>
        </is>
      </c>
      <c r="B388" s="1" t="n">
        <v>45965.50305555556</v>
      </c>
      <c r="C388" s="1" t="n">
        <v>46158</v>
      </c>
      <c r="D388" t="inlineStr">
        <is>
          <t>VÄSTERBOTTENS LÄN</t>
        </is>
      </c>
      <c r="E388" t="inlineStr">
        <is>
          <t>NORDMALING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54368-2025</t>
        </is>
      </c>
      <c r="B389" s="1" t="n">
        <v>45965.40554398148</v>
      </c>
      <c r="C389" s="1" t="n">
        <v>46158</v>
      </c>
      <c r="D389" t="inlineStr">
        <is>
          <t>VÄSTERBOTTENS LÄN</t>
        </is>
      </c>
      <c r="E389" t="inlineStr">
        <is>
          <t>NORDMALING</t>
        </is>
      </c>
      <c r="G389" t="n">
        <v>14.8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38365-2025</t>
        </is>
      </c>
      <c r="B390" s="1" t="n">
        <v>45883.54989583333</v>
      </c>
      <c r="C390" s="1" t="n">
        <v>46158</v>
      </c>
      <c r="D390" t="inlineStr">
        <is>
          <t>VÄSTERBOTTENS LÄN</t>
        </is>
      </c>
      <c r="E390" t="inlineStr">
        <is>
          <t>NORDMALING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54474-2025</t>
        </is>
      </c>
      <c r="B391" s="1" t="n">
        <v>45965.57400462963</v>
      </c>
      <c r="C391" s="1" t="n">
        <v>46158</v>
      </c>
      <c r="D391" t="inlineStr">
        <is>
          <t>VÄSTERBOTTENS LÄN</t>
        </is>
      </c>
      <c r="E391" t="inlineStr">
        <is>
          <t>NORDMALING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8681-2026</t>
        </is>
      </c>
      <c r="B392" s="1" t="n">
        <v>46066.41885416667</v>
      </c>
      <c r="C392" s="1" t="n">
        <v>46158</v>
      </c>
      <c r="D392" t="inlineStr">
        <is>
          <t>VÄSTERBOTTENS LÄN</t>
        </is>
      </c>
      <c r="E392" t="inlineStr">
        <is>
          <t>NORDMALING</t>
        </is>
      </c>
      <c r="G392" t="n">
        <v>9.699999999999999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8684-2026</t>
        </is>
      </c>
      <c r="B393" s="1" t="n">
        <v>46066.43094907407</v>
      </c>
      <c r="C393" s="1" t="n">
        <v>46158</v>
      </c>
      <c r="D393" t="inlineStr">
        <is>
          <t>VÄSTERBOTTENS LÄN</t>
        </is>
      </c>
      <c r="E393" t="inlineStr">
        <is>
          <t>NORDMALING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8534-2026</t>
        </is>
      </c>
      <c r="B394" s="1" t="n">
        <v>46065.60201388889</v>
      </c>
      <c r="C394" s="1" t="n">
        <v>46158</v>
      </c>
      <c r="D394" t="inlineStr">
        <is>
          <t>VÄSTERBOTTENS LÄN</t>
        </is>
      </c>
      <c r="E394" t="inlineStr">
        <is>
          <t>NORDMALING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8535-2026</t>
        </is>
      </c>
      <c r="B395" s="1" t="n">
        <v>46065.60232638889</v>
      </c>
      <c r="C395" s="1" t="n">
        <v>46158</v>
      </c>
      <c r="D395" t="inlineStr">
        <is>
          <t>VÄSTERBOTTENS LÄN</t>
        </is>
      </c>
      <c r="E395" t="inlineStr">
        <is>
          <t>NORDMALING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20133-2023</t>
        </is>
      </c>
      <c r="B396" s="1" t="n">
        <v>45051</v>
      </c>
      <c r="C396" s="1" t="n">
        <v>46158</v>
      </c>
      <c r="D396" t="inlineStr">
        <is>
          <t>VÄSTERBOTTENS LÄN</t>
        </is>
      </c>
      <c r="E396" t="inlineStr">
        <is>
          <t>NORDMALING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8694-2026</t>
        </is>
      </c>
      <c r="B397" s="1" t="n">
        <v>46066.44982638889</v>
      </c>
      <c r="C397" s="1" t="n">
        <v>46158</v>
      </c>
      <c r="D397" t="inlineStr">
        <is>
          <t>VÄSTERBOTTENS LÄN</t>
        </is>
      </c>
      <c r="E397" t="inlineStr">
        <is>
          <t>NORDMALING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55786-2025</t>
        </is>
      </c>
      <c r="B398" s="1" t="n">
        <v>45972.6397337963</v>
      </c>
      <c r="C398" s="1" t="n">
        <v>46158</v>
      </c>
      <c r="D398" t="inlineStr">
        <is>
          <t>VÄSTERBOTTENS LÄN</t>
        </is>
      </c>
      <c r="E398" t="inlineStr">
        <is>
          <t>NORDMALING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55792-2025</t>
        </is>
      </c>
      <c r="B399" s="1" t="n">
        <v>45972.65100694444</v>
      </c>
      <c r="C399" s="1" t="n">
        <v>46158</v>
      </c>
      <c r="D399" t="inlineStr">
        <is>
          <t>VÄSTERBOTTENS LÄN</t>
        </is>
      </c>
      <c r="E399" t="inlineStr">
        <is>
          <t>NORDMALING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56247-2025</t>
        </is>
      </c>
      <c r="B400" s="1" t="n">
        <v>45974.55259259259</v>
      </c>
      <c r="C400" s="1" t="n">
        <v>46158</v>
      </c>
      <c r="D400" t="inlineStr">
        <is>
          <t>VÄSTERBOTTENS LÄN</t>
        </is>
      </c>
      <c r="E400" t="inlineStr">
        <is>
          <t>NORDMALING</t>
        </is>
      </c>
      <c r="G400" t="n">
        <v>10.4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16212-2023</t>
        </is>
      </c>
      <c r="B401" s="1" t="n">
        <v>45028</v>
      </c>
      <c r="C401" s="1" t="n">
        <v>46158</v>
      </c>
      <c r="D401" t="inlineStr">
        <is>
          <t>VÄSTERBOTTENS LÄN</t>
        </is>
      </c>
      <c r="E401" t="inlineStr">
        <is>
          <t>NORDMALING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59605-2022</t>
        </is>
      </c>
      <c r="B402" s="1" t="n">
        <v>44907</v>
      </c>
      <c r="C402" s="1" t="n">
        <v>46158</v>
      </c>
      <c r="D402" t="inlineStr">
        <is>
          <t>VÄSTERBOTTENS LÄN</t>
        </is>
      </c>
      <c r="E402" t="inlineStr">
        <is>
          <t>NORDMALING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47063-2024</t>
        </is>
      </c>
      <c r="B403" s="1" t="n">
        <v>45586.47215277778</v>
      </c>
      <c r="C403" s="1" t="n">
        <v>46158</v>
      </c>
      <c r="D403" t="inlineStr">
        <is>
          <t>VÄSTERBOTTENS LÄN</t>
        </is>
      </c>
      <c r="E403" t="inlineStr">
        <is>
          <t>NORDMALING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70028-2021</t>
        </is>
      </c>
      <c r="B404" s="1" t="n">
        <v>44533</v>
      </c>
      <c r="C404" s="1" t="n">
        <v>46158</v>
      </c>
      <c r="D404" t="inlineStr">
        <is>
          <t>VÄSTERBOTTENS LÄN</t>
        </is>
      </c>
      <c r="E404" t="inlineStr">
        <is>
          <t>NORDMALING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41025-2023</t>
        </is>
      </c>
      <c r="B405" s="1" t="n">
        <v>45173</v>
      </c>
      <c r="C405" s="1" t="n">
        <v>46158</v>
      </c>
      <c r="D405" t="inlineStr">
        <is>
          <t>VÄSTERBOTTENS LÄN</t>
        </is>
      </c>
      <c r="E405" t="inlineStr">
        <is>
          <t>NORDMALING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9792-2026</t>
        </is>
      </c>
      <c r="B406" s="1" t="n">
        <v>46072.60488425926</v>
      </c>
      <c r="C406" s="1" t="n">
        <v>46158</v>
      </c>
      <c r="D406" t="inlineStr">
        <is>
          <t>VÄSTERBOTTENS LÄN</t>
        </is>
      </c>
      <c r="E406" t="inlineStr">
        <is>
          <t>NORDMALING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31258-2024</t>
        </is>
      </c>
      <c r="B407" s="1" t="n">
        <v>45503.70638888889</v>
      </c>
      <c r="C407" s="1" t="n">
        <v>46158</v>
      </c>
      <c r="D407" t="inlineStr">
        <is>
          <t>VÄSTERBOTTENS LÄN</t>
        </is>
      </c>
      <c r="E407" t="inlineStr">
        <is>
          <t>NORDMALING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47635-2024</t>
        </is>
      </c>
      <c r="B408" s="1" t="n">
        <v>45588.35972222222</v>
      </c>
      <c r="C408" s="1" t="n">
        <v>46158</v>
      </c>
      <c r="D408" t="inlineStr">
        <is>
          <t>VÄSTERBOTTENS LÄN</t>
        </is>
      </c>
      <c r="E408" t="inlineStr">
        <is>
          <t>NORDMALING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9717-2026</t>
        </is>
      </c>
      <c r="B409" s="1" t="n">
        <v>46072.44855324074</v>
      </c>
      <c r="C409" s="1" t="n">
        <v>46158</v>
      </c>
      <c r="D409" t="inlineStr">
        <is>
          <t>VÄSTERBOTTENS LÄN</t>
        </is>
      </c>
      <c r="E409" t="inlineStr">
        <is>
          <t>NORDMALING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9869-2026</t>
        </is>
      </c>
      <c r="B410" s="1" t="n">
        <v>46072</v>
      </c>
      <c r="C410" s="1" t="n">
        <v>46158</v>
      </c>
      <c r="D410" t="inlineStr">
        <is>
          <t>VÄSTERBOTTENS LÄN</t>
        </is>
      </c>
      <c r="E410" t="inlineStr">
        <is>
          <t>NORDMALING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9868-2026</t>
        </is>
      </c>
      <c r="B411" s="1" t="n">
        <v>46072</v>
      </c>
      <c r="C411" s="1" t="n">
        <v>46158</v>
      </c>
      <c r="D411" t="inlineStr">
        <is>
          <t>VÄSTERBOTTENS LÄN</t>
        </is>
      </c>
      <c r="E411" t="inlineStr">
        <is>
          <t>NORDMALING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57065-2025</t>
        </is>
      </c>
      <c r="B412" s="1" t="n">
        <v>45979.38577546296</v>
      </c>
      <c r="C412" s="1" t="n">
        <v>46158</v>
      </c>
      <c r="D412" t="inlineStr">
        <is>
          <t>VÄSTERBOTTENS LÄN</t>
        </is>
      </c>
      <c r="E412" t="inlineStr">
        <is>
          <t>NORDMALING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34246-2024</t>
        </is>
      </c>
      <c r="B413" s="1" t="n">
        <v>45524.58476851852</v>
      </c>
      <c r="C413" s="1" t="n">
        <v>46158</v>
      </c>
      <c r="D413" t="inlineStr">
        <is>
          <t>VÄSTERBOTTENS LÄN</t>
        </is>
      </c>
      <c r="E413" t="inlineStr">
        <is>
          <t>NORDMALING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57146-2025</t>
        </is>
      </c>
      <c r="B414" s="1" t="n">
        <v>45979.49057870371</v>
      </c>
      <c r="C414" s="1" t="n">
        <v>46158</v>
      </c>
      <c r="D414" t="inlineStr">
        <is>
          <t>VÄSTERBOTTENS LÄN</t>
        </is>
      </c>
      <c r="E414" t="inlineStr">
        <is>
          <t>NORDMALING</t>
        </is>
      </c>
      <c r="G414" t="n">
        <v>7.4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57093-2025</t>
        </is>
      </c>
      <c r="B415" s="1" t="n">
        <v>45979.42771990741</v>
      </c>
      <c r="C415" s="1" t="n">
        <v>46158</v>
      </c>
      <c r="D415" t="inlineStr">
        <is>
          <t>VÄSTERBOTTENS LÄN</t>
        </is>
      </c>
      <c r="E415" t="inlineStr">
        <is>
          <t>NORDMALING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57548-2025</t>
        </is>
      </c>
      <c r="B416" s="1" t="n">
        <v>45980.65704861111</v>
      </c>
      <c r="C416" s="1" t="n">
        <v>46158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57553-2025</t>
        </is>
      </c>
      <c r="B417" s="1" t="n">
        <v>45980.66048611111</v>
      </c>
      <c r="C417" s="1" t="n">
        <v>46158</v>
      </c>
      <c r="D417" t="inlineStr">
        <is>
          <t>VÄSTERBOTTENS LÄN</t>
        </is>
      </c>
      <c r="E417" t="inlineStr">
        <is>
          <t>NORDMALING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57535-2025</t>
        </is>
      </c>
      <c r="B418" s="1" t="n">
        <v>45980.64270833333</v>
      </c>
      <c r="C418" s="1" t="n">
        <v>46158</v>
      </c>
      <c r="D418" t="inlineStr">
        <is>
          <t>VÄSTERBOTTENS LÄN</t>
        </is>
      </c>
      <c r="E418" t="inlineStr">
        <is>
          <t>NORDMALING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57541-2025</t>
        </is>
      </c>
      <c r="B419" s="1" t="n">
        <v>45980.65039351852</v>
      </c>
      <c r="C419" s="1" t="n">
        <v>46158</v>
      </c>
      <c r="D419" t="inlineStr">
        <is>
          <t>VÄSTERBOTTENS LÄN</t>
        </is>
      </c>
      <c r="E419" t="inlineStr">
        <is>
          <t>NORDMALING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57529-2025</t>
        </is>
      </c>
      <c r="B420" s="1" t="n">
        <v>45980.63456018519</v>
      </c>
      <c r="C420" s="1" t="n">
        <v>46158</v>
      </c>
      <c r="D420" t="inlineStr">
        <is>
          <t>VÄSTERBOTTENS LÄN</t>
        </is>
      </c>
      <c r="E420" t="inlineStr">
        <is>
          <t>NORDMALING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10382-2026</t>
        </is>
      </c>
      <c r="B421" s="1" t="n">
        <v>46076.88337962963</v>
      </c>
      <c r="C421" s="1" t="n">
        <v>46158</v>
      </c>
      <c r="D421" t="inlineStr">
        <is>
          <t>VÄSTERBOTTENS LÄN</t>
        </is>
      </c>
      <c r="E421" t="inlineStr">
        <is>
          <t>NORDMALING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9863-2026</t>
        </is>
      </c>
      <c r="B422" s="1" t="n">
        <v>46072</v>
      </c>
      <c r="C422" s="1" t="n">
        <v>46158</v>
      </c>
      <c r="D422" t="inlineStr">
        <is>
          <t>VÄSTERBOTTENS LÄN</t>
        </is>
      </c>
      <c r="E422" t="inlineStr">
        <is>
          <t>NORDMALING</t>
        </is>
      </c>
      <c r="G422" t="n">
        <v>12.5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18796-2025</t>
        </is>
      </c>
      <c r="B423" s="1" t="n">
        <v>45764.34581018519</v>
      </c>
      <c r="C423" s="1" t="n">
        <v>46158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13507-2025</t>
        </is>
      </c>
      <c r="B424" s="1" t="n">
        <v>45736.46914351852</v>
      </c>
      <c r="C424" s="1" t="n">
        <v>46158</v>
      </c>
      <c r="D424" t="inlineStr">
        <is>
          <t>VÄSTERBOTTENS LÄN</t>
        </is>
      </c>
      <c r="E424" t="inlineStr">
        <is>
          <t>NORDMALING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36667-2021</t>
        </is>
      </c>
      <c r="B425" s="1" t="n">
        <v>44392</v>
      </c>
      <c r="C425" s="1" t="n">
        <v>46158</v>
      </c>
      <c r="D425" t="inlineStr">
        <is>
          <t>VÄSTERBOTTENS LÄN</t>
        </is>
      </c>
      <c r="E425" t="inlineStr">
        <is>
          <t>NORDMALING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57898-2025</t>
        </is>
      </c>
      <c r="B426" s="1" t="n">
        <v>45981.72505787037</v>
      </c>
      <c r="C426" s="1" t="n">
        <v>46158</v>
      </c>
      <c r="D426" t="inlineStr">
        <is>
          <t>VÄSTERBOTTENS LÄN</t>
        </is>
      </c>
      <c r="E426" t="inlineStr">
        <is>
          <t>NORDMALING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57903-2025</t>
        </is>
      </c>
      <c r="B427" s="1" t="n">
        <v>45981.75262731482</v>
      </c>
      <c r="C427" s="1" t="n">
        <v>46158</v>
      </c>
      <c r="D427" t="inlineStr">
        <is>
          <t>VÄSTERBOTTENS LÄN</t>
        </is>
      </c>
      <c r="E427" t="inlineStr">
        <is>
          <t>NORDMALING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10197-2026</t>
        </is>
      </c>
      <c r="B428" s="1" t="n">
        <v>46076.46844907408</v>
      </c>
      <c r="C428" s="1" t="n">
        <v>46158</v>
      </c>
      <c r="D428" t="inlineStr">
        <is>
          <t>VÄSTERBOTTENS LÄN</t>
        </is>
      </c>
      <c r="E428" t="inlineStr">
        <is>
          <t>NORDMALING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58075-2025</t>
        </is>
      </c>
      <c r="B429" s="1" t="n">
        <v>45982.55265046296</v>
      </c>
      <c r="C429" s="1" t="n">
        <v>46158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57897-2025</t>
        </is>
      </c>
      <c r="B430" s="1" t="n">
        <v>45981.71798611111</v>
      </c>
      <c r="C430" s="1" t="n">
        <v>46158</v>
      </c>
      <c r="D430" t="inlineStr">
        <is>
          <t>VÄSTERBOTTENS LÄN</t>
        </is>
      </c>
      <c r="E430" t="inlineStr">
        <is>
          <t>NORDMALING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57899-2025</t>
        </is>
      </c>
      <c r="B431" s="1" t="n">
        <v>45981.72832175926</v>
      </c>
      <c r="C431" s="1" t="n">
        <v>46158</v>
      </c>
      <c r="D431" t="inlineStr">
        <is>
          <t>VÄSTERBOTTENS LÄN</t>
        </is>
      </c>
      <c r="E431" t="inlineStr">
        <is>
          <t>NORDMALING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57901-2025</t>
        </is>
      </c>
      <c r="B432" s="1" t="n">
        <v>45981.74396990741</v>
      </c>
      <c r="C432" s="1" t="n">
        <v>46158</v>
      </c>
      <c r="D432" t="inlineStr">
        <is>
          <t>VÄSTERBOTTENS LÄN</t>
        </is>
      </c>
      <c r="E432" t="inlineStr">
        <is>
          <t>NORDMALING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64498-2023</t>
        </is>
      </c>
      <c r="B433" s="1" t="n">
        <v>45280.94288194444</v>
      </c>
      <c r="C433" s="1" t="n">
        <v>46158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40210-2022</t>
        </is>
      </c>
      <c r="B434" s="1" t="n">
        <v>44820</v>
      </c>
      <c r="C434" s="1" t="n">
        <v>46158</v>
      </c>
      <c r="D434" t="inlineStr">
        <is>
          <t>VÄSTERBOTTENS LÄN</t>
        </is>
      </c>
      <c r="E434" t="inlineStr">
        <is>
          <t>NORDMALING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2645-2023</t>
        </is>
      </c>
      <c r="B435" s="1" t="n">
        <v>44943</v>
      </c>
      <c r="C435" s="1" t="n">
        <v>46158</v>
      </c>
      <c r="D435" t="inlineStr">
        <is>
          <t>VÄSTERBOTTENS LÄN</t>
        </is>
      </c>
      <c r="E435" t="inlineStr">
        <is>
          <t>NORDMALING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10301-2026</t>
        </is>
      </c>
      <c r="B436" s="1" t="n">
        <v>46076.63232638889</v>
      </c>
      <c r="C436" s="1" t="n">
        <v>46158</v>
      </c>
      <c r="D436" t="inlineStr">
        <is>
          <t>VÄSTERBOTTENS LÄN</t>
        </is>
      </c>
      <c r="E436" t="inlineStr">
        <is>
          <t>NORDMALING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58621-2025</t>
        </is>
      </c>
      <c r="B437" s="1" t="n">
        <v>45986.46953703704</v>
      </c>
      <c r="C437" s="1" t="n">
        <v>46158</v>
      </c>
      <c r="D437" t="inlineStr">
        <is>
          <t>VÄSTERBOTTENS LÄN</t>
        </is>
      </c>
      <c r="E437" t="inlineStr">
        <is>
          <t>NORDMALING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69516-2021</t>
        </is>
      </c>
      <c r="B438" s="1" t="n">
        <v>44531</v>
      </c>
      <c r="C438" s="1" t="n">
        <v>46158</v>
      </c>
      <c r="D438" t="inlineStr">
        <is>
          <t>VÄSTERBOTTENS LÄN</t>
        </is>
      </c>
      <c r="E438" t="inlineStr">
        <is>
          <t>NORDMALING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43367-2022</t>
        </is>
      </c>
      <c r="B439" s="1" t="n">
        <v>44834.64829861111</v>
      </c>
      <c r="C439" s="1" t="n">
        <v>46158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Holmen skog AB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58620-2025</t>
        </is>
      </c>
      <c r="B440" s="1" t="n">
        <v>45986.46951388889</v>
      </c>
      <c r="C440" s="1" t="n">
        <v>46158</v>
      </c>
      <c r="D440" t="inlineStr">
        <is>
          <t>VÄSTERBOTTENS LÄN</t>
        </is>
      </c>
      <c r="E440" t="inlineStr">
        <is>
          <t>NORDMALING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10300-2026</t>
        </is>
      </c>
      <c r="B441" s="1" t="n">
        <v>46076.63145833334</v>
      </c>
      <c r="C441" s="1" t="n">
        <v>46158</v>
      </c>
      <c r="D441" t="inlineStr">
        <is>
          <t>VÄSTERBOTTENS LÄN</t>
        </is>
      </c>
      <c r="E441" t="inlineStr">
        <is>
          <t>NORDMALING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58579-2025</t>
        </is>
      </c>
      <c r="B442" s="1" t="n">
        <v>45986.38587962963</v>
      </c>
      <c r="C442" s="1" t="n">
        <v>46158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58619-2025</t>
        </is>
      </c>
      <c r="B443" s="1" t="n">
        <v>45986.46949074074</v>
      </c>
      <c r="C443" s="1" t="n">
        <v>46158</v>
      </c>
      <c r="D443" t="inlineStr">
        <is>
          <t>VÄSTERBOTTENS LÄN</t>
        </is>
      </c>
      <c r="E443" t="inlineStr">
        <is>
          <t>NORDMALING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28443-2023</t>
        </is>
      </c>
      <c r="B444" s="1" t="n">
        <v>45102</v>
      </c>
      <c r="C444" s="1" t="n">
        <v>46158</v>
      </c>
      <c r="D444" t="inlineStr">
        <is>
          <t>VÄSTERBOTTENS LÄN</t>
        </is>
      </c>
      <c r="E444" t="inlineStr">
        <is>
          <t>NORDMALING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59257-2025</t>
        </is>
      </c>
      <c r="B445" s="1" t="n">
        <v>45988.65670138889</v>
      </c>
      <c r="C445" s="1" t="n">
        <v>46158</v>
      </c>
      <c r="D445" t="inlineStr">
        <is>
          <t>VÄSTERBOTTENS LÄN</t>
        </is>
      </c>
      <c r="E445" t="inlineStr">
        <is>
          <t>NORDMALING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9692-2026</t>
        </is>
      </c>
      <c r="B446" s="1" t="n">
        <v>46072.40678240741</v>
      </c>
      <c r="C446" s="1" t="n">
        <v>46158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35291-2023</t>
        </is>
      </c>
      <c r="B447" s="1" t="n">
        <v>45145.95565972223</v>
      </c>
      <c r="C447" s="1" t="n">
        <v>46158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SCA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59071-2025</t>
        </is>
      </c>
      <c r="B448" s="1" t="n">
        <v>45988.42387731482</v>
      </c>
      <c r="C448" s="1" t="n">
        <v>46158</v>
      </c>
      <c r="D448" t="inlineStr">
        <is>
          <t>VÄSTERBOTTENS LÄN</t>
        </is>
      </c>
      <c r="E448" t="inlineStr">
        <is>
          <t>NORDMALING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6969-2024</t>
        </is>
      </c>
      <c r="B449" s="1" t="n">
        <v>45343</v>
      </c>
      <c r="C449" s="1" t="n">
        <v>46158</v>
      </c>
      <c r="D449" t="inlineStr">
        <is>
          <t>VÄSTERBOTTENS LÄN</t>
        </is>
      </c>
      <c r="E449" t="inlineStr">
        <is>
          <t>NORDMALING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17502-2025</t>
        </is>
      </c>
      <c r="B450" s="1" t="n">
        <v>45757</v>
      </c>
      <c r="C450" s="1" t="n">
        <v>46158</v>
      </c>
      <c r="D450" t="inlineStr">
        <is>
          <t>VÄSTERBOTTENS LÄN</t>
        </is>
      </c>
      <c r="E450" t="inlineStr">
        <is>
          <t>NORDMALING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38274-2022</t>
        </is>
      </c>
      <c r="B451" s="1" t="n">
        <v>44812</v>
      </c>
      <c r="C451" s="1" t="n">
        <v>46158</v>
      </c>
      <c r="D451" t="inlineStr">
        <is>
          <t>VÄSTERBOTTENS LÄN</t>
        </is>
      </c>
      <c r="E451" t="inlineStr">
        <is>
          <t>NORDMALING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12375-2024</t>
        </is>
      </c>
      <c r="B452" s="1" t="n">
        <v>45378</v>
      </c>
      <c r="C452" s="1" t="n">
        <v>46158</v>
      </c>
      <c r="D452" t="inlineStr">
        <is>
          <t>VÄSTERBOTTENS LÄN</t>
        </is>
      </c>
      <c r="E452" t="inlineStr">
        <is>
          <t>NORDMALING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17890-2024</t>
        </is>
      </c>
      <c r="B453" s="1" t="n">
        <v>45419.47606481481</v>
      </c>
      <c r="C453" s="1" t="n">
        <v>46158</v>
      </c>
      <c r="D453" t="inlineStr">
        <is>
          <t>VÄSTERBOTTENS LÄN</t>
        </is>
      </c>
      <c r="E453" t="inlineStr">
        <is>
          <t>NORDMALING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27372-2023</t>
        </is>
      </c>
      <c r="B454" s="1" t="n">
        <v>45096.93851851852</v>
      </c>
      <c r="C454" s="1" t="n">
        <v>46158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SCA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60064-2025</t>
        </is>
      </c>
      <c r="B455" s="1" t="n">
        <v>45993.65728009259</v>
      </c>
      <c r="C455" s="1" t="n">
        <v>46158</v>
      </c>
      <c r="D455" t="inlineStr">
        <is>
          <t>VÄSTERBOTTENS LÄN</t>
        </is>
      </c>
      <c r="E455" t="inlineStr">
        <is>
          <t>NORDMALING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59157-2025</t>
        </is>
      </c>
      <c r="B456" s="1" t="n">
        <v>45988</v>
      </c>
      <c r="C456" s="1" t="n">
        <v>46158</v>
      </c>
      <c r="D456" t="inlineStr">
        <is>
          <t>VÄSTERBOTTENS LÄN</t>
        </is>
      </c>
      <c r="E456" t="inlineStr">
        <is>
          <t>NORDMALING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60111-2025</t>
        </is>
      </c>
      <c r="B457" s="1" t="n">
        <v>45994.30788194444</v>
      </c>
      <c r="C457" s="1" t="n">
        <v>46158</v>
      </c>
      <c r="D457" t="inlineStr">
        <is>
          <t>VÄSTERBOTTENS LÄN</t>
        </is>
      </c>
      <c r="E457" t="inlineStr">
        <is>
          <t>NORDMALING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48945-2022</t>
        </is>
      </c>
      <c r="B458" s="1" t="n">
        <v>44859.95755787037</v>
      </c>
      <c r="C458" s="1" t="n">
        <v>46158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59084-2025</t>
        </is>
      </c>
      <c r="B459" s="1" t="n">
        <v>45988</v>
      </c>
      <c r="C459" s="1" t="n">
        <v>46158</v>
      </c>
      <c r="D459" t="inlineStr">
        <is>
          <t>VÄSTERBOTTENS LÄN</t>
        </is>
      </c>
      <c r="E459" t="inlineStr">
        <is>
          <t>NORDMALING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59945-2025</t>
        </is>
      </c>
      <c r="B460" s="1" t="n">
        <v>45993.44833333333</v>
      </c>
      <c r="C460" s="1" t="n">
        <v>46158</v>
      </c>
      <c r="D460" t="inlineStr">
        <is>
          <t>VÄSTERBOTTENS LÄN</t>
        </is>
      </c>
      <c r="E460" t="inlineStr">
        <is>
          <t>NORDMALING</t>
        </is>
      </c>
      <c r="F460" t="inlineStr">
        <is>
          <t>SCA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59133-2025</t>
        </is>
      </c>
      <c r="B461" s="1" t="n">
        <v>45988</v>
      </c>
      <c r="C461" s="1" t="n">
        <v>46158</v>
      </c>
      <c r="D461" t="inlineStr">
        <is>
          <t>VÄSTERBOTTENS LÄN</t>
        </is>
      </c>
      <c r="E461" t="inlineStr">
        <is>
          <t>NORDMALING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59178-2025</t>
        </is>
      </c>
      <c r="B462" s="1" t="n">
        <v>45988</v>
      </c>
      <c r="C462" s="1" t="n">
        <v>46158</v>
      </c>
      <c r="D462" t="inlineStr">
        <is>
          <t>VÄSTERBOTTENS LÄN</t>
        </is>
      </c>
      <c r="E462" t="inlineStr">
        <is>
          <t>NORDMALING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59120-2025</t>
        </is>
      </c>
      <c r="B463" s="1" t="n">
        <v>45988</v>
      </c>
      <c r="C463" s="1" t="n">
        <v>46158</v>
      </c>
      <c r="D463" t="inlineStr">
        <is>
          <t>VÄSTERBOTTENS LÄN</t>
        </is>
      </c>
      <c r="E463" t="inlineStr">
        <is>
          <t>NORDMALING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59160-2025</t>
        </is>
      </c>
      <c r="B464" s="1" t="n">
        <v>45988</v>
      </c>
      <c r="C464" s="1" t="n">
        <v>46158</v>
      </c>
      <c r="D464" t="inlineStr">
        <is>
          <t>VÄSTERBOTTENS LÄN</t>
        </is>
      </c>
      <c r="E464" t="inlineStr">
        <is>
          <t>NORDMALING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63779-2023</t>
        </is>
      </c>
      <c r="B465" s="1" t="n">
        <v>45275</v>
      </c>
      <c r="C465" s="1" t="n">
        <v>46158</v>
      </c>
      <c r="D465" t="inlineStr">
        <is>
          <t>VÄSTERBOTTENS LÄN</t>
        </is>
      </c>
      <c r="E465" t="inlineStr">
        <is>
          <t>NORDMALING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60113-2025</t>
        </is>
      </c>
      <c r="B466" s="1" t="n">
        <v>45994.31009259259</v>
      </c>
      <c r="C466" s="1" t="n">
        <v>46158</v>
      </c>
      <c r="D466" t="inlineStr">
        <is>
          <t>VÄSTERBOTTENS LÄN</t>
        </is>
      </c>
      <c r="E466" t="inlineStr">
        <is>
          <t>NORDMALING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59169-2025</t>
        </is>
      </c>
      <c r="B467" s="1" t="n">
        <v>45988</v>
      </c>
      <c r="C467" s="1" t="n">
        <v>46158</v>
      </c>
      <c r="D467" t="inlineStr">
        <is>
          <t>VÄSTERBOTTENS LÄN</t>
        </is>
      </c>
      <c r="E467" t="inlineStr">
        <is>
          <t>NORDMALING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17451-2026</t>
        </is>
      </c>
      <c r="B468" s="1" t="n">
        <v>46116</v>
      </c>
      <c r="C468" s="1" t="n">
        <v>46158</v>
      </c>
      <c r="D468" t="inlineStr">
        <is>
          <t>VÄSTERBOTTENS LÄN</t>
        </is>
      </c>
      <c r="E468" t="inlineStr">
        <is>
          <t>NORDMALING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60669-2025</t>
        </is>
      </c>
      <c r="B469" s="1" t="n">
        <v>45996.52368055555</v>
      </c>
      <c r="C469" s="1" t="n">
        <v>46158</v>
      </c>
      <c r="D469" t="inlineStr">
        <is>
          <t>VÄSTERBOTTENS LÄN</t>
        </is>
      </c>
      <c r="E469" t="inlineStr">
        <is>
          <t>NORDMALING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29344-2023</t>
        </is>
      </c>
      <c r="B470" s="1" t="n">
        <v>45105.94471064815</v>
      </c>
      <c r="C470" s="1" t="n">
        <v>46158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30439-2024</t>
        </is>
      </c>
      <c r="B471" s="1" t="n">
        <v>45491.74201388889</v>
      </c>
      <c r="C471" s="1" t="n">
        <v>46158</v>
      </c>
      <c r="D471" t="inlineStr">
        <is>
          <t>VÄSTERBOTTENS LÄN</t>
        </is>
      </c>
      <c r="E471" t="inlineStr">
        <is>
          <t>NORDMALING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60780-2025</t>
        </is>
      </c>
      <c r="B472" s="1" t="n">
        <v>45999.39217592592</v>
      </c>
      <c r="C472" s="1" t="n">
        <v>46158</v>
      </c>
      <c r="D472" t="inlineStr">
        <is>
          <t>VÄSTERBOTTENS LÄN</t>
        </is>
      </c>
      <c r="E472" t="inlineStr">
        <is>
          <t>NORDMALING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53775-2023</t>
        </is>
      </c>
      <c r="B473" s="1" t="n">
        <v>45231.27434027778</v>
      </c>
      <c r="C473" s="1" t="n">
        <v>46158</v>
      </c>
      <c r="D473" t="inlineStr">
        <is>
          <t>VÄSTERBOTTENS LÄN</t>
        </is>
      </c>
      <c r="E473" t="inlineStr">
        <is>
          <t>NORDMALING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56734-2022</t>
        </is>
      </c>
      <c r="B474" s="1" t="n">
        <v>44893.94988425926</v>
      </c>
      <c r="C474" s="1" t="n">
        <v>46158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60851-2025</t>
        </is>
      </c>
      <c r="B475" s="1" t="n">
        <v>45999.5027662037</v>
      </c>
      <c r="C475" s="1" t="n">
        <v>46158</v>
      </c>
      <c r="D475" t="inlineStr">
        <is>
          <t>VÄSTERBOTTENS LÄN</t>
        </is>
      </c>
      <c r="E475" t="inlineStr">
        <is>
          <t>NORDMALING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61167-2025</t>
        </is>
      </c>
      <c r="B476" s="1" t="n">
        <v>46000.56664351852</v>
      </c>
      <c r="C476" s="1" t="n">
        <v>46158</v>
      </c>
      <c r="D476" t="inlineStr">
        <is>
          <t>VÄSTERBOTTENS LÄN</t>
        </is>
      </c>
      <c r="E476" t="inlineStr">
        <is>
          <t>NORDMALING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61639-2025</t>
        </is>
      </c>
      <c r="B477" s="1" t="n">
        <v>46002.43023148148</v>
      </c>
      <c r="C477" s="1" t="n">
        <v>46158</v>
      </c>
      <c r="D477" t="inlineStr">
        <is>
          <t>VÄSTERBOTTENS LÄN</t>
        </is>
      </c>
      <c r="E477" t="inlineStr">
        <is>
          <t>NORDMALING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11475-2026</t>
        </is>
      </c>
      <c r="B478" s="1" t="n">
        <v>46083.59635416666</v>
      </c>
      <c r="C478" s="1" t="n">
        <v>46158</v>
      </c>
      <c r="D478" t="inlineStr">
        <is>
          <t>VÄSTERBOTTENS LÄN</t>
        </is>
      </c>
      <c r="E478" t="inlineStr">
        <is>
          <t>NORDMALING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61090-2025</t>
        </is>
      </c>
      <c r="B479" s="1" t="n">
        <v>46000.42769675926</v>
      </c>
      <c r="C479" s="1" t="n">
        <v>46158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61783-2025</t>
        </is>
      </c>
      <c r="B480" s="1" t="n">
        <v>46002.6754050926</v>
      </c>
      <c r="C480" s="1" t="n">
        <v>46158</v>
      </c>
      <c r="D480" t="inlineStr">
        <is>
          <t>VÄSTERBOTTENS LÄN</t>
        </is>
      </c>
      <c r="E480" t="inlineStr">
        <is>
          <t>NORDMALING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3449-2023</t>
        </is>
      </c>
      <c r="B481" s="1" t="n">
        <v>44949.61246527778</v>
      </c>
      <c r="C481" s="1" t="n">
        <v>46158</v>
      </c>
      <c r="D481" t="inlineStr">
        <is>
          <t>VÄSTERBOTTENS LÄN</t>
        </is>
      </c>
      <c r="E481" t="inlineStr">
        <is>
          <t>NORDMALING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61644-2025</t>
        </is>
      </c>
      <c r="B482" s="1" t="n">
        <v>46002.43589120371</v>
      </c>
      <c r="C482" s="1" t="n">
        <v>46158</v>
      </c>
      <c r="D482" t="inlineStr">
        <is>
          <t>VÄSTERBOTTENS LÄN</t>
        </is>
      </c>
      <c r="E482" t="inlineStr">
        <is>
          <t>NORDMALING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61703-2025</t>
        </is>
      </c>
      <c r="B483" s="1" t="n">
        <v>46002.5459375</v>
      </c>
      <c r="C483" s="1" t="n">
        <v>46158</v>
      </c>
      <c r="D483" t="inlineStr">
        <is>
          <t>VÄSTERBOTTENS LÄN</t>
        </is>
      </c>
      <c r="E483" t="inlineStr">
        <is>
          <t>NORDMALING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61138-2025</t>
        </is>
      </c>
      <c r="B484" s="1" t="n">
        <v>46000.51100694444</v>
      </c>
      <c r="C484" s="1" t="n">
        <v>46158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61881-2025</t>
        </is>
      </c>
      <c r="B485" s="1" t="n">
        <v>46003.42759259259</v>
      </c>
      <c r="C485" s="1" t="n">
        <v>46158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18039-2026</t>
        </is>
      </c>
      <c r="B486" s="1" t="n">
        <v>46125.40951388889</v>
      </c>
      <c r="C486" s="1" t="n">
        <v>46158</v>
      </c>
      <c r="D486" t="inlineStr">
        <is>
          <t>VÄSTERBOTTENS LÄN</t>
        </is>
      </c>
      <c r="E486" t="inlineStr">
        <is>
          <t>NORDMALING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61900-2025</t>
        </is>
      </c>
      <c r="B487" s="1" t="n">
        <v>46003.46922453704</v>
      </c>
      <c r="C487" s="1" t="n">
        <v>46158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57251-2023</t>
        </is>
      </c>
      <c r="B488" s="1" t="n">
        <v>45245.56866898148</v>
      </c>
      <c r="C488" s="1" t="n">
        <v>46158</v>
      </c>
      <c r="D488" t="inlineStr">
        <is>
          <t>VÄSTERBOTTENS LÄN</t>
        </is>
      </c>
      <c r="E488" t="inlineStr">
        <is>
          <t>NORDMALING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62058-2025</t>
        </is>
      </c>
      <c r="B489" s="1" t="n">
        <v>46006.34244212963</v>
      </c>
      <c r="C489" s="1" t="n">
        <v>46158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Holmen skog AB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18042-2026</t>
        </is>
      </c>
      <c r="B490" s="1" t="n">
        <v>46125.41403935185</v>
      </c>
      <c r="C490" s="1" t="n">
        <v>46158</v>
      </c>
      <c r="D490" t="inlineStr">
        <is>
          <t>VÄSTERBOTTENS LÄN</t>
        </is>
      </c>
      <c r="E490" t="inlineStr">
        <is>
          <t>NORDMALING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34485-2023</t>
        </is>
      </c>
      <c r="B491" s="1" t="n">
        <v>45139.94703703704</v>
      </c>
      <c r="C491" s="1" t="n">
        <v>46158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62053-2025</t>
        </is>
      </c>
      <c r="B492" s="1" t="n">
        <v>46006.33436342593</v>
      </c>
      <c r="C492" s="1" t="n">
        <v>46158</v>
      </c>
      <c r="D492" t="inlineStr">
        <is>
          <t>VÄSTERBOTTENS LÄN</t>
        </is>
      </c>
      <c r="E492" t="inlineStr">
        <is>
          <t>NORDMALING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62247-2025</t>
        </is>
      </c>
      <c r="B493" s="1" t="n">
        <v>46006.60643518518</v>
      </c>
      <c r="C493" s="1" t="n">
        <v>46158</v>
      </c>
      <c r="D493" t="inlineStr">
        <is>
          <t>VÄSTERBOTTENS LÄN</t>
        </is>
      </c>
      <c r="E493" t="inlineStr">
        <is>
          <t>NORDMALING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62078-2025</t>
        </is>
      </c>
      <c r="B494" s="1" t="n">
        <v>46006.36768518519</v>
      </c>
      <c r="C494" s="1" t="n">
        <v>46158</v>
      </c>
      <c r="D494" t="inlineStr">
        <is>
          <t>VÄSTERBOTTENS LÄN</t>
        </is>
      </c>
      <c r="E494" t="inlineStr">
        <is>
          <t>NORDMALING</t>
        </is>
      </c>
      <c r="G494" t="n">
        <v>11.6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62061-2025</t>
        </is>
      </c>
      <c r="B495" s="1" t="n">
        <v>46006.34446759259</v>
      </c>
      <c r="C495" s="1" t="n">
        <v>46158</v>
      </c>
      <c r="D495" t="inlineStr">
        <is>
          <t>VÄSTERBOTTENS LÄN</t>
        </is>
      </c>
      <c r="E495" t="inlineStr">
        <is>
          <t>NORDMALING</t>
        </is>
      </c>
      <c r="G495" t="n">
        <v>11.3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62157-2025</t>
        </is>
      </c>
      <c r="B496" s="1" t="n">
        <v>46006.49039351852</v>
      </c>
      <c r="C496" s="1" t="n">
        <v>46158</v>
      </c>
      <c r="D496" t="inlineStr">
        <is>
          <t>VÄSTERBOTTENS LÄN</t>
        </is>
      </c>
      <c r="E496" t="inlineStr">
        <is>
          <t>NORDMALING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62151-2025</t>
        </is>
      </c>
      <c r="B497" s="1" t="n">
        <v>46006.48128472222</v>
      </c>
      <c r="C497" s="1" t="n">
        <v>46158</v>
      </c>
      <c r="D497" t="inlineStr">
        <is>
          <t>VÄSTERBOTTENS LÄN</t>
        </is>
      </c>
      <c r="E497" t="inlineStr">
        <is>
          <t>NORDMALING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62219-2025</t>
        </is>
      </c>
      <c r="B498" s="1" t="n">
        <v>46006.58076388889</v>
      </c>
      <c r="C498" s="1" t="n">
        <v>46158</v>
      </c>
      <c r="D498" t="inlineStr">
        <is>
          <t>VÄSTERBOTTENS LÄN</t>
        </is>
      </c>
      <c r="E498" t="inlineStr">
        <is>
          <t>NORDMALING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44950-2023</t>
        </is>
      </c>
      <c r="B499" s="1" t="n">
        <v>45187</v>
      </c>
      <c r="C499" s="1" t="n">
        <v>46158</v>
      </c>
      <c r="D499" t="inlineStr">
        <is>
          <t>VÄSTERBOTTENS LÄN</t>
        </is>
      </c>
      <c r="E499" t="inlineStr">
        <is>
          <t>NORDMALING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44952-2023</t>
        </is>
      </c>
      <c r="B500" s="1" t="n">
        <v>45187</v>
      </c>
      <c r="C500" s="1" t="n">
        <v>46158</v>
      </c>
      <c r="D500" t="inlineStr">
        <is>
          <t>VÄSTERBOTTENS LÄN</t>
        </is>
      </c>
      <c r="E500" t="inlineStr">
        <is>
          <t>NORDMALING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62165-2025</t>
        </is>
      </c>
      <c r="B501" s="1" t="n">
        <v>46006.49802083334</v>
      </c>
      <c r="C501" s="1" t="n">
        <v>46158</v>
      </c>
      <c r="D501" t="inlineStr">
        <is>
          <t>VÄSTERBOTTENS LÄN</t>
        </is>
      </c>
      <c r="E501" t="inlineStr">
        <is>
          <t>NORDMALING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42320-2024</t>
        </is>
      </c>
      <c r="B502" s="1" t="n">
        <v>45562.64625</v>
      </c>
      <c r="C502" s="1" t="n">
        <v>46158</v>
      </c>
      <c r="D502" t="inlineStr">
        <is>
          <t>VÄSTERBOTTENS LÄN</t>
        </is>
      </c>
      <c r="E502" t="inlineStr">
        <is>
          <t>NORDMALING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57590-2022</t>
        </is>
      </c>
      <c r="B503" s="1" t="n">
        <v>44896.97822916666</v>
      </c>
      <c r="C503" s="1" t="n">
        <v>46158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55698-2024</t>
        </is>
      </c>
      <c r="B504" s="1" t="n">
        <v>45622.68798611111</v>
      </c>
      <c r="C504" s="1" t="n">
        <v>46158</v>
      </c>
      <c r="D504" t="inlineStr">
        <is>
          <t>VÄSTERBOTTENS LÄN</t>
        </is>
      </c>
      <c r="E504" t="inlineStr">
        <is>
          <t>NORDMALING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55701-2024</t>
        </is>
      </c>
      <c r="B505" s="1" t="n">
        <v>45622.69039351852</v>
      </c>
      <c r="C505" s="1" t="n">
        <v>46158</v>
      </c>
      <c r="D505" t="inlineStr">
        <is>
          <t>VÄSTERBOTTENS LÄN</t>
        </is>
      </c>
      <c r="E505" t="inlineStr">
        <is>
          <t>NORDMALING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35803-2023</t>
        </is>
      </c>
      <c r="B506" s="1" t="n">
        <v>45147</v>
      </c>
      <c r="C506" s="1" t="n">
        <v>46158</v>
      </c>
      <c r="D506" t="inlineStr">
        <is>
          <t>VÄSTERBOTTENS LÄN</t>
        </is>
      </c>
      <c r="E506" t="inlineStr">
        <is>
          <t>NORDMALING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63077-2025</t>
        </is>
      </c>
      <c r="B507" s="1" t="n">
        <v>46009.66359953704</v>
      </c>
      <c r="C507" s="1" t="n">
        <v>46158</v>
      </c>
      <c r="D507" t="inlineStr">
        <is>
          <t>VÄSTERBOTTENS LÄN</t>
        </is>
      </c>
      <c r="E507" t="inlineStr">
        <is>
          <t>NORDMALING</t>
        </is>
      </c>
      <c r="G507" t="n">
        <v>10.4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62928-2025</t>
        </is>
      </c>
      <c r="B508" s="1" t="n">
        <v>46009.38614583333</v>
      </c>
      <c r="C508" s="1" t="n">
        <v>46158</v>
      </c>
      <c r="D508" t="inlineStr">
        <is>
          <t>VÄSTERBOTTENS LÄN</t>
        </is>
      </c>
      <c r="E508" t="inlineStr">
        <is>
          <t>NORDMALING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63256-2025</t>
        </is>
      </c>
      <c r="B509" s="1" t="n">
        <v>46010.55255787037</v>
      </c>
      <c r="C509" s="1" t="n">
        <v>46158</v>
      </c>
      <c r="D509" t="inlineStr">
        <is>
          <t>VÄSTERBOTTENS LÄN</t>
        </is>
      </c>
      <c r="E509" t="inlineStr">
        <is>
          <t>NORDMALING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43541-2024</t>
        </is>
      </c>
      <c r="B510" s="1" t="n">
        <v>45569.36511574074</v>
      </c>
      <c r="C510" s="1" t="n">
        <v>46158</v>
      </c>
      <c r="D510" t="inlineStr">
        <is>
          <t>VÄSTERBOTTENS LÄN</t>
        </is>
      </c>
      <c r="E510" t="inlineStr">
        <is>
          <t>NORDMALING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63266-2025</t>
        </is>
      </c>
      <c r="B511" s="1" t="n">
        <v>46010.56211805555</v>
      </c>
      <c r="C511" s="1" t="n">
        <v>46158</v>
      </c>
      <c r="D511" t="inlineStr">
        <is>
          <t>VÄSTERBOTTENS LÄN</t>
        </is>
      </c>
      <c r="E511" t="inlineStr">
        <is>
          <t>NORDMALING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45061-2024</t>
        </is>
      </c>
      <c r="B512" s="1" t="n">
        <v>45575</v>
      </c>
      <c r="C512" s="1" t="n">
        <v>46158</v>
      </c>
      <c r="D512" t="inlineStr">
        <is>
          <t>VÄSTERBOTTENS LÄN</t>
        </is>
      </c>
      <c r="E512" t="inlineStr">
        <is>
          <t>NORDMALING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63065-2025</t>
        </is>
      </c>
      <c r="B513" s="1" t="n">
        <v>46009.65525462963</v>
      </c>
      <c r="C513" s="1" t="n">
        <v>46158</v>
      </c>
      <c r="D513" t="inlineStr">
        <is>
          <t>VÄSTERBOTTENS LÄN</t>
        </is>
      </c>
      <c r="E513" t="inlineStr">
        <is>
          <t>NORDMALING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7254-2024</t>
        </is>
      </c>
      <c r="B514" s="1" t="n">
        <v>45344</v>
      </c>
      <c r="C514" s="1" t="n">
        <v>46158</v>
      </c>
      <c r="D514" t="inlineStr">
        <is>
          <t>VÄSTERBOTTENS LÄN</t>
        </is>
      </c>
      <c r="E514" t="inlineStr">
        <is>
          <t>NORDMALING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63035-2025</t>
        </is>
      </c>
      <c r="B515" s="1" t="n">
        <v>46009.61186342593</v>
      </c>
      <c r="C515" s="1" t="n">
        <v>46158</v>
      </c>
      <c r="D515" t="inlineStr">
        <is>
          <t>VÄSTERBOTTENS LÄN</t>
        </is>
      </c>
      <c r="E515" t="inlineStr">
        <is>
          <t>NORDMALING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35792-2023</t>
        </is>
      </c>
      <c r="B516" s="1" t="n">
        <v>45147</v>
      </c>
      <c r="C516" s="1" t="n">
        <v>46158</v>
      </c>
      <c r="D516" t="inlineStr">
        <is>
          <t>VÄSTERBOTTENS LÄN</t>
        </is>
      </c>
      <c r="E516" t="inlineStr">
        <is>
          <t>NORDMALING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63253-2025</t>
        </is>
      </c>
      <c r="B517" s="1" t="n">
        <v>46010.54806712963</v>
      </c>
      <c r="C517" s="1" t="n">
        <v>46158</v>
      </c>
      <c r="D517" t="inlineStr">
        <is>
          <t>VÄSTERBOTTENS LÄN</t>
        </is>
      </c>
      <c r="E517" t="inlineStr">
        <is>
          <t>NORDMALING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46158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35801-2023</t>
        </is>
      </c>
      <c r="B519" s="1" t="n">
        <v>45147</v>
      </c>
      <c r="C519" s="1" t="n">
        <v>46158</v>
      </c>
      <c r="D519" t="inlineStr">
        <is>
          <t>VÄSTERBOTTENS LÄN</t>
        </is>
      </c>
      <c r="E519" t="inlineStr">
        <is>
          <t>NORDMALING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35797-2023</t>
        </is>
      </c>
      <c r="B520" s="1" t="n">
        <v>45147</v>
      </c>
      <c r="C520" s="1" t="n">
        <v>46158</v>
      </c>
      <c r="D520" t="inlineStr">
        <is>
          <t>VÄSTERBOTTENS LÄN</t>
        </is>
      </c>
      <c r="E520" t="inlineStr">
        <is>
          <t>NORDMALING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63033-2025</t>
        </is>
      </c>
      <c r="B521" s="1" t="n">
        <v>46009.60849537037</v>
      </c>
      <c r="C521" s="1" t="n">
        <v>46158</v>
      </c>
      <c r="D521" t="inlineStr">
        <is>
          <t>VÄSTERBOTTENS LÄN</t>
        </is>
      </c>
      <c r="E521" t="inlineStr">
        <is>
          <t>NORDMALING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63007-2025</t>
        </is>
      </c>
      <c r="B522" s="1" t="n">
        <v>46009.57525462963</v>
      </c>
      <c r="C522" s="1" t="n">
        <v>46158</v>
      </c>
      <c r="D522" t="inlineStr">
        <is>
          <t>VÄSTERBOTTENS LÄN</t>
        </is>
      </c>
      <c r="E522" t="inlineStr">
        <is>
          <t>NORDMALING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63019-2025</t>
        </is>
      </c>
      <c r="B523" s="1" t="n">
        <v>46009.59363425926</v>
      </c>
      <c r="C523" s="1" t="n">
        <v>46158</v>
      </c>
      <c r="D523" t="inlineStr">
        <is>
          <t>VÄSTERBOTTENS LÄN</t>
        </is>
      </c>
      <c r="E523" t="inlineStr">
        <is>
          <t>NORDMALING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63037-2025</t>
        </is>
      </c>
      <c r="B524" s="1" t="n">
        <v>46009.61435185185</v>
      </c>
      <c r="C524" s="1" t="n">
        <v>46158</v>
      </c>
      <c r="D524" t="inlineStr">
        <is>
          <t>VÄSTERBOTTENS LÄN</t>
        </is>
      </c>
      <c r="E524" t="inlineStr">
        <is>
          <t>NORDMALING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63073-2025</t>
        </is>
      </c>
      <c r="B525" s="1" t="n">
        <v>46009.66118055556</v>
      </c>
      <c r="C525" s="1" t="n">
        <v>46158</v>
      </c>
      <c r="D525" t="inlineStr">
        <is>
          <t>VÄSTERBOTTENS LÄN</t>
        </is>
      </c>
      <c r="E525" t="inlineStr">
        <is>
          <t>NORDMALING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18589-2026</t>
        </is>
      </c>
      <c r="B526" s="1" t="n">
        <v>46127.63484953704</v>
      </c>
      <c r="C526" s="1" t="n">
        <v>46158</v>
      </c>
      <c r="D526" t="inlineStr">
        <is>
          <t>VÄSTERBOTTENS LÄN</t>
        </is>
      </c>
      <c r="E526" t="inlineStr">
        <is>
          <t>NORDMALING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40845-2024</t>
        </is>
      </c>
      <c r="B527" s="1" t="n">
        <v>45558</v>
      </c>
      <c r="C527" s="1" t="n">
        <v>46158</v>
      </c>
      <c r="D527" t="inlineStr">
        <is>
          <t>VÄSTERBOTTENS LÄN</t>
        </is>
      </c>
      <c r="E527" t="inlineStr">
        <is>
          <t>NORDMALING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19029-2025</t>
        </is>
      </c>
      <c r="B528" s="1" t="n">
        <v>45764.6515162037</v>
      </c>
      <c r="C528" s="1" t="n">
        <v>46158</v>
      </c>
      <c r="D528" t="inlineStr">
        <is>
          <t>VÄSTERBOTTENS LÄN</t>
        </is>
      </c>
      <c r="E528" t="inlineStr">
        <is>
          <t>NORDMALING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21863-2024</t>
        </is>
      </c>
      <c r="B529" s="1" t="n">
        <v>45443</v>
      </c>
      <c r="C529" s="1" t="n">
        <v>46158</v>
      </c>
      <c r="D529" t="inlineStr">
        <is>
          <t>VÄSTERBOTTENS LÄN</t>
        </is>
      </c>
      <c r="E529" t="inlineStr">
        <is>
          <t>NORDMALING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22618-2024</t>
        </is>
      </c>
      <c r="B530" s="1" t="n">
        <v>45447.65377314815</v>
      </c>
      <c r="C530" s="1" t="n">
        <v>46158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Holmen skog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69519-2021</t>
        </is>
      </c>
      <c r="B531" s="1" t="n">
        <v>44531</v>
      </c>
      <c r="C531" s="1" t="n">
        <v>46158</v>
      </c>
      <c r="D531" t="inlineStr">
        <is>
          <t>VÄSTERBOTTENS LÄN</t>
        </is>
      </c>
      <c r="E531" t="inlineStr">
        <is>
          <t>NORDMALING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15808-2023</t>
        </is>
      </c>
      <c r="B532" s="1" t="n">
        <v>45021</v>
      </c>
      <c r="C532" s="1" t="n">
        <v>46158</v>
      </c>
      <c r="D532" t="inlineStr">
        <is>
          <t>VÄSTERBOTTENS LÄN</t>
        </is>
      </c>
      <c r="E532" t="inlineStr">
        <is>
          <t>NORDMALING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9853-2026</t>
        </is>
      </c>
      <c r="B533" s="1" t="n">
        <v>46072</v>
      </c>
      <c r="C533" s="1" t="n">
        <v>46158</v>
      </c>
      <c r="D533" t="inlineStr">
        <is>
          <t>VÄSTERBOTTENS LÄN</t>
        </is>
      </c>
      <c r="E533" t="inlineStr">
        <is>
          <t>NORDMALING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34901-2023</t>
        </is>
      </c>
      <c r="B534" s="1" t="n">
        <v>45141</v>
      </c>
      <c r="C534" s="1" t="n">
        <v>46158</v>
      </c>
      <c r="D534" t="inlineStr">
        <is>
          <t>VÄSTERBOTTENS LÄN</t>
        </is>
      </c>
      <c r="E534" t="inlineStr">
        <is>
          <t>NORDMALING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34905-2023</t>
        </is>
      </c>
      <c r="B535" s="1" t="n">
        <v>45141</v>
      </c>
      <c r="C535" s="1" t="n">
        <v>46158</v>
      </c>
      <c r="D535" t="inlineStr">
        <is>
          <t>VÄSTERBOTTENS LÄN</t>
        </is>
      </c>
      <c r="E535" t="inlineStr">
        <is>
          <t>NORDMALING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72018-2021</t>
        </is>
      </c>
      <c r="B536" s="1" t="n">
        <v>44540</v>
      </c>
      <c r="C536" s="1" t="n">
        <v>46158</v>
      </c>
      <c r="D536" t="inlineStr">
        <is>
          <t>VÄSTERBOTTENS LÄN</t>
        </is>
      </c>
      <c r="E536" t="inlineStr">
        <is>
          <t>NORDMALING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24415-2024</t>
        </is>
      </c>
      <c r="B537" s="1" t="n">
        <v>45457</v>
      </c>
      <c r="C537" s="1" t="n">
        <v>46158</v>
      </c>
      <c r="D537" t="inlineStr">
        <is>
          <t>VÄSTERBOTTENS LÄN</t>
        </is>
      </c>
      <c r="E537" t="inlineStr">
        <is>
          <t>NORDMALING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18839-2026</t>
        </is>
      </c>
      <c r="B538" s="1" t="n">
        <v>46129.29188657407</v>
      </c>
      <c r="C538" s="1" t="n">
        <v>46158</v>
      </c>
      <c r="D538" t="inlineStr">
        <is>
          <t>VÄSTERBOTTENS LÄN</t>
        </is>
      </c>
      <c r="E538" t="inlineStr">
        <is>
          <t>NORDMALING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9864-2026</t>
        </is>
      </c>
      <c r="B539" s="1" t="n">
        <v>46072</v>
      </c>
      <c r="C539" s="1" t="n">
        <v>46158</v>
      </c>
      <c r="D539" t="inlineStr">
        <is>
          <t>VÄSTERBOTTENS LÄN</t>
        </is>
      </c>
      <c r="E539" t="inlineStr">
        <is>
          <t>NORDMALING</t>
        </is>
      </c>
      <c r="G539" t="n">
        <v>16.8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8642-2023</t>
        </is>
      </c>
      <c r="B540" s="1" t="n">
        <v>44977</v>
      </c>
      <c r="C540" s="1" t="n">
        <v>46158</v>
      </c>
      <c r="D540" t="inlineStr">
        <is>
          <t>VÄSTERBOTTENS LÄN</t>
        </is>
      </c>
      <c r="E540" t="inlineStr">
        <is>
          <t>NORDMALING</t>
        </is>
      </c>
      <c r="F540" t="inlineStr">
        <is>
          <t>SCA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18786-2026</t>
        </is>
      </c>
      <c r="B541" s="1" t="n">
        <v>46128.59755787037</v>
      </c>
      <c r="C541" s="1" t="n">
        <v>46158</v>
      </c>
      <c r="D541" t="inlineStr">
        <is>
          <t>VÄSTERBOTTENS LÄN</t>
        </is>
      </c>
      <c r="E541" t="inlineStr">
        <is>
          <t>NORDMALING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18788-2026</t>
        </is>
      </c>
      <c r="B542" s="1" t="n">
        <v>46128.6003587963</v>
      </c>
      <c r="C542" s="1" t="n">
        <v>46158</v>
      </c>
      <c r="D542" t="inlineStr">
        <is>
          <t>VÄSTERBOTTENS LÄN</t>
        </is>
      </c>
      <c r="E542" t="inlineStr">
        <is>
          <t>NORDMALING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48951-2024</t>
        </is>
      </c>
      <c r="B543" s="1" t="n">
        <v>45594.43097222222</v>
      </c>
      <c r="C543" s="1" t="n">
        <v>46158</v>
      </c>
      <c r="D543" t="inlineStr">
        <is>
          <t>VÄSTERBOTTENS LÄN</t>
        </is>
      </c>
      <c r="E543" t="inlineStr">
        <is>
          <t>NORDMALING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18931-2026</t>
        </is>
      </c>
      <c r="B544" s="1" t="n">
        <v>46129.56761574074</v>
      </c>
      <c r="C544" s="1" t="n">
        <v>46158</v>
      </c>
      <c r="D544" t="inlineStr">
        <is>
          <t>VÄSTERBOTTENS LÄN</t>
        </is>
      </c>
      <c r="E544" t="inlineStr">
        <is>
          <t>NORDMALING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42501-2023</t>
        </is>
      </c>
      <c r="B545" s="1" t="n">
        <v>45180.95841435185</v>
      </c>
      <c r="C545" s="1" t="n">
        <v>46158</v>
      </c>
      <c r="D545" t="inlineStr">
        <is>
          <t>VÄSTERBOTTENS LÄN</t>
        </is>
      </c>
      <c r="E545" t="inlineStr">
        <is>
          <t>NORDMALING</t>
        </is>
      </c>
      <c r="F545" t="inlineStr">
        <is>
          <t>SCA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19158-2026</t>
        </is>
      </c>
      <c r="B546" s="1" t="n">
        <v>46132.55716435185</v>
      </c>
      <c r="C546" s="1" t="n">
        <v>46158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19143-2026</t>
        </is>
      </c>
      <c r="B547" s="1" t="n">
        <v>46132</v>
      </c>
      <c r="C547" s="1" t="n">
        <v>46158</v>
      </c>
      <c r="D547" t="inlineStr">
        <is>
          <t>VÄSTERBOTTENS LÄN</t>
        </is>
      </c>
      <c r="E547" t="inlineStr">
        <is>
          <t>NORDMALING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19147-2026</t>
        </is>
      </c>
      <c r="B548" s="1" t="n">
        <v>46132</v>
      </c>
      <c r="C548" s="1" t="n">
        <v>46158</v>
      </c>
      <c r="D548" t="inlineStr">
        <is>
          <t>VÄSTERBOTTENS LÄN</t>
        </is>
      </c>
      <c r="E548" t="inlineStr">
        <is>
          <t>NORDMALING</t>
        </is>
      </c>
      <c r="G548" t="n">
        <v>8.1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19154-2026</t>
        </is>
      </c>
      <c r="B549" s="1" t="n">
        <v>46132.55072916667</v>
      </c>
      <c r="C549" s="1" t="n">
        <v>46158</v>
      </c>
      <c r="D549" t="inlineStr">
        <is>
          <t>VÄSTERBOTTENS LÄN</t>
        </is>
      </c>
      <c r="E549" t="inlineStr">
        <is>
          <t>NORDMALING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18881-2026</t>
        </is>
      </c>
      <c r="B550" s="1" t="n">
        <v>46129</v>
      </c>
      <c r="C550" s="1" t="n">
        <v>46158</v>
      </c>
      <c r="D550" t="inlineStr">
        <is>
          <t>VÄSTERBOTTENS LÄN</t>
        </is>
      </c>
      <c r="E550" t="inlineStr">
        <is>
          <t>NORDMALING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18897-2026</t>
        </is>
      </c>
      <c r="B551" s="1" t="n">
        <v>46129</v>
      </c>
      <c r="C551" s="1" t="n">
        <v>46158</v>
      </c>
      <c r="D551" t="inlineStr">
        <is>
          <t>VÄSTERBOTTENS LÄN</t>
        </is>
      </c>
      <c r="E551" t="inlineStr">
        <is>
          <t>NORDMALING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2251-2025</t>
        </is>
      </c>
      <c r="B552" s="1" t="n">
        <v>45673.5</v>
      </c>
      <c r="C552" s="1" t="n">
        <v>46158</v>
      </c>
      <c r="D552" t="inlineStr">
        <is>
          <t>VÄSTERBOTTENS LÄN</t>
        </is>
      </c>
      <c r="E552" t="inlineStr">
        <is>
          <t>NORDMALING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15986-2023</t>
        </is>
      </c>
      <c r="B553" s="1" t="n">
        <v>45022.94265046297</v>
      </c>
      <c r="C553" s="1" t="n">
        <v>46158</v>
      </c>
      <c r="D553" t="inlineStr">
        <is>
          <t>VÄSTERBOTTENS LÄN</t>
        </is>
      </c>
      <c r="E553" t="inlineStr">
        <is>
          <t>NORDMALING</t>
        </is>
      </c>
      <c r="F553" t="inlineStr">
        <is>
          <t>SCA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48515-2024</t>
        </is>
      </c>
      <c r="B554" s="1" t="n">
        <v>45593.31179398148</v>
      </c>
      <c r="C554" s="1" t="n">
        <v>46158</v>
      </c>
      <c r="D554" t="inlineStr">
        <is>
          <t>VÄSTERBOTTENS LÄN</t>
        </is>
      </c>
      <c r="E554" t="inlineStr">
        <is>
          <t>NORDMALING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18894-2026</t>
        </is>
      </c>
      <c r="B555" s="1" t="n">
        <v>46129</v>
      </c>
      <c r="C555" s="1" t="n">
        <v>46158</v>
      </c>
      <c r="D555" t="inlineStr">
        <is>
          <t>VÄSTERBOTTENS LÄN</t>
        </is>
      </c>
      <c r="E555" t="inlineStr">
        <is>
          <t>NORDMALING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9541-2023</t>
        </is>
      </c>
      <c r="B556" s="1" t="n">
        <v>44981</v>
      </c>
      <c r="C556" s="1" t="n">
        <v>46158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53889-2024</t>
        </is>
      </c>
      <c r="B557" s="1" t="n">
        <v>45615.67903935185</v>
      </c>
      <c r="C557" s="1" t="n">
        <v>46158</v>
      </c>
      <c r="D557" t="inlineStr">
        <is>
          <t>VÄSTERBOTTENS LÄN</t>
        </is>
      </c>
      <c r="E557" t="inlineStr">
        <is>
          <t>NORDMALING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34904-2023</t>
        </is>
      </c>
      <c r="B558" s="1" t="n">
        <v>45141</v>
      </c>
      <c r="C558" s="1" t="n">
        <v>46158</v>
      </c>
      <c r="D558" t="inlineStr">
        <is>
          <t>VÄSTERBOTTENS LÄN</t>
        </is>
      </c>
      <c r="E558" t="inlineStr">
        <is>
          <t>NORDMALING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47516-2024</t>
        </is>
      </c>
      <c r="B559" s="1" t="n">
        <v>45587</v>
      </c>
      <c r="C559" s="1" t="n">
        <v>46158</v>
      </c>
      <c r="D559" t="inlineStr">
        <is>
          <t>VÄSTERBOTTENS LÄN</t>
        </is>
      </c>
      <c r="E559" t="inlineStr">
        <is>
          <t>NORDMALING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37549-2023</t>
        </is>
      </c>
      <c r="B560" s="1" t="n">
        <v>45158</v>
      </c>
      <c r="C560" s="1" t="n">
        <v>46158</v>
      </c>
      <c r="D560" t="inlineStr">
        <is>
          <t>VÄSTERBOTTENS LÄN</t>
        </is>
      </c>
      <c r="E560" t="inlineStr">
        <is>
          <t>NORDMALING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46625-2024</t>
        </is>
      </c>
      <c r="B561" s="1" t="n">
        <v>45583.3296875</v>
      </c>
      <c r="C561" s="1" t="n">
        <v>46158</v>
      </c>
      <c r="D561" t="inlineStr">
        <is>
          <t>VÄSTERBOTTENS LÄN</t>
        </is>
      </c>
      <c r="E561" t="inlineStr">
        <is>
          <t>NORDMALING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35292-2023</t>
        </is>
      </c>
      <c r="B562" s="1" t="n">
        <v>45145</v>
      </c>
      <c r="C562" s="1" t="n">
        <v>46158</v>
      </c>
      <c r="D562" t="inlineStr">
        <is>
          <t>VÄSTERBOTTENS LÄN</t>
        </is>
      </c>
      <c r="E562" t="inlineStr">
        <is>
          <t>NORDMALING</t>
        </is>
      </c>
      <c r="F562" t="inlineStr">
        <is>
          <t>SCA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2925-2025</t>
        </is>
      </c>
      <c r="B563" s="1" t="n">
        <v>45678.32653935185</v>
      </c>
      <c r="C563" s="1" t="n">
        <v>46158</v>
      </c>
      <c r="D563" t="inlineStr">
        <is>
          <t>VÄSTERBOTTENS LÄN</t>
        </is>
      </c>
      <c r="E563" t="inlineStr">
        <is>
          <t>NORDMALING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19565-2026</t>
        </is>
      </c>
      <c r="B564" s="1" t="n">
        <v>46134.43127314815</v>
      </c>
      <c r="C564" s="1" t="n">
        <v>46158</v>
      </c>
      <c r="D564" t="inlineStr">
        <is>
          <t>VÄSTERBOTTENS LÄN</t>
        </is>
      </c>
      <c r="E564" t="inlineStr">
        <is>
          <t>NORDMALING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25373-2024</t>
        </is>
      </c>
      <c r="B565" s="1" t="n">
        <v>45462.96096064815</v>
      </c>
      <c r="C565" s="1" t="n">
        <v>46158</v>
      </c>
      <c r="D565" t="inlineStr">
        <is>
          <t>VÄSTERBOTTENS LÄN</t>
        </is>
      </c>
      <c r="E565" t="inlineStr">
        <is>
          <t>NORDMALING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9867-2026</t>
        </is>
      </c>
      <c r="B566" s="1" t="n">
        <v>46072</v>
      </c>
      <c r="C566" s="1" t="n">
        <v>46158</v>
      </c>
      <c r="D566" t="inlineStr">
        <is>
          <t>VÄSTERBOTTENS LÄN</t>
        </is>
      </c>
      <c r="E566" t="inlineStr">
        <is>
          <t>NORDMALING</t>
        </is>
      </c>
      <c r="G566" t="n">
        <v>11.6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19731-2026</t>
        </is>
      </c>
      <c r="B567" s="1" t="n">
        <v>46135.30471064815</v>
      </c>
      <c r="C567" s="1" t="n">
        <v>46158</v>
      </c>
      <c r="D567" t="inlineStr">
        <is>
          <t>VÄSTERBOTTENS LÄN</t>
        </is>
      </c>
      <c r="E567" t="inlineStr">
        <is>
          <t>NORDMALING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19797-2026</t>
        </is>
      </c>
      <c r="B568" s="1" t="n">
        <v>46135.53171296296</v>
      </c>
      <c r="C568" s="1" t="n">
        <v>46158</v>
      </c>
      <c r="D568" t="inlineStr">
        <is>
          <t>VÄSTERBOTTENS LÄN</t>
        </is>
      </c>
      <c r="E568" t="inlineStr">
        <is>
          <t>NORDMALING</t>
        </is>
      </c>
      <c r="F568" t="inlineStr">
        <is>
          <t>SCA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59289-2024</t>
        </is>
      </c>
      <c r="B569" s="1" t="n">
        <v>45637.64994212963</v>
      </c>
      <c r="C569" s="1" t="n">
        <v>46158</v>
      </c>
      <c r="D569" t="inlineStr">
        <is>
          <t>VÄSTERBOTTENS LÄN</t>
        </is>
      </c>
      <c r="E569" t="inlineStr">
        <is>
          <t>NORDMALING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11369-2023</t>
        </is>
      </c>
      <c r="B570" s="1" t="n">
        <v>44993.43899305556</v>
      </c>
      <c r="C570" s="1" t="n">
        <v>46158</v>
      </c>
      <c r="D570" t="inlineStr">
        <is>
          <t>VÄSTERBOTTENS LÄN</t>
        </is>
      </c>
      <c r="E570" t="inlineStr">
        <is>
          <t>NORDMALING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34252-2024</t>
        </is>
      </c>
      <c r="B571" s="1" t="n">
        <v>45524.59075231481</v>
      </c>
      <c r="C571" s="1" t="n">
        <v>46158</v>
      </c>
      <c r="D571" t="inlineStr">
        <is>
          <t>VÄSTERBOTTENS LÄN</t>
        </is>
      </c>
      <c r="E571" t="inlineStr">
        <is>
          <t>NORDMALING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13496-2026</t>
        </is>
      </c>
      <c r="B572" s="1" t="n">
        <v>46094.5894675926</v>
      </c>
      <c r="C572" s="1" t="n">
        <v>46158</v>
      </c>
      <c r="D572" t="inlineStr">
        <is>
          <t>VÄSTERBOTTENS LÄN</t>
        </is>
      </c>
      <c r="E572" t="inlineStr">
        <is>
          <t>NORDMALING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13559-2026</t>
        </is>
      </c>
      <c r="B573" s="1" t="n">
        <v>46094.78865740741</v>
      </c>
      <c r="C573" s="1" t="n">
        <v>46158</v>
      </c>
      <c r="D573" t="inlineStr">
        <is>
          <t>VÄSTERBOTTENS LÄN</t>
        </is>
      </c>
      <c r="E573" t="inlineStr">
        <is>
          <t>NORDMALING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13566-2026</t>
        </is>
      </c>
      <c r="B574" s="1" t="n">
        <v>46094.8096875</v>
      </c>
      <c r="C574" s="1" t="n">
        <v>46158</v>
      </c>
      <c r="D574" t="inlineStr">
        <is>
          <t>VÄSTERBOTTENS LÄN</t>
        </is>
      </c>
      <c r="E574" t="inlineStr">
        <is>
          <t>NORDMALING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20015-2026</t>
        </is>
      </c>
      <c r="B575" s="1" t="n">
        <v>46136.49</v>
      </c>
      <c r="C575" s="1" t="n">
        <v>46158</v>
      </c>
      <c r="D575" t="inlineStr">
        <is>
          <t>VÄSTERBOTTENS LÄN</t>
        </is>
      </c>
      <c r="E575" t="inlineStr">
        <is>
          <t>NORDMALING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14434-2024</t>
        </is>
      </c>
      <c r="B576" s="1" t="n">
        <v>45394</v>
      </c>
      <c r="C576" s="1" t="n">
        <v>46158</v>
      </c>
      <c r="D576" t="inlineStr">
        <is>
          <t>VÄSTERBOTTENS LÄN</t>
        </is>
      </c>
      <c r="E576" t="inlineStr">
        <is>
          <t>NORDMALING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44475-2024</t>
        </is>
      </c>
      <c r="B577" s="1" t="n">
        <v>45574</v>
      </c>
      <c r="C577" s="1" t="n">
        <v>46158</v>
      </c>
      <c r="D577" t="inlineStr">
        <is>
          <t>VÄSTERBOTTENS LÄN</t>
        </is>
      </c>
      <c r="E577" t="inlineStr">
        <is>
          <t>NORDMALING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20035-2026</t>
        </is>
      </c>
      <c r="B578" s="1" t="n">
        <v>46136.55365740741</v>
      </c>
      <c r="C578" s="1" t="n">
        <v>46158</v>
      </c>
      <c r="D578" t="inlineStr">
        <is>
          <t>VÄSTERBOTTENS LÄN</t>
        </is>
      </c>
      <c r="E578" t="inlineStr">
        <is>
          <t>NORDMALING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5258-2024</t>
        </is>
      </c>
      <c r="B579" s="1" t="n">
        <v>45330</v>
      </c>
      <c r="C579" s="1" t="n">
        <v>46158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34489-2024</t>
        </is>
      </c>
      <c r="B580" s="1" t="n">
        <v>45525.61174768519</v>
      </c>
      <c r="C580" s="1" t="n">
        <v>46158</v>
      </c>
      <c r="D580" t="inlineStr">
        <is>
          <t>VÄSTERBOTTENS LÄN</t>
        </is>
      </c>
      <c r="E580" t="inlineStr">
        <is>
          <t>NORDMALING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54207-2024</t>
        </is>
      </c>
      <c r="B581" s="1" t="n">
        <v>45616.65459490741</v>
      </c>
      <c r="C581" s="1" t="n">
        <v>46158</v>
      </c>
      <c r="D581" t="inlineStr">
        <is>
          <t>VÄSTERBOTTENS LÄN</t>
        </is>
      </c>
      <c r="E581" t="inlineStr">
        <is>
          <t>NORDMALING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20162-2026</t>
        </is>
      </c>
      <c r="B582" s="1" t="n">
        <v>46139.29422453704</v>
      </c>
      <c r="C582" s="1" t="n">
        <v>46158</v>
      </c>
      <c r="D582" t="inlineStr">
        <is>
          <t>VÄSTERBOTTENS LÄN</t>
        </is>
      </c>
      <c r="E582" t="inlineStr">
        <is>
          <t>NORDMALING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44012-2023</t>
        </is>
      </c>
      <c r="B583" s="1" t="n">
        <v>45182</v>
      </c>
      <c r="C583" s="1" t="n">
        <v>46158</v>
      </c>
      <c r="D583" t="inlineStr">
        <is>
          <t>VÄSTERBOTTENS LÄN</t>
        </is>
      </c>
      <c r="E583" t="inlineStr">
        <is>
          <t>NORDMALING</t>
        </is>
      </c>
      <c r="G583" t="n">
        <v>20.1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20062-2026</t>
        </is>
      </c>
      <c r="B584" s="1" t="n">
        <v>46136.58930555556</v>
      </c>
      <c r="C584" s="1" t="n">
        <v>46158</v>
      </c>
      <c r="D584" t="inlineStr">
        <is>
          <t>VÄSTERBOTTENS LÄN</t>
        </is>
      </c>
      <c r="E584" t="inlineStr">
        <is>
          <t>NORDMALING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44924-2023</t>
        </is>
      </c>
      <c r="B585" s="1" t="n">
        <v>45187</v>
      </c>
      <c r="C585" s="1" t="n">
        <v>46158</v>
      </c>
      <c r="D585" t="inlineStr">
        <is>
          <t>VÄSTERBOTTENS LÄN</t>
        </is>
      </c>
      <c r="E585" t="inlineStr">
        <is>
          <t>NORDMALING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20721-2026</t>
        </is>
      </c>
      <c r="B586" s="1" t="n">
        <v>46141.53625</v>
      </c>
      <c r="C586" s="1" t="n">
        <v>46158</v>
      </c>
      <c r="D586" t="inlineStr">
        <is>
          <t>VÄSTERBOTTENS LÄN</t>
        </is>
      </c>
      <c r="E586" t="inlineStr">
        <is>
          <t>NORDMALING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25344-2024</t>
        </is>
      </c>
      <c r="B587" s="1" t="n">
        <v>45462.92693287037</v>
      </c>
      <c r="C587" s="1" t="n">
        <v>46158</v>
      </c>
      <c r="D587" t="inlineStr">
        <is>
          <t>VÄSTERBOTTENS LÄN</t>
        </is>
      </c>
      <c r="E587" t="inlineStr">
        <is>
          <t>NORDMALING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25349-2024</t>
        </is>
      </c>
      <c r="B588" s="1" t="n">
        <v>45462</v>
      </c>
      <c r="C588" s="1" t="n">
        <v>46158</v>
      </c>
      <c r="D588" t="inlineStr">
        <is>
          <t>VÄSTERBOTTENS LÄN</t>
        </is>
      </c>
      <c r="E588" t="inlineStr">
        <is>
          <t>NORDMALING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59518-2024</t>
        </is>
      </c>
      <c r="B589" s="1" t="n">
        <v>45638.5696875</v>
      </c>
      <c r="C589" s="1" t="n">
        <v>46158</v>
      </c>
      <c r="D589" t="inlineStr">
        <is>
          <t>VÄSTERBOTTENS LÄN</t>
        </is>
      </c>
      <c r="E589" t="inlineStr">
        <is>
          <t>NORDMALING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20733-2026</t>
        </is>
      </c>
      <c r="B590" s="1" t="n">
        <v>46141.56142361111</v>
      </c>
      <c r="C590" s="1" t="n">
        <v>46158</v>
      </c>
      <c r="D590" t="inlineStr">
        <is>
          <t>VÄSTERBOTTENS LÄN</t>
        </is>
      </c>
      <c r="E590" t="inlineStr">
        <is>
          <t>NORDMALING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8759-2025</t>
        </is>
      </c>
      <c r="B591" s="1" t="n">
        <v>45712.57372685185</v>
      </c>
      <c r="C591" s="1" t="n">
        <v>46158</v>
      </c>
      <c r="D591" t="inlineStr">
        <is>
          <t>VÄSTERBOTTENS LÄN</t>
        </is>
      </c>
      <c r="E591" t="inlineStr">
        <is>
          <t>NORDMALING</t>
        </is>
      </c>
      <c r="G591" t="n">
        <v>11.1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60765-2024</t>
        </is>
      </c>
      <c r="B592" s="1" t="n">
        <v>45644.57631944444</v>
      </c>
      <c r="C592" s="1" t="n">
        <v>46158</v>
      </c>
      <c r="D592" t="inlineStr">
        <is>
          <t>VÄSTERBOTTENS LÄN</t>
        </is>
      </c>
      <c r="E592" t="inlineStr">
        <is>
          <t>NORDMALING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18232-2024</t>
        </is>
      </c>
      <c r="B593" s="1" t="n">
        <v>45420</v>
      </c>
      <c r="C593" s="1" t="n">
        <v>46158</v>
      </c>
      <c r="D593" t="inlineStr">
        <is>
          <t>VÄSTERBOTTENS LÄN</t>
        </is>
      </c>
      <c r="E593" t="inlineStr">
        <is>
          <t>NORDMALING</t>
        </is>
      </c>
      <c r="F593" t="inlineStr">
        <is>
          <t>SCA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363-2025</t>
        </is>
      </c>
      <c r="B594" s="1" t="n">
        <v>45660.9071412037</v>
      </c>
      <c r="C594" s="1" t="n">
        <v>46158</v>
      </c>
      <c r="D594" t="inlineStr">
        <is>
          <t>VÄSTERBOTTENS LÄN</t>
        </is>
      </c>
      <c r="E594" t="inlineStr">
        <is>
          <t>NORDMALING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21622-2023</t>
        </is>
      </c>
      <c r="B595" s="1" t="n">
        <v>45062</v>
      </c>
      <c r="C595" s="1" t="n">
        <v>46158</v>
      </c>
      <c r="D595" t="inlineStr">
        <is>
          <t>VÄSTERBOTTENS LÄN</t>
        </is>
      </c>
      <c r="E595" t="inlineStr">
        <is>
          <t>NORDMALING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21862-2024</t>
        </is>
      </c>
      <c r="B596" s="1" t="n">
        <v>45443</v>
      </c>
      <c r="C596" s="1" t="n">
        <v>46158</v>
      </c>
      <c r="D596" t="inlineStr">
        <is>
          <t>VÄSTERBOTTENS LÄN</t>
        </is>
      </c>
      <c r="E596" t="inlineStr">
        <is>
          <t>NORDMALING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15250-2026</t>
        </is>
      </c>
      <c r="B597" s="1" t="n">
        <v>46105</v>
      </c>
      <c r="C597" s="1" t="n">
        <v>46158</v>
      </c>
      <c r="D597" t="inlineStr">
        <is>
          <t>VÄSTERBOTTENS LÄN</t>
        </is>
      </c>
      <c r="E597" t="inlineStr">
        <is>
          <t>NORDMALING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15028-2025</t>
        </is>
      </c>
      <c r="B598" s="1" t="n">
        <v>45743.65723379629</v>
      </c>
      <c r="C598" s="1" t="n">
        <v>46158</v>
      </c>
      <c r="D598" t="inlineStr">
        <is>
          <t>VÄSTERBOTTENS LÄN</t>
        </is>
      </c>
      <c r="E598" t="inlineStr">
        <is>
          <t>NORDMALING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47777-2022</t>
        </is>
      </c>
      <c r="B599" s="1" t="n">
        <v>44854</v>
      </c>
      <c r="C599" s="1" t="n">
        <v>46158</v>
      </c>
      <c r="D599" t="inlineStr">
        <is>
          <t>VÄSTERBOTTENS LÄN</t>
        </is>
      </c>
      <c r="E599" t="inlineStr">
        <is>
          <t>NORDMALING</t>
        </is>
      </c>
      <c r="G599" t="n">
        <v>10.5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2311-2025</t>
        </is>
      </c>
      <c r="B600" s="1" t="n">
        <v>45673.60427083333</v>
      </c>
      <c r="C600" s="1" t="n">
        <v>46158</v>
      </c>
      <c r="D600" t="inlineStr">
        <is>
          <t>VÄSTERBOTTENS LÄN</t>
        </is>
      </c>
      <c r="E600" t="inlineStr">
        <is>
          <t>NORDMALING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48940-2022</t>
        </is>
      </c>
      <c r="B601" s="1" t="n">
        <v>44859.9572337963</v>
      </c>
      <c r="C601" s="1" t="n">
        <v>46158</v>
      </c>
      <c r="D601" t="inlineStr">
        <is>
          <t>VÄSTERBOTTENS LÄN</t>
        </is>
      </c>
      <c r="E601" t="inlineStr">
        <is>
          <t>NORDMALING</t>
        </is>
      </c>
      <c r="F601" t="inlineStr">
        <is>
          <t>SCA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16323-2025</t>
        </is>
      </c>
      <c r="B602" s="1" t="n">
        <v>45751.34894675926</v>
      </c>
      <c r="C602" s="1" t="n">
        <v>46158</v>
      </c>
      <c r="D602" t="inlineStr">
        <is>
          <t>VÄSTERBOTTENS LÄN</t>
        </is>
      </c>
      <c r="E602" t="inlineStr">
        <is>
          <t>NORDMALING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39851-2023</t>
        </is>
      </c>
      <c r="B603" s="1" t="n">
        <v>45166</v>
      </c>
      <c r="C603" s="1" t="n">
        <v>46158</v>
      </c>
      <c r="D603" t="inlineStr">
        <is>
          <t>VÄSTERBOTTENS LÄN</t>
        </is>
      </c>
      <c r="E603" t="inlineStr">
        <is>
          <t>NORDMALING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51832-2024</t>
        </is>
      </c>
      <c r="B604" s="1" t="n">
        <v>45607.50537037037</v>
      </c>
      <c r="C604" s="1" t="n">
        <v>46158</v>
      </c>
      <c r="D604" t="inlineStr">
        <is>
          <t>VÄSTERBOTTENS LÄN</t>
        </is>
      </c>
      <c r="E604" t="inlineStr">
        <is>
          <t>NORDMALING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72841-2021</t>
        </is>
      </c>
      <c r="B605" s="1" t="n">
        <v>44547.45057870371</v>
      </c>
      <c r="C605" s="1" t="n">
        <v>46158</v>
      </c>
      <c r="D605" t="inlineStr">
        <is>
          <t>VÄSTERBOTTENS LÄN</t>
        </is>
      </c>
      <c r="E605" t="inlineStr">
        <is>
          <t>NORDMALING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59348-2024</t>
        </is>
      </c>
      <c r="B606" s="1" t="n">
        <v>45638</v>
      </c>
      <c r="C606" s="1" t="n">
        <v>46158</v>
      </c>
      <c r="D606" t="inlineStr">
        <is>
          <t>VÄSTERBOTTENS LÄN</t>
        </is>
      </c>
      <c r="E606" t="inlineStr">
        <is>
          <t>NORDMALING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33612-2022</t>
        </is>
      </c>
      <c r="B607" s="1" t="n">
        <v>44789</v>
      </c>
      <c r="C607" s="1" t="n">
        <v>46158</v>
      </c>
      <c r="D607" t="inlineStr">
        <is>
          <t>VÄSTERBOTTENS LÄN</t>
        </is>
      </c>
      <c r="E607" t="inlineStr">
        <is>
          <t>NORDMALING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48946-2023</t>
        </is>
      </c>
      <c r="B608" s="1" t="n">
        <v>45204</v>
      </c>
      <c r="C608" s="1" t="n">
        <v>46158</v>
      </c>
      <c r="D608" t="inlineStr">
        <is>
          <t>VÄSTERBOTTENS LÄN</t>
        </is>
      </c>
      <c r="E608" t="inlineStr">
        <is>
          <t>NORDMALING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21444-2026</t>
        </is>
      </c>
      <c r="B609" s="1" t="n">
        <v>46148</v>
      </c>
      <c r="C609" s="1" t="n">
        <v>46158</v>
      </c>
      <c r="D609" t="inlineStr">
        <is>
          <t>VÄSTERBOTTENS LÄN</t>
        </is>
      </c>
      <c r="E609" t="inlineStr">
        <is>
          <t>NORDMALING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34685-2023</t>
        </is>
      </c>
      <c r="B610" s="1" t="n">
        <v>45140.96217592592</v>
      </c>
      <c r="C610" s="1" t="n">
        <v>46158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34484-2023</t>
        </is>
      </c>
      <c r="B611" s="1" t="n">
        <v>45139.94689814815</v>
      </c>
      <c r="C611" s="1" t="n">
        <v>46158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20476-2025</t>
        </is>
      </c>
      <c r="B612" s="1" t="n">
        <v>45775.54994212963</v>
      </c>
      <c r="C612" s="1" t="n">
        <v>46158</v>
      </c>
      <c r="D612" t="inlineStr">
        <is>
          <t>VÄSTERBOTTENS LÄN</t>
        </is>
      </c>
      <c r="E612" t="inlineStr">
        <is>
          <t>NORDMALING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20479-2025</t>
        </is>
      </c>
      <c r="B613" s="1" t="n">
        <v>45775</v>
      </c>
      <c r="C613" s="1" t="n">
        <v>46158</v>
      </c>
      <c r="D613" t="inlineStr">
        <is>
          <t>VÄSTERBOTTENS LÄN</t>
        </is>
      </c>
      <c r="E613" t="inlineStr">
        <is>
          <t>NORDMALING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20481-2025</t>
        </is>
      </c>
      <c r="B614" s="1" t="n">
        <v>45775</v>
      </c>
      <c r="C614" s="1" t="n">
        <v>46158</v>
      </c>
      <c r="D614" t="inlineStr">
        <is>
          <t>VÄSTERBOTTENS LÄN</t>
        </is>
      </c>
      <c r="E614" t="inlineStr">
        <is>
          <t>NORDMALING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7019-2025</t>
        </is>
      </c>
      <c r="B615" s="1" t="n">
        <v>45701.61490740741</v>
      </c>
      <c r="C615" s="1" t="n">
        <v>46158</v>
      </c>
      <c r="D615" t="inlineStr">
        <is>
          <t>VÄSTERBOTTENS LÄN</t>
        </is>
      </c>
      <c r="E615" t="inlineStr">
        <is>
          <t>NORDMALING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15723-2026</t>
        </is>
      </c>
      <c r="B616" s="1" t="n">
        <v>46106</v>
      </c>
      <c r="C616" s="1" t="n">
        <v>46158</v>
      </c>
      <c r="D616" t="inlineStr">
        <is>
          <t>VÄSTERBOTTENS LÄN</t>
        </is>
      </c>
      <c r="E616" t="inlineStr">
        <is>
          <t>NORDMALING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16392-2026</t>
        </is>
      </c>
      <c r="B617" s="1" t="n">
        <v>46111.63450231482</v>
      </c>
      <c r="C617" s="1" t="n">
        <v>46158</v>
      </c>
      <c r="D617" t="inlineStr">
        <is>
          <t>VÄSTERBOTTENS LÄN</t>
        </is>
      </c>
      <c r="E617" t="inlineStr">
        <is>
          <t>NORDMALING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15963-2026</t>
        </is>
      </c>
      <c r="B618" s="1" t="n">
        <v>46108.32565972222</v>
      </c>
      <c r="C618" s="1" t="n">
        <v>46158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7080-2025</t>
        </is>
      </c>
      <c r="B619" s="1" t="n">
        <v>45701.69836805556</v>
      </c>
      <c r="C619" s="1" t="n">
        <v>46158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15961-2026</t>
        </is>
      </c>
      <c r="B620" s="1" t="n">
        <v>46108.31914351852</v>
      </c>
      <c r="C620" s="1" t="n">
        <v>46158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Naturvårdsverket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55305-2023</t>
        </is>
      </c>
      <c r="B621" s="1" t="n">
        <v>45237.86452546297</v>
      </c>
      <c r="C621" s="1" t="n">
        <v>46158</v>
      </c>
      <c r="D621" t="inlineStr">
        <is>
          <t>VÄSTERBOTTENS LÄN</t>
        </is>
      </c>
      <c r="E621" t="inlineStr">
        <is>
          <t>NORDMALING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16016-2026</t>
        </is>
      </c>
      <c r="B622" s="1" t="n">
        <v>46108.44231481481</v>
      </c>
      <c r="C622" s="1" t="n">
        <v>46158</v>
      </c>
      <c r="D622" t="inlineStr">
        <is>
          <t>VÄSTERBOTTENS LÄN</t>
        </is>
      </c>
      <c r="E622" t="inlineStr">
        <is>
          <t>NORDMALING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22581-2026</t>
        </is>
      </c>
      <c r="B623" s="1" t="n">
        <v>46155.57134259259</v>
      </c>
      <c r="C623" s="1" t="n">
        <v>46158</v>
      </c>
      <c r="D623" t="inlineStr">
        <is>
          <t>VÄSTERBOTTENS LÄN</t>
        </is>
      </c>
      <c r="E623" t="inlineStr">
        <is>
          <t>NORDMALING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56801-2023</t>
        </is>
      </c>
      <c r="B624" s="1" t="n">
        <v>45244.43186342593</v>
      </c>
      <c r="C624" s="1" t="n">
        <v>46158</v>
      </c>
      <c r="D624" t="inlineStr">
        <is>
          <t>VÄSTERBOTTENS LÄN</t>
        </is>
      </c>
      <c r="E624" t="inlineStr">
        <is>
          <t>NORDMALING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39816-2023</t>
        </is>
      </c>
      <c r="B625" s="1" t="n">
        <v>45167.95972222222</v>
      </c>
      <c r="C625" s="1" t="n">
        <v>46158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SCA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18639-2022</t>
        </is>
      </c>
      <c r="B626" s="1" t="n">
        <v>44687</v>
      </c>
      <c r="C626" s="1" t="n">
        <v>46158</v>
      </c>
      <c r="D626" t="inlineStr">
        <is>
          <t>VÄSTERBOTTENS LÄN</t>
        </is>
      </c>
      <c r="E626" t="inlineStr">
        <is>
          <t>NORDMALING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879-2025</t>
        </is>
      </c>
      <c r="B627" s="1" t="n">
        <v>45665</v>
      </c>
      <c r="C627" s="1" t="n">
        <v>46158</v>
      </c>
      <c r="D627" t="inlineStr">
        <is>
          <t>VÄSTERBOTTENS LÄN</t>
        </is>
      </c>
      <c r="E627" t="inlineStr">
        <is>
          <t>NORDMALING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55740-2023</t>
        </is>
      </c>
      <c r="B628" s="1" t="n">
        <v>45239.43872685185</v>
      </c>
      <c r="C628" s="1" t="n">
        <v>46158</v>
      </c>
      <c r="D628" t="inlineStr">
        <is>
          <t>VÄSTERBOTTENS LÄN</t>
        </is>
      </c>
      <c r="E628" t="inlineStr">
        <is>
          <t>NORDMALING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37548-2023</t>
        </is>
      </c>
      <c r="B629" s="1" t="n">
        <v>45158.97362268518</v>
      </c>
      <c r="C629" s="1" t="n">
        <v>46158</v>
      </c>
      <c r="D629" t="inlineStr">
        <is>
          <t>VÄSTERBOTTENS LÄN</t>
        </is>
      </c>
      <c r="E629" t="inlineStr">
        <is>
          <t>NORDMALING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19516-2025</t>
        </is>
      </c>
      <c r="B630" s="1" t="n">
        <v>45770.44284722222</v>
      </c>
      <c r="C630" s="1" t="n">
        <v>46158</v>
      </c>
      <c r="D630" t="inlineStr">
        <is>
          <t>VÄSTERBOTTENS LÄN</t>
        </is>
      </c>
      <c r="E630" t="inlineStr">
        <is>
          <t>NORDMALING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16719-2026</t>
        </is>
      </c>
      <c r="B631" s="1" t="n">
        <v>46113.35361111111</v>
      </c>
      <c r="C631" s="1" t="n">
        <v>46158</v>
      </c>
      <c r="D631" t="inlineStr">
        <is>
          <t>VÄSTERBOTTENS LÄN</t>
        </is>
      </c>
      <c r="E631" t="inlineStr">
        <is>
          <t>NORDMALING</t>
        </is>
      </c>
      <c r="G631" t="n">
        <v>6.2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16932-2026</t>
        </is>
      </c>
      <c r="B632" s="1" t="n">
        <v>46113.69875</v>
      </c>
      <c r="C632" s="1" t="n">
        <v>46158</v>
      </c>
      <c r="D632" t="inlineStr">
        <is>
          <t>VÄSTERBOTTENS LÄN</t>
        </is>
      </c>
      <c r="E632" t="inlineStr">
        <is>
          <t>NORDMALING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16724-2026</t>
        </is>
      </c>
      <c r="B633" s="1" t="n">
        <v>46113.35996527778</v>
      </c>
      <c r="C633" s="1" t="n">
        <v>46158</v>
      </c>
      <c r="D633" t="inlineStr">
        <is>
          <t>VÄSTERBOTTENS LÄN</t>
        </is>
      </c>
      <c r="E633" t="inlineStr">
        <is>
          <t>NORDMALING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16713-2026</t>
        </is>
      </c>
      <c r="B634" s="1" t="n">
        <v>46113.34616898148</v>
      </c>
      <c r="C634" s="1" t="n">
        <v>46158</v>
      </c>
      <c r="D634" t="inlineStr">
        <is>
          <t>VÄSTERBOTTENS LÄN</t>
        </is>
      </c>
      <c r="E634" t="inlineStr">
        <is>
          <t>NORDMALING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22669-2026</t>
        </is>
      </c>
      <c r="B635" s="1" t="n">
        <v>46155.77488425926</v>
      </c>
      <c r="C635" s="1" t="n">
        <v>46158</v>
      </c>
      <c r="D635" t="inlineStr">
        <is>
          <t>VÄSTERBOTTENS LÄN</t>
        </is>
      </c>
      <c r="E635" t="inlineStr">
        <is>
          <t>NORDMALING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21952-2026</t>
        </is>
      </c>
      <c r="B636" s="1" t="n">
        <v>46151.7532175926</v>
      </c>
      <c r="C636" s="1" t="n">
        <v>46158</v>
      </c>
      <c r="D636" t="inlineStr">
        <is>
          <t>VÄSTERBOTTENS LÄN</t>
        </is>
      </c>
      <c r="E636" t="inlineStr">
        <is>
          <t>NORDMALING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21947-2026</t>
        </is>
      </c>
      <c r="B637" s="1" t="n">
        <v>46151.49640046297</v>
      </c>
      <c r="C637" s="1" t="n">
        <v>46158</v>
      </c>
      <c r="D637" t="inlineStr">
        <is>
          <t>VÄSTERBOTTENS LÄN</t>
        </is>
      </c>
      <c r="E637" t="inlineStr">
        <is>
          <t>NORDMALING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30009-2022</t>
        </is>
      </c>
      <c r="B638" s="1" t="n">
        <v>44756.94358796296</v>
      </c>
      <c r="C638" s="1" t="n">
        <v>46158</v>
      </c>
      <c r="D638" t="inlineStr">
        <is>
          <t>VÄSTERBOTTENS LÄN</t>
        </is>
      </c>
      <c r="E638" t="inlineStr">
        <is>
          <t>NORDMALING</t>
        </is>
      </c>
      <c r="F638" t="inlineStr">
        <is>
          <t>SCA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61795-2023</t>
        </is>
      </c>
      <c r="B639" s="1" t="n">
        <v>45265</v>
      </c>
      <c r="C639" s="1" t="n">
        <v>46158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SCA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11651-2025</t>
        </is>
      </c>
      <c r="B640" s="1" t="n">
        <v>45727.4807175926</v>
      </c>
      <c r="C640" s="1" t="n">
        <v>46158</v>
      </c>
      <c r="D640" t="inlineStr">
        <is>
          <t>VÄSTERBOTTENS LÄN</t>
        </is>
      </c>
      <c r="E640" t="inlineStr">
        <is>
          <t>NORDMALING</t>
        </is>
      </c>
      <c r="G640" t="n">
        <v>7.5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39198-2022</t>
        </is>
      </c>
      <c r="B641" s="1" t="n">
        <v>44816</v>
      </c>
      <c r="C641" s="1" t="n">
        <v>46158</v>
      </c>
      <c r="D641" t="inlineStr">
        <is>
          <t>VÄSTERBOTTENS LÄN</t>
        </is>
      </c>
      <c r="E641" t="inlineStr">
        <is>
          <t>NORDMALING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58613-2022</t>
        </is>
      </c>
      <c r="B642" s="1" t="n">
        <v>44902.58502314815</v>
      </c>
      <c r="C642" s="1" t="n">
        <v>46158</v>
      </c>
      <c r="D642" t="inlineStr">
        <is>
          <t>VÄSTERBOTTENS LÄN</t>
        </is>
      </c>
      <c r="E642" t="inlineStr">
        <is>
          <t>NORDMALING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1856-2023</t>
        </is>
      </c>
      <c r="B643" s="1" t="n">
        <v>44938</v>
      </c>
      <c r="C643" s="1" t="n">
        <v>46158</v>
      </c>
      <c r="D643" t="inlineStr">
        <is>
          <t>VÄSTERBOTTENS LÄN</t>
        </is>
      </c>
      <c r="E643" t="inlineStr">
        <is>
          <t>NORDMALING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13506-2025</t>
        </is>
      </c>
      <c r="B644" s="1" t="n">
        <v>45736.46910879629</v>
      </c>
      <c r="C644" s="1" t="n">
        <v>46158</v>
      </c>
      <c r="D644" t="inlineStr">
        <is>
          <t>VÄSTERBOTTENS LÄN</t>
        </is>
      </c>
      <c r="E644" t="inlineStr">
        <is>
          <t>NORDMALING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42823-2024</t>
        </is>
      </c>
      <c r="B645" s="1" t="n">
        <v>45566</v>
      </c>
      <c r="C645" s="1" t="n">
        <v>46158</v>
      </c>
      <c r="D645" t="inlineStr">
        <is>
          <t>VÄSTERBOTTENS LÄN</t>
        </is>
      </c>
      <c r="E645" t="inlineStr">
        <is>
          <t>NORDMALING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54730-2024</t>
        </is>
      </c>
      <c r="B646" s="1" t="n">
        <v>45618.4383912037</v>
      </c>
      <c r="C646" s="1" t="n">
        <v>46158</v>
      </c>
      <c r="D646" t="inlineStr">
        <is>
          <t>VÄSTERBOTTENS LÄN</t>
        </is>
      </c>
      <c r="E646" t="inlineStr">
        <is>
          <t>NORDMALING</t>
        </is>
      </c>
      <c r="F646" t="inlineStr">
        <is>
          <t>SCA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47482-2024</t>
        </is>
      </c>
      <c r="B647" s="1" t="n">
        <v>45587.5822337963</v>
      </c>
      <c r="C647" s="1" t="n">
        <v>46158</v>
      </c>
      <c r="D647" t="inlineStr">
        <is>
          <t>VÄSTERBOTTENS LÄN</t>
        </is>
      </c>
      <c r="E647" t="inlineStr">
        <is>
          <t>NORDMALING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54169-2024</t>
        </is>
      </c>
      <c r="B648" s="1" t="n">
        <v>45616.625</v>
      </c>
      <c r="C648" s="1" t="n">
        <v>46158</v>
      </c>
      <c r="D648" t="inlineStr">
        <is>
          <t>VÄSTERBOTTENS LÄN</t>
        </is>
      </c>
      <c r="E648" t="inlineStr">
        <is>
          <t>NORDMALING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40008-2023</t>
        </is>
      </c>
      <c r="B649" s="1" t="n">
        <v>45167</v>
      </c>
      <c r="C649" s="1" t="n">
        <v>46158</v>
      </c>
      <c r="D649" t="inlineStr">
        <is>
          <t>VÄSTERBOTTENS LÄN</t>
        </is>
      </c>
      <c r="E649" t="inlineStr">
        <is>
          <t>NORDMALING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2921-2025</t>
        </is>
      </c>
      <c r="B650" s="1" t="n">
        <v>45678.321875</v>
      </c>
      <c r="C650" s="1" t="n">
        <v>46158</v>
      </c>
      <c r="D650" t="inlineStr">
        <is>
          <t>VÄSTERBOTTENS LÄN</t>
        </is>
      </c>
      <c r="E650" t="inlineStr">
        <is>
          <t>NORDMALING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8103-2025</t>
        </is>
      </c>
      <c r="B651" s="1" t="n">
        <v>45707</v>
      </c>
      <c r="C651" s="1" t="n">
        <v>46158</v>
      </c>
      <c r="D651" t="inlineStr">
        <is>
          <t>VÄSTERBOTTENS LÄN</t>
        </is>
      </c>
      <c r="E651" t="inlineStr">
        <is>
          <t>NORDMALING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31486-2024</t>
        </is>
      </c>
      <c r="B652" s="1" t="n">
        <v>45505.95335648148</v>
      </c>
      <c r="C652" s="1" t="n">
        <v>46158</v>
      </c>
      <c r="D652" t="inlineStr">
        <is>
          <t>VÄSTERBOTTENS LÄN</t>
        </is>
      </c>
      <c r="E652" t="inlineStr">
        <is>
          <t>NORDMALING</t>
        </is>
      </c>
      <c r="F652" t="inlineStr">
        <is>
          <t>SCA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36429-2024</t>
        </is>
      </c>
      <c r="B653" s="1" t="n">
        <v>45536.85508101852</v>
      </c>
      <c r="C653" s="1" t="n">
        <v>46158</v>
      </c>
      <c r="D653" t="inlineStr">
        <is>
          <t>VÄSTERBOTTENS LÄN</t>
        </is>
      </c>
      <c r="E653" t="inlineStr">
        <is>
          <t>NORDMALING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62159-2022</t>
        </is>
      </c>
      <c r="B654" s="1" t="n">
        <v>44922.43946759259</v>
      </c>
      <c r="C654" s="1" t="n">
        <v>46158</v>
      </c>
      <c r="D654" t="inlineStr">
        <is>
          <t>VÄSTERBOTTENS LÄN</t>
        </is>
      </c>
      <c r="E654" t="inlineStr">
        <is>
          <t>NORDMALING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19865-2024</t>
        </is>
      </c>
      <c r="B655" s="1" t="n">
        <v>45433</v>
      </c>
      <c r="C655" s="1" t="n">
        <v>46158</v>
      </c>
      <c r="D655" t="inlineStr">
        <is>
          <t>VÄSTERBOTTENS LÄN</t>
        </is>
      </c>
      <c r="E655" t="inlineStr">
        <is>
          <t>NORDMALING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59176-2024</t>
        </is>
      </c>
      <c r="B656" s="1" t="n">
        <v>45637.50048611111</v>
      </c>
      <c r="C656" s="1" t="n">
        <v>46158</v>
      </c>
      <c r="D656" t="inlineStr">
        <is>
          <t>VÄSTERBOTTENS LÄN</t>
        </is>
      </c>
      <c r="E656" t="inlineStr">
        <is>
          <t>NORDMALING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20489-2025</t>
        </is>
      </c>
      <c r="B657" s="1" t="n">
        <v>45775.56321759259</v>
      </c>
      <c r="C657" s="1" t="n">
        <v>46158</v>
      </c>
      <c r="D657" t="inlineStr">
        <is>
          <t>VÄSTERBOTTENS LÄN</t>
        </is>
      </c>
      <c r="E657" t="inlineStr">
        <is>
          <t>NORDMALING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61657-2022</t>
        </is>
      </c>
      <c r="B658" s="1" t="n">
        <v>44916</v>
      </c>
      <c r="C658" s="1" t="n">
        <v>46158</v>
      </c>
      <c r="D658" t="inlineStr">
        <is>
          <t>VÄSTERBOTTENS LÄN</t>
        </is>
      </c>
      <c r="E658" t="inlineStr">
        <is>
          <t>NORDMALING</t>
        </is>
      </c>
      <c r="F658" t="inlineStr">
        <is>
          <t>SCA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3456-2023</t>
        </is>
      </c>
      <c r="B659" s="1" t="n">
        <v>44949</v>
      </c>
      <c r="C659" s="1" t="n">
        <v>46158</v>
      </c>
      <c r="D659" t="inlineStr">
        <is>
          <t>VÄSTERBOTTENS LÄN</t>
        </is>
      </c>
      <c r="E659" t="inlineStr">
        <is>
          <t>NORDMALING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39104-2022</t>
        </is>
      </c>
      <c r="B660" s="1" t="n">
        <v>44816</v>
      </c>
      <c r="C660" s="1" t="n">
        <v>46158</v>
      </c>
      <c r="D660" t="inlineStr">
        <is>
          <t>VÄSTERBOTTENS LÄN</t>
        </is>
      </c>
      <c r="E660" t="inlineStr">
        <is>
          <t>NORDMALING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21607-2022</t>
        </is>
      </c>
      <c r="B661" s="1" t="n">
        <v>44706.66061342593</v>
      </c>
      <c r="C661" s="1" t="n">
        <v>46158</v>
      </c>
      <c r="D661" t="inlineStr">
        <is>
          <t>VÄSTERBOTTENS LÄN</t>
        </is>
      </c>
      <c r="E661" t="inlineStr">
        <is>
          <t>NORDMALING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58655-2023</t>
        </is>
      </c>
      <c r="B662" s="1" t="n">
        <v>45247</v>
      </c>
      <c r="C662" s="1" t="n">
        <v>46158</v>
      </c>
      <c r="D662" t="inlineStr">
        <is>
          <t>VÄSTERBOTTENS LÄN</t>
        </is>
      </c>
      <c r="E662" t="inlineStr">
        <is>
          <t>NORDMALING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58480-2023</t>
        </is>
      </c>
      <c r="B663" s="1" t="n">
        <v>45251.3116087963</v>
      </c>
      <c r="C663" s="1" t="n">
        <v>46158</v>
      </c>
      <c r="D663" t="inlineStr">
        <is>
          <t>VÄSTERBOTTENS LÄN</t>
        </is>
      </c>
      <c r="E663" t="inlineStr">
        <is>
          <t>NORDMALING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7618-2024</t>
        </is>
      </c>
      <c r="B664" s="1" t="n">
        <v>45348</v>
      </c>
      <c r="C664" s="1" t="n">
        <v>46158</v>
      </c>
      <c r="D664" t="inlineStr">
        <is>
          <t>VÄSTERBOTTENS LÄN</t>
        </is>
      </c>
      <c r="E664" t="inlineStr">
        <is>
          <t>NORDMALING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7007-2024</t>
        </is>
      </c>
      <c r="B665" s="1" t="n">
        <v>45343</v>
      </c>
      <c r="C665" s="1" t="n">
        <v>46158</v>
      </c>
      <c r="D665" t="inlineStr">
        <is>
          <t>VÄSTERBOTTENS LÄN</t>
        </is>
      </c>
      <c r="E665" t="inlineStr">
        <is>
          <t>NORDMALING</t>
        </is>
      </c>
      <c r="F665" t="inlineStr">
        <is>
          <t>Kommuner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9860-2022</t>
        </is>
      </c>
      <c r="B666" s="1" t="n">
        <v>44620</v>
      </c>
      <c r="C666" s="1" t="n">
        <v>46158</v>
      </c>
      <c r="D666" t="inlineStr">
        <is>
          <t>VÄSTERBOTTENS LÄN</t>
        </is>
      </c>
      <c r="E666" t="inlineStr">
        <is>
          <t>NORDMALING</t>
        </is>
      </c>
      <c r="G666" t="n">
        <v>82.40000000000001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14519-2023</t>
        </is>
      </c>
      <c r="B667" s="1" t="n">
        <v>45012.92611111111</v>
      </c>
      <c r="C667" s="1" t="n">
        <v>46158</v>
      </c>
      <c r="D667" t="inlineStr">
        <is>
          <t>VÄSTERBOTTENS LÄN</t>
        </is>
      </c>
      <c r="E667" t="inlineStr">
        <is>
          <t>NORDMALING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17462-2023</t>
        </is>
      </c>
      <c r="B668" s="1" t="n">
        <v>45034</v>
      </c>
      <c r="C668" s="1" t="n">
        <v>46158</v>
      </c>
      <c r="D668" t="inlineStr">
        <is>
          <t>VÄSTERBOTTENS LÄN</t>
        </is>
      </c>
      <c r="E668" t="inlineStr">
        <is>
          <t>NORDMALING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61198-2024</t>
        </is>
      </c>
      <c r="B669" s="1" t="n">
        <v>45645.63362268519</v>
      </c>
      <c r="C669" s="1" t="n">
        <v>46158</v>
      </c>
      <c r="D669" t="inlineStr">
        <is>
          <t>VÄSTERBOTTENS LÄN</t>
        </is>
      </c>
      <c r="E669" t="inlineStr">
        <is>
          <t>NORDMALING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40053-2021</t>
        </is>
      </c>
      <c r="B670" s="1" t="n">
        <v>44418</v>
      </c>
      <c r="C670" s="1" t="n">
        <v>46158</v>
      </c>
      <c r="D670" t="inlineStr">
        <is>
          <t>VÄSTERBOTTENS LÄN</t>
        </is>
      </c>
      <c r="E670" t="inlineStr">
        <is>
          <t>NORDMALING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21079-2024</t>
        </is>
      </c>
      <c r="B671" s="1" t="n">
        <v>45439</v>
      </c>
      <c r="C671" s="1" t="n">
        <v>46158</v>
      </c>
      <c r="D671" t="inlineStr">
        <is>
          <t>VÄSTERBOTTENS LÄN</t>
        </is>
      </c>
      <c r="E671" t="inlineStr">
        <is>
          <t>NORDMALING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53986-2022</t>
        </is>
      </c>
      <c r="B672" s="1" t="n">
        <v>44881.35148148148</v>
      </c>
      <c r="C672" s="1" t="n">
        <v>46158</v>
      </c>
      <c r="D672" t="inlineStr">
        <is>
          <t>VÄSTERBOTTENS LÄN</t>
        </is>
      </c>
      <c r="E672" t="inlineStr">
        <is>
          <t>NORDMALING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54893-2024</t>
        </is>
      </c>
      <c r="B673" s="1" t="n">
        <v>45618.63597222222</v>
      </c>
      <c r="C673" s="1" t="n">
        <v>46158</v>
      </c>
      <c r="D673" t="inlineStr">
        <is>
          <t>VÄSTERBOTTENS LÄN</t>
        </is>
      </c>
      <c r="E673" t="inlineStr">
        <is>
          <t>NORDMALING</t>
        </is>
      </c>
      <c r="F673" t="inlineStr">
        <is>
          <t>SCA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2260-2025</t>
        </is>
      </c>
      <c r="B674" s="1" t="n">
        <v>45673.51790509259</v>
      </c>
      <c r="C674" s="1" t="n">
        <v>46158</v>
      </c>
      <c r="D674" t="inlineStr">
        <is>
          <t>VÄSTERBOTTENS LÄN</t>
        </is>
      </c>
      <c r="E674" t="inlineStr">
        <is>
          <t>NORDMALING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26197-2022</t>
        </is>
      </c>
      <c r="B675" s="1" t="n">
        <v>44735</v>
      </c>
      <c r="C675" s="1" t="n">
        <v>46158</v>
      </c>
      <c r="D675" t="inlineStr">
        <is>
          <t>VÄSTERBOTTENS LÄN</t>
        </is>
      </c>
      <c r="E675" t="inlineStr">
        <is>
          <t>NORDMALING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59531-2024</t>
        </is>
      </c>
      <c r="B676" s="1" t="n">
        <v>45638.59567129629</v>
      </c>
      <c r="C676" s="1" t="n">
        <v>46158</v>
      </c>
      <c r="D676" t="inlineStr">
        <is>
          <t>VÄSTERBOTTENS LÄN</t>
        </is>
      </c>
      <c r="E676" t="inlineStr">
        <is>
          <t>NORDMALING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55634-2023</t>
        </is>
      </c>
      <c r="B677" s="1" t="n">
        <v>45238</v>
      </c>
      <c r="C677" s="1" t="n">
        <v>46158</v>
      </c>
      <c r="D677" t="inlineStr">
        <is>
          <t>VÄSTERBOTTENS LÄN</t>
        </is>
      </c>
      <c r="E677" t="inlineStr">
        <is>
          <t>NORDMALING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49417-2022</t>
        </is>
      </c>
      <c r="B678" s="1" t="n">
        <v>44859</v>
      </c>
      <c r="C678" s="1" t="n">
        <v>46158</v>
      </c>
      <c r="D678" t="inlineStr">
        <is>
          <t>VÄSTERBOTTENS LÄN</t>
        </is>
      </c>
      <c r="E678" t="inlineStr">
        <is>
          <t>NORDMALING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14689-2025</t>
        </is>
      </c>
      <c r="B679" s="1" t="n">
        <v>45742</v>
      </c>
      <c r="C679" s="1" t="n">
        <v>46158</v>
      </c>
      <c r="D679" t="inlineStr">
        <is>
          <t>VÄSTERBOTTENS LÄN</t>
        </is>
      </c>
      <c r="E679" t="inlineStr">
        <is>
          <t>NORDMALING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6225-2023</t>
        </is>
      </c>
      <c r="B680" s="1" t="n">
        <v>44964.87805555556</v>
      </c>
      <c r="C680" s="1" t="n">
        <v>46158</v>
      </c>
      <c r="D680" t="inlineStr">
        <is>
          <t>VÄSTERBOTTENS LÄN</t>
        </is>
      </c>
      <c r="E680" t="inlineStr">
        <is>
          <t>NORDMALING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27382-2024</t>
        </is>
      </c>
      <c r="B681" s="1" t="n">
        <v>45473.9594212963</v>
      </c>
      <c r="C681" s="1" t="n">
        <v>46158</v>
      </c>
      <c r="D681" t="inlineStr">
        <is>
          <t>VÄSTERBOTTENS LÄN</t>
        </is>
      </c>
      <c r="E681" t="inlineStr">
        <is>
          <t>NORDMALING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15750-2023</t>
        </is>
      </c>
      <c r="B682" s="1" t="n">
        <v>45021.6141087963</v>
      </c>
      <c r="C682" s="1" t="n">
        <v>46158</v>
      </c>
      <c r="D682" t="inlineStr">
        <is>
          <t>VÄSTERBOTTENS LÄN</t>
        </is>
      </c>
      <c r="E682" t="inlineStr">
        <is>
          <t>NORDMALING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27370-2023</t>
        </is>
      </c>
      <c r="B683" s="1" t="n">
        <v>45096.93837962963</v>
      </c>
      <c r="C683" s="1" t="n">
        <v>46158</v>
      </c>
      <c r="D683" t="inlineStr">
        <is>
          <t>VÄSTERBOTTENS LÄN</t>
        </is>
      </c>
      <c r="E683" t="inlineStr">
        <is>
          <t>NORDMALING</t>
        </is>
      </c>
      <c r="F683" t="inlineStr">
        <is>
          <t>SCA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55810-2022</t>
        </is>
      </c>
      <c r="B684" s="1" t="n">
        <v>44888.65146990741</v>
      </c>
      <c r="C684" s="1" t="n">
        <v>46158</v>
      </c>
      <c r="D684" t="inlineStr">
        <is>
          <t>VÄSTERBOTTENS LÄN</t>
        </is>
      </c>
      <c r="E684" t="inlineStr">
        <is>
          <t>NORDMALING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8484-2023</t>
        </is>
      </c>
      <c r="B685" s="1" t="n">
        <v>44972</v>
      </c>
      <c r="C685" s="1" t="n">
        <v>46158</v>
      </c>
      <c r="D685" t="inlineStr">
        <is>
          <t>VÄSTERBOTTENS LÄN</t>
        </is>
      </c>
      <c r="E685" t="inlineStr">
        <is>
          <t>NORDMALING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52149-2024</t>
        </is>
      </c>
      <c r="B686" s="1" t="n">
        <v>45608.52366898148</v>
      </c>
      <c r="C686" s="1" t="n">
        <v>46158</v>
      </c>
      <c r="D686" t="inlineStr">
        <is>
          <t>VÄSTERBOTTENS LÄN</t>
        </is>
      </c>
      <c r="E686" t="inlineStr">
        <is>
          <t>NORDMALING</t>
        </is>
      </c>
      <c r="F686" t="inlineStr">
        <is>
          <t>SCA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32965-2024</t>
        </is>
      </c>
      <c r="B687" s="1" t="n">
        <v>45517.3959837963</v>
      </c>
      <c r="C687" s="1" t="n">
        <v>46158</v>
      </c>
      <c r="D687" t="inlineStr">
        <is>
          <t>VÄSTERBOTTENS LÄN</t>
        </is>
      </c>
      <c r="E687" t="inlineStr">
        <is>
          <t>NORDMALING</t>
        </is>
      </c>
      <c r="F687" t="inlineStr">
        <is>
          <t>Holmen skog AB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20328-2024</t>
        </is>
      </c>
      <c r="B688" s="1" t="n">
        <v>45435</v>
      </c>
      <c r="C688" s="1" t="n">
        <v>46158</v>
      </c>
      <c r="D688" t="inlineStr">
        <is>
          <t>VÄSTERBOTTENS LÄN</t>
        </is>
      </c>
      <c r="E688" t="inlineStr">
        <is>
          <t>NORDMALING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16455-2024</t>
        </is>
      </c>
      <c r="B689" s="1" t="n">
        <v>45407</v>
      </c>
      <c r="C689" s="1" t="n">
        <v>46158</v>
      </c>
      <c r="D689" t="inlineStr">
        <is>
          <t>VÄSTERBOTTENS LÄN</t>
        </is>
      </c>
      <c r="E689" t="inlineStr">
        <is>
          <t>NORDMALING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16690-2025</t>
        </is>
      </c>
      <c r="B690" s="1" t="n">
        <v>45754.45789351852</v>
      </c>
      <c r="C690" s="1" t="n">
        <v>46158</v>
      </c>
      <c r="D690" t="inlineStr">
        <is>
          <t>VÄSTERBOTTENS LÄN</t>
        </is>
      </c>
      <c r="E690" t="inlineStr">
        <is>
          <t>NORDMALING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5595-2025</t>
        </is>
      </c>
      <c r="B691" s="1" t="n">
        <v>45693.57324074074</v>
      </c>
      <c r="C691" s="1" t="n">
        <v>46158</v>
      </c>
      <c r="D691" t="inlineStr">
        <is>
          <t>VÄSTERBOTTENS LÄN</t>
        </is>
      </c>
      <c r="E691" t="inlineStr">
        <is>
          <t>NORDMALING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44387-2023</t>
        </is>
      </c>
      <c r="B692" s="1" t="n">
        <v>45188.94491898148</v>
      </c>
      <c r="C692" s="1" t="n">
        <v>46158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55130-2023</t>
        </is>
      </c>
      <c r="B693" s="1" t="n">
        <v>45237</v>
      </c>
      <c r="C693" s="1" t="n">
        <v>46158</v>
      </c>
      <c r="D693" t="inlineStr">
        <is>
          <t>VÄSTERBOTTENS LÄN</t>
        </is>
      </c>
      <c r="E693" t="inlineStr">
        <is>
          <t>NORDMALING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37133-2022</t>
        </is>
      </c>
      <c r="B694" s="1" t="n">
        <v>44806</v>
      </c>
      <c r="C694" s="1" t="n">
        <v>46158</v>
      </c>
      <c r="D694" t="inlineStr">
        <is>
          <t>VÄSTERBOTTENS LÄN</t>
        </is>
      </c>
      <c r="E694" t="inlineStr">
        <is>
          <t>NORDMALING</t>
        </is>
      </c>
      <c r="G694" t="n">
        <v>17.3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33343-2022</t>
        </is>
      </c>
      <c r="B695" s="1" t="n">
        <v>44788</v>
      </c>
      <c r="C695" s="1" t="n">
        <v>46158</v>
      </c>
      <c r="D695" t="inlineStr">
        <is>
          <t>VÄSTERBOTTENS LÄN</t>
        </is>
      </c>
      <c r="E695" t="inlineStr">
        <is>
          <t>NORDMALING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51824-2024</t>
        </is>
      </c>
      <c r="B696" s="1" t="n">
        <v>45607.50081018519</v>
      </c>
      <c r="C696" s="1" t="n">
        <v>46158</v>
      </c>
      <c r="D696" t="inlineStr">
        <is>
          <t>VÄSTERBOTTENS LÄN</t>
        </is>
      </c>
      <c r="E696" t="inlineStr">
        <is>
          <t>NORDMALING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7048-2023</t>
        </is>
      </c>
      <c r="B697" s="1" t="n">
        <v>44968</v>
      </c>
      <c r="C697" s="1" t="n">
        <v>46158</v>
      </c>
      <c r="D697" t="inlineStr">
        <is>
          <t>VÄSTERBOTTENS LÄN</t>
        </is>
      </c>
      <c r="E697" t="inlineStr">
        <is>
          <t>NORDMALING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24850-2023</t>
        </is>
      </c>
      <c r="B698" s="1" t="n">
        <v>45078</v>
      </c>
      <c r="C698" s="1" t="n">
        <v>46158</v>
      </c>
      <c r="D698" t="inlineStr">
        <is>
          <t>VÄSTERBOTTENS LÄN</t>
        </is>
      </c>
      <c r="E698" t="inlineStr">
        <is>
          <t>NORDMALING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878-2025</t>
        </is>
      </c>
      <c r="B699" s="1" t="n">
        <v>45665.63706018519</v>
      </c>
      <c r="C699" s="1" t="n">
        <v>46158</v>
      </c>
      <c r="D699" t="inlineStr">
        <is>
          <t>VÄSTERBOTTENS LÄN</t>
        </is>
      </c>
      <c r="E699" t="inlineStr">
        <is>
          <t>NORDMALING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7220-2025</t>
        </is>
      </c>
      <c r="B700" s="1" t="n">
        <v>45702.48326388889</v>
      </c>
      <c r="C700" s="1" t="n">
        <v>46158</v>
      </c>
      <c r="D700" t="inlineStr">
        <is>
          <t>VÄSTERBOTTENS LÄN</t>
        </is>
      </c>
      <c r="E700" t="inlineStr">
        <is>
          <t>NORDMALING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2658-2025</t>
        </is>
      </c>
      <c r="B701" s="1" t="n">
        <v>45676</v>
      </c>
      <c r="C701" s="1" t="n">
        <v>46158</v>
      </c>
      <c r="D701" t="inlineStr">
        <is>
          <t>VÄSTERBOTTENS LÄN</t>
        </is>
      </c>
      <c r="E701" t="inlineStr">
        <is>
          <t>NORDMALING</t>
        </is>
      </c>
      <c r="G701" t="n">
        <v>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13913-2025</t>
        </is>
      </c>
      <c r="B702" s="1" t="n">
        <v>45737.65015046296</v>
      </c>
      <c r="C702" s="1" t="n">
        <v>46158</v>
      </c>
      <c r="D702" t="inlineStr">
        <is>
          <t>VÄSTERBOTTENS LÄN</t>
        </is>
      </c>
      <c r="E702" t="inlineStr">
        <is>
          <t>NORDMALING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9015-2025</t>
        </is>
      </c>
      <c r="B703" s="1" t="n">
        <v>45713.59037037037</v>
      </c>
      <c r="C703" s="1" t="n">
        <v>46158</v>
      </c>
      <c r="D703" t="inlineStr">
        <is>
          <t>VÄSTERBOTTENS LÄN</t>
        </is>
      </c>
      <c r="E703" t="inlineStr">
        <is>
          <t>NORDMALING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61283-2023</t>
        </is>
      </c>
      <c r="B704" s="1" t="n">
        <v>45264</v>
      </c>
      <c r="C704" s="1" t="n">
        <v>46158</v>
      </c>
      <c r="D704" t="inlineStr">
        <is>
          <t>VÄSTERBOTTENS LÄN</t>
        </is>
      </c>
      <c r="E704" t="inlineStr">
        <is>
          <t>NORDMALING</t>
        </is>
      </c>
      <c r="F704" t="inlineStr">
        <is>
          <t>Sveaskog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56277-2023</t>
        </is>
      </c>
      <c r="B705" s="1" t="n">
        <v>45241.61490740741</v>
      </c>
      <c r="C705" s="1" t="n">
        <v>46158</v>
      </c>
      <c r="D705" t="inlineStr">
        <is>
          <t>VÄSTERBOTTENS LÄN</t>
        </is>
      </c>
      <c r="E705" t="inlineStr">
        <is>
          <t>NORDMALING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2922-2025</t>
        </is>
      </c>
      <c r="B706" s="1" t="n">
        <v>45678.32327546296</v>
      </c>
      <c r="C706" s="1" t="n">
        <v>46158</v>
      </c>
      <c r="D706" t="inlineStr">
        <is>
          <t>VÄSTERBOTTENS LÄN</t>
        </is>
      </c>
      <c r="E706" t="inlineStr">
        <is>
          <t>NORDMALING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43491-2024</t>
        </is>
      </c>
      <c r="B707" s="1" t="n">
        <v>45568</v>
      </c>
      <c r="C707" s="1" t="n">
        <v>46158</v>
      </c>
      <c r="D707" t="inlineStr">
        <is>
          <t>VÄSTERBOTTENS LÄN</t>
        </is>
      </c>
      <c r="E707" t="inlineStr">
        <is>
          <t>NORDMALING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43492-2024</t>
        </is>
      </c>
      <c r="B708" s="1" t="n">
        <v>45568.92467592593</v>
      </c>
      <c r="C708" s="1" t="n">
        <v>46158</v>
      </c>
      <c r="D708" t="inlineStr">
        <is>
          <t>VÄSTERBOTTENS LÄN</t>
        </is>
      </c>
      <c r="E708" t="inlineStr">
        <is>
          <t>NORDMALING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17893-2024</t>
        </is>
      </c>
      <c r="B709" s="1" t="n">
        <v>45419.48121527778</v>
      </c>
      <c r="C709" s="1" t="n">
        <v>46158</v>
      </c>
      <c r="D709" t="inlineStr">
        <is>
          <t>VÄSTERBOTTENS LÄN</t>
        </is>
      </c>
      <c r="E709" t="inlineStr">
        <is>
          <t>NORDMALING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6993-2024</t>
        </is>
      </c>
      <c r="B710" s="1" t="n">
        <v>45343</v>
      </c>
      <c r="C710" s="1" t="n">
        <v>46158</v>
      </c>
      <c r="D710" t="inlineStr">
        <is>
          <t>VÄSTERBOTTENS LÄN</t>
        </is>
      </c>
      <c r="E710" t="inlineStr">
        <is>
          <t>NORDMALING</t>
        </is>
      </c>
      <c r="F710" t="inlineStr">
        <is>
          <t>Kommuner</t>
        </is>
      </c>
      <c r="G710" t="n">
        <v>23.2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502-2025</t>
        </is>
      </c>
      <c r="B711" s="1" t="n">
        <v>45664</v>
      </c>
      <c r="C711" s="1" t="n">
        <v>46158</v>
      </c>
      <c r="D711" t="inlineStr">
        <is>
          <t>VÄSTERBOTTENS LÄN</t>
        </is>
      </c>
      <c r="E711" t="inlineStr">
        <is>
          <t>NORDMALING</t>
        </is>
      </c>
      <c r="F711" t="inlineStr">
        <is>
          <t>SCA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19581-2024</t>
        </is>
      </c>
      <c r="B712" s="1" t="n">
        <v>45429</v>
      </c>
      <c r="C712" s="1" t="n">
        <v>46158</v>
      </c>
      <c r="D712" t="inlineStr">
        <is>
          <t>VÄSTERBOTTENS LÄN</t>
        </is>
      </c>
      <c r="E712" t="inlineStr">
        <is>
          <t>NORDMALING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19038-2025</t>
        </is>
      </c>
      <c r="B713" s="1" t="n">
        <v>45764.67561342593</v>
      </c>
      <c r="C713" s="1" t="n">
        <v>46158</v>
      </c>
      <c r="D713" t="inlineStr">
        <is>
          <t>VÄSTERBOTTENS LÄN</t>
        </is>
      </c>
      <c r="E713" t="inlineStr">
        <is>
          <t>NORDMALING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27383-2024</t>
        </is>
      </c>
      <c r="B714" s="1" t="n">
        <v>45473</v>
      </c>
      <c r="C714" s="1" t="n">
        <v>46158</v>
      </c>
      <c r="D714" t="inlineStr">
        <is>
          <t>VÄSTERBOTTENS LÄN</t>
        </is>
      </c>
      <c r="E714" t="inlineStr">
        <is>
          <t>NORDMALING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48932-2023</t>
        </is>
      </c>
      <c r="B715" s="1" t="n">
        <v>45204</v>
      </c>
      <c r="C715" s="1" t="n">
        <v>46158</v>
      </c>
      <c r="D715" t="inlineStr">
        <is>
          <t>VÄSTERBOTTENS LÄN</t>
        </is>
      </c>
      <c r="E715" t="inlineStr">
        <is>
          <t>NORDMALING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24944-2022</t>
        </is>
      </c>
      <c r="B716" s="1" t="n">
        <v>44728</v>
      </c>
      <c r="C716" s="1" t="n">
        <v>46158</v>
      </c>
      <c r="D716" t="inlineStr">
        <is>
          <t>VÄSTERBOTTENS LÄN</t>
        </is>
      </c>
      <c r="E716" t="inlineStr">
        <is>
          <t>NORDMALING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HYPERLINK("https://klasma.github.io/Logging_2401/knärot/A 24944-2022 karta knärot.png", "A 24944-2022")</f>
        <v/>
      </c>
      <c r="V716">
        <f>HYPERLINK("https://klasma.github.io/Logging_2401/klagomål/A 24944-2022 FSC-klagomål.docx", "A 24944-2022")</f>
        <v/>
      </c>
      <c r="W716">
        <f>HYPERLINK("https://klasma.github.io/Logging_2401/klagomålsmail/A 24944-2022 FSC-klagomål mail.docx", "A 24944-2022")</f>
        <v/>
      </c>
      <c r="X716">
        <f>HYPERLINK("https://klasma.github.io/Logging_2401/tillsyn/A 24944-2022 tillsynsbegäran.docx", "A 24944-2022")</f>
        <v/>
      </c>
      <c r="Y716">
        <f>HYPERLINK("https://klasma.github.io/Logging_2401/tillsynsmail/A 24944-2022 tillsynsbegäran mail.docx", "A 24944-2022")</f>
        <v/>
      </c>
    </row>
    <row r="717" ht="15" customHeight="1">
      <c r="A717" t="inlineStr">
        <is>
          <t>A 16758-2023</t>
        </is>
      </c>
      <c r="B717" s="1" t="n">
        <v>45030</v>
      </c>
      <c r="C717" s="1" t="n">
        <v>46158</v>
      </c>
      <c r="D717" t="inlineStr">
        <is>
          <t>VÄSTERBOTTENS LÄN</t>
        </is>
      </c>
      <c r="E717" t="inlineStr">
        <is>
          <t>NORDMALING</t>
        </is>
      </c>
      <c r="F717" t="inlineStr">
        <is>
          <t>SCA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21736-2025</t>
        </is>
      </c>
      <c r="B718" s="1" t="n">
        <v>45783.58952546296</v>
      </c>
      <c r="C718" s="1" t="n">
        <v>46158</v>
      </c>
      <c r="D718" t="inlineStr">
        <is>
          <t>VÄSTERBOTTENS LÄN</t>
        </is>
      </c>
      <c r="E718" t="inlineStr">
        <is>
          <t>NORDMALING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21733-2025</t>
        </is>
      </c>
      <c r="B719" s="1" t="n">
        <v>45783.58576388889</v>
      </c>
      <c r="C719" s="1" t="n">
        <v>46158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61616-2023</t>
        </is>
      </c>
      <c r="B720" s="1" t="n">
        <v>45261</v>
      </c>
      <c r="C720" s="1" t="n">
        <v>46158</v>
      </c>
      <c r="D720" t="inlineStr">
        <is>
          <t>VÄSTERBOTTENS LÄN</t>
        </is>
      </c>
      <c r="E720" t="inlineStr">
        <is>
          <t>NORDMALING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50969-2024</t>
        </is>
      </c>
      <c r="B721" s="1" t="n">
        <v>45603.33398148148</v>
      </c>
      <c r="C721" s="1" t="n">
        <v>46158</v>
      </c>
      <c r="D721" t="inlineStr">
        <is>
          <t>VÄSTERBOTTENS LÄN</t>
        </is>
      </c>
      <c r="E721" t="inlineStr">
        <is>
          <t>NORDMALING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22833-2025</t>
        </is>
      </c>
      <c r="B722" s="1" t="n">
        <v>45789.89773148148</v>
      </c>
      <c r="C722" s="1" t="n">
        <v>46158</v>
      </c>
      <c r="D722" t="inlineStr">
        <is>
          <t>VÄSTERBOTTENS LÄN</t>
        </is>
      </c>
      <c r="E722" t="inlineStr">
        <is>
          <t>NORDMALING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23029-2025</t>
        </is>
      </c>
      <c r="B723" s="1" t="n">
        <v>45790.65723379629</v>
      </c>
      <c r="C723" s="1" t="n">
        <v>46158</v>
      </c>
      <c r="D723" t="inlineStr">
        <is>
          <t>VÄSTERBOTTENS LÄN</t>
        </is>
      </c>
      <c r="E723" t="inlineStr">
        <is>
          <t>NORDMALING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23041-2025</t>
        </is>
      </c>
      <c r="B724" s="1" t="n">
        <v>45790.66664351852</v>
      </c>
      <c r="C724" s="1" t="n">
        <v>46158</v>
      </c>
      <c r="D724" t="inlineStr">
        <is>
          <t>VÄSTERBOTTENS LÄN</t>
        </is>
      </c>
      <c r="E724" t="inlineStr">
        <is>
          <t>NORDMALING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17711-2023</t>
        </is>
      </c>
      <c r="B725" s="1" t="n">
        <v>45036</v>
      </c>
      <c r="C725" s="1" t="n">
        <v>46158</v>
      </c>
      <c r="D725" t="inlineStr">
        <is>
          <t>VÄSTERBOTTENS LÄN</t>
        </is>
      </c>
      <c r="E725" t="inlineStr">
        <is>
          <t>NORDMALING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22739-2025</t>
        </is>
      </c>
      <c r="B726" s="1" t="n">
        <v>45789.59297453704</v>
      </c>
      <c r="C726" s="1" t="n">
        <v>46158</v>
      </c>
      <c r="D726" t="inlineStr">
        <is>
          <t>VÄSTERBOTTENS LÄN</t>
        </is>
      </c>
      <c r="E726" t="inlineStr">
        <is>
          <t>NORDMALING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22955-2025</t>
        </is>
      </c>
      <c r="B727" s="1" t="n">
        <v>45790.52902777777</v>
      </c>
      <c r="C727" s="1" t="n">
        <v>46158</v>
      </c>
      <c r="D727" t="inlineStr">
        <is>
          <t>VÄSTERBOTTENS LÄN</t>
        </is>
      </c>
      <c r="E727" t="inlineStr">
        <is>
          <t>NORDMALING</t>
        </is>
      </c>
      <c r="G727" t="n">
        <v>20.3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23037-2025</t>
        </is>
      </c>
      <c r="B728" s="1" t="n">
        <v>45790.66141203704</v>
      </c>
      <c r="C728" s="1" t="n">
        <v>46158</v>
      </c>
      <c r="D728" t="inlineStr">
        <is>
          <t>VÄSTERBOTTENS LÄN</t>
        </is>
      </c>
      <c r="E728" t="inlineStr">
        <is>
          <t>NORDMALING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>
      <c r="A729" t="inlineStr">
        <is>
          <t>A 22962-2025</t>
        </is>
      </c>
      <c r="B729" s="1" t="n">
        <v>45790.53908564815</v>
      </c>
      <c r="C729" s="1" t="n">
        <v>46158</v>
      </c>
      <c r="D729" t="inlineStr">
        <is>
          <t>VÄSTERBOTTENS LÄN</t>
        </is>
      </c>
      <c r="E729" t="inlineStr">
        <is>
          <t>NORDMALING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2026-05-16T12:17:15Z</dcterms:created>
  <dcterms:modified xmlns:dcterms="http://purl.org/dc/terms/" xmlns:xsi="http://www.w3.org/2001/XMLSchema-instance" xsi:type="dcterms:W3CDTF">2026-05-16T12:17:16Z</dcterms:modified>
</cp:coreProperties>
</file>