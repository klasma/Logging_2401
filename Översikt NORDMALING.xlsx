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46324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46324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46324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46324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46324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46324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46324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46324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46324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46324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46324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63255-2023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45273</v>
      </c>
      <c r="E13" s="1" t="n">
        <v>46324</v>
      </c>
      <c r="F13" t="inlineStr">
        <is>
          <t>VÄSTERBOTTENS LÄN</t>
        </is>
      </c>
      <c r="G13" t="inlineStr">
        <is>
          <t>NORDMALING</t>
        </is>
      </c>
      <c r="I13" t="n">
        <v>2.4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Dropptaggsvamp
Nästlav
Skinnlav
Trådticka
Svartvit flugsnappare</t>
        </is>
      </c>
      <c r="W13">
        <f>HYPERLINK("https://klasma.github.io/Logging_2401/artfynd/A 63255-2023 artfynd.xlsx", "A 63255-2023")</f>
        <v/>
      </c>
      <c r="X13">
        <f>HYPERLINK("https://klasma.github.io/Logging_2401/kartor/A 63255-2023 karta.png", "A 63255-2023")</f>
        <v/>
      </c>
      <c r="Y13">
        <f>HYPERLINK("https://klasma.github.io/Logging_2401/kartor_geotiff/A 63255-2023 georefererad karta.tif", "A 63255-2023")</f>
        <v/>
      </c>
      <c r="AA13">
        <f>HYPERLINK("https://klasma.github.io/Logging_2401/klagomål/A 63255-2023 FSC-klagomål.docx", "A 63255-2023")</f>
        <v/>
      </c>
      <c r="AB13">
        <f>HYPERLINK("https://klasma.github.io/Logging_2401/klagomålsmail/A 63255-2023 FSC-klagomål mail.docx", "A 63255-2023")</f>
        <v/>
      </c>
      <c r="AC13">
        <f>HYPERLINK("https://klasma.github.io/Logging_2401/tillsyn/A 63255-2023 tillsynsbegäran.docx", "A 63255-2023")</f>
        <v/>
      </c>
      <c r="AD13">
        <f>HYPERLINK("https://klasma.github.io/Logging_2401/tillsynsmail/A 63255-2023 tillsynsbegäran mail.docx", "A 63255-2023")</f>
        <v/>
      </c>
    </row>
    <row r="14" ht="15" customHeight="1">
      <c r="A14" t="inlineStr">
        <is>
          <t>A 45294-2025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45920</v>
      </c>
      <c r="E14" s="1" t="n">
        <v>46324</v>
      </c>
      <c r="F14" t="inlineStr">
        <is>
          <t>VÄSTERBOTTENS LÄN</t>
        </is>
      </c>
      <c r="G14" t="inlineStr">
        <is>
          <t>NORDMALING</t>
        </is>
      </c>
      <c r="H14" t="inlineStr">
        <is>
          <t>SCA</t>
        </is>
      </c>
      <c r="I14" t="n">
        <v>7.2</v>
      </c>
      <c r="J14" t="n">
        <v>0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Fläckporing
Dvärgbägarlav
Skarp dropptaggsvamp
Bronshjon
Skinnlav</t>
        </is>
      </c>
      <c r="W14">
        <f>HYPERLINK("https://klasma.github.io/Logging_2401/artfynd/A 45294-2025 artfynd.xlsx", "A 45294-2025")</f>
        <v/>
      </c>
      <c r="X14">
        <f>HYPERLINK("https://klasma.github.io/Logging_2401/kartor/A 45294-2025 karta.png", "A 45294-2025")</f>
        <v/>
      </c>
      <c r="Y14">
        <f>HYPERLINK("https://klasma.github.io/Logging_2401/kartor_geotiff/A 45294-2025 georefererad karta.tif", "A 45294-2025")</f>
        <v/>
      </c>
      <c r="AA14">
        <f>HYPERLINK("https://klasma.github.io/Logging_2401/klagomål/A 45294-2025 FSC-klagomål.docx", "A 45294-2025")</f>
        <v/>
      </c>
      <c r="AB14">
        <f>HYPERLINK("https://klasma.github.io/Logging_2401/klagomålsmail/A 45294-2025 FSC-klagomål mail.docx", "A 45294-2025")</f>
        <v/>
      </c>
      <c r="AC14">
        <f>HYPERLINK("https://klasma.github.io/Logging_2401/tillsyn/A 45294-2025 tillsynsbegäran.docx", "A 45294-2025")</f>
        <v/>
      </c>
      <c r="AD14">
        <f>HYPERLINK("https://klasma.github.io/Logging_2401/tillsynsmail/A 45294-2025 tillsynsbegäran mail.docx", "A 45294-2025")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46324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46324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46324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46324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46324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46324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24944-2022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44728</v>
      </c>
      <c r="E21" s="1" t="n">
        <v>46324</v>
      </c>
      <c r="F21" t="inlineStr">
        <is>
          <t>VÄSTERBOTTENS LÄN</t>
        </is>
      </c>
      <c r="G21" t="inlineStr">
        <is>
          <t>NORDMALING</t>
        </is>
      </c>
      <c r="I21" t="n">
        <v>1.2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Knärot
Jättesvampmal
Vanlig groda
Fläcknycklar</t>
        </is>
      </c>
      <c r="W21">
        <f>HYPERLINK("https://klasma.github.io/Logging_2401/artfynd/A 24944-2022 artfynd.xlsx", "A 24944-2022")</f>
        <v/>
      </c>
      <c r="X21">
        <f>HYPERLINK("https://klasma.github.io/Logging_2401/kartor/A 24944-2022 karta.png", "A 24944-2022")</f>
        <v/>
      </c>
      <c r="Y21">
        <f>HYPERLINK("https://klasma.github.io/Logging_2401/kartor_geotiff/A 24944-2022 georefererad karta.tif", "A 24944-2022")</f>
        <v/>
      </c>
      <c r="Z21">
        <f>HYPERLINK("https://klasma.github.io/Logging_2401/knärot/A 24944-2022 karta knärot.png", "A 24944-2022")</f>
        <v/>
      </c>
      <c r="AA21">
        <f>HYPERLINK("https://klasma.github.io/Logging_2401/klagomål/A 24944-2022 FSC-klagomål.docx", "A 24944-2022")</f>
        <v/>
      </c>
      <c r="AB21">
        <f>HYPERLINK("https://klasma.github.io/Logging_2401/klagomålsmail/A 24944-2022 FSC-klagomål mail.docx", "A 24944-2022")</f>
        <v/>
      </c>
      <c r="AC21">
        <f>HYPERLINK("https://klasma.github.io/Logging_2401/tillsyn/A 24944-2022 tillsynsbegäran.docx", "A 24944-2022")</f>
        <v/>
      </c>
      <c r="AD21">
        <f>HYPERLINK("https://klasma.github.io/Logging_2401/tillsynsmail/A 24944-2022 tillsynsbegäran mail.docx", "A 24944-2022")</f>
        <v/>
      </c>
    </row>
    <row r="22" ht="15" customHeight="1">
      <c r="A22" t="inlineStr">
        <is>
          <t>A 37133-2022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44806</v>
      </c>
      <c r="E22" s="1" t="n">
        <v>46324</v>
      </c>
      <c r="F22" t="inlineStr">
        <is>
          <t>VÄSTERBOTTENS LÄN</t>
        </is>
      </c>
      <c r="G22" t="inlineStr">
        <is>
          <t>NORDMALING</t>
        </is>
      </c>
      <c r="I22" t="n">
        <v>17.3</v>
      </c>
      <c r="J22" t="n">
        <v>0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Violettgrå tagellav
Bronshjon
Vedticka</t>
        </is>
      </c>
      <c r="W22">
        <f>HYPERLINK("https://klasma.github.io/Logging_2401/artfynd/A 37133-2022 artfynd.xlsx", "A 37133-2022")</f>
        <v/>
      </c>
      <c r="X22">
        <f>HYPERLINK("https://klasma.github.io/Logging_2401/kartor/A 37133-2022 karta.png", "A 37133-2022")</f>
        <v/>
      </c>
      <c r="Y22">
        <f>HYPERLINK("https://klasma.github.io/Logging_2401/kartor_geotiff/A 37133-2022 georefererad karta.tif", "A 37133-2022")</f>
        <v/>
      </c>
      <c r="AA22">
        <f>HYPERLINK("https://klasma.github.io/Logging_2401/klagomål/A 37133-2022 FSC-klagomål.docx", "A 37133-2022")</f>
        <v/>
      </c>
      <c r="AB22">
        <f>HYPERLINK("https://klasma.github.io/Logging_2401/klagomålsmail/A 37133-2022 FSC-klagomål mail.docx", "A 37133-2022")</f>
        <v/>
      </c>
      <c r="AC22">
        <f>HYPERLINK("https://klasma.github.io/Logging_2401/tillsyn/A 37133-2022 tillsynsbegäran.docx", "A 37133-2022")</f>
        <v/>
      </c>
      <c r="AD22">
        <f>HYPERLINK("https://klasma.github.io/Logging_2401/tillsynsmail/A 37133-2022 tillsynsbegäran mail.docx", "A 37133-2022")</f>
        <v/>
      </c>
    </row>
    <row r="23" ht="15" customHeight="1">
      <c r="A23" t="inlineStr">
        <is>
          <t>A 44443-2024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46324</v>
      </c>
      <c r="F23" t="inlineStr">
        <is>
          <t>VÄSTERBOTTENS LÄN</t>
        </is>
      </c>
      <c r="G23" t="inlineStr">
        <is>
          <t>NORDMALING</t>
        </is>
      </c>
      <c r="H23" t="inlineStr">
        <is>
          <t>SCA</t>
        </is>
      </c>
      <c r="I23" t="n">
        <v>1.5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Skrovlig taggsvamp
Gammelgransskål
Talltaggsvamp</t>
        </is>
      </c>
      <c r="W23">
        <f>HYPERLINK("https://klasma.github.io/Logging_2401/artfynd/A 44443-2024 artfynd.xlsx", "A 44443-2024")</f>
        <v/>
      </c>
      <c r="X23">
        <f>HYPERLINK("https://klasma.github.io/Logging_2401/kartor/A 44443-2024 karta.png", "A 44443-2024")</f>
        <v/>
      </c>
      <c r="Y23">
        <f>HYPERLINK("https://klasma.github.io/Logging_2401/kartor_geotiff/A 44443-2024 georefererad karta.tif", "A 44443-2024")</f>
        <v/>
      </c>
      <c r="AA23">
        <f>HYPERLINK("https://klasma.github.io/Logging_2401/klagomål/A 44443-2024 FSC-klagomål.docx", "A 44443-2024")</f>
        <v/>
      </c>
      <c r="AB23">
        <f>HYPERLINK("https://klasma.github.io/Logging_2401/klagomålsmail/A 44443-2024 FSC-klagomål mail.docx", "A 44443-2024")</f>
        <v/>
      </c>
      <c r="AC23">
        <f>HYPERLINK("https://klasma.github.io/Logging_2401/tillsyn/A 44443-2024 tillsynsbegäran.docx", "A 44443-2024")</f>
        <v/>
      </c>
      <c r="AD23">
        <f>HYPERLINK("https://klasma.github.io/Logging_2401/tillsynsmail/A 44443-2024 tillsynsbegäran mail.docx", "A 44443-2024")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46324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46324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46324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23496-2022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44721</v>
      </c>
      <c r="E27" s="1" t="n">
        <v>46324</v>
      </c>
      <c r="F27" t="inlineStr">
        <is>
          <t>VÄSTERBOTTENS LÄN</t>
        </is>
      </c>
      <c r="G27" t="inlineStr">
        <is>
          <t>NORDMALING</t>
        </is>
      </c>
      <c r="I27" t="n">
        <v>0.7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2</v>
      </c>
      <c r="V27" s="2" t="inlineStr">
        <is>
          <t>Garnlav
Tretåig hackspett
Järpe</t>
        </is>
      </c>
      <c r="W27">
        <f>HYPERLINK("https://klasma.github.io/Logging_2401/artfynd/A 23496-2022 artfynd.xlsx", "A 23496-2022")</f>
        <v/>
      </c>
      <c r="X27">
        <f>HYPERLINK("https://klasma.github.io/Logging_2401/kartor/A 23496-2022 karta.png", "A 23496-2022")</f>
        <v/>
      </c>
      <c r="Y27">
        <f>HYPERLINK("https://klasma.github.io/Logging_2401/kartor_geotiff/A 23496-2022 georefererad karta.tif", "A 23496-2022")</f>
        <v/>
      </c>
      <c r="AA27">
        <f>HYPERLINK("https://klasma.github.io/Logging_2401/klagomål/A 23496-2022 FSC-klagomål.docx", "A 23496-2022")</f>
        <v/>
      </c>
      <c r="AB27">
        <f>HYPERLINK("https://klasma.github.io/Logging_2401/klagomålsmail/A 23496-2022 FSC-klagomål mail.docx", "A 23496-2022")</f>
        <v/>
      </c>
      <c r="AC27">
        <f>HYPERLINK("https://klasma.github.io/Logging_2401/tillsyn/A 23496-2022 tillsynsbegäran.docx", "A 23496-2022")</f>
        <v/>
      </c>
      <c r="AD27">
        <f>HYPERLINK("https://klasma.github.io/Logging_2401/tillsynsmail/A 23496-2022 tillsynsbegäran mail.docx", "A 23496-2022")</f>
        <v/>
      </c>
      <c r="AE27">
        <f>HYPERLINK("https://klasma.github.io/Logging_2401/fåglar/A 23496-2022 prioriterade fågelarter.docx", "A 23496-2022")</f>
        <v/>
      </c>
    </row>
    <row r="28" ht="15" customHeight="1">
      <c r="A28" t="inlineStr">
        <is>
          <t>A 4085-2026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46043</v>
      </c>
      <c r="E28" s="1" t="n">
        <v>46324</v>
      </c>
      <c r="F28" t="inlineStr">
        <is>
          <t>VÄSTERBOTTENS LÄN</t>
        </is>
      </c>
      <c r="G28" t="inlineStr">
        <is>
          <t>NORDMALING</t>
        </is>
      </c>
      <c r="I28" t="n">
        <v>33.1</v>
      </c>
      <c r="J28" t="n">
        <v>1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Tretåig hackspett
Skinnlav</t>
        </is>
      </c>
      <c r="W28">
        <f>HYPERLINK("https://klasma.github.io/Logging_2401/artfynd/A 4085-2026 artfynd.xlsx", "A 4085-2026")</f>
        <v/>
      </c>
      <c r="X28">
        <f>HYPERLINK("https://klasma.github.io/Logging_2401/kartor/A 4085-2026 karta.png", "A 4085-2026")</f>
        <v/>
      </c>
      <c r="Y28">
        <f>HYPERLINK("https://klasma.github.io/Logging_2401/kartor_geotiff/A 4085-2026 georefererad karta.tif", "A 4085-2026")</f>
        <v/>
      </c>
      <c r="AA28">
        <f>HYPERLINK("https://klasma.github.io/Logging_2401/klagomål/A 4085-2026 FSC-klagomål.docx", "A 4085-2026")</f>
        <v/>
      </c>
      <c r="AB28">
        <f>HYPERLINK("https://klasma.github.io/Logging_2401/klagomålsmail/A 4085-2026 FSC-klagomål mail.docx", "A 4085-2026")</f>
        <v/>
      </c>
      <c r="AC28">
        <f>HYPERLINK("https://klasma.github.io/Logging_2401/tillsyn/A 4085-2026 tillsynsbegäran.docx", "A 4085-2026")</f>
        <v/>
      </c>
      <c r="AD28">
        <f>HYPERLINK("https://klasma.github.io/Logging_2401/tillsynsmail/A 4085-2026 tillsynsbegäran mail.docx", "A 4085-2026")</f>
        <v/>
      </c>
      <c r="AE28">
        <f>HYPERLINK("https://klasma.github.io/Logging_2401/fåglar/A 4085-2026 prioriterade fågelarter.docx", "A 4085-2026")</f>
        <v/>
      </c>
    </row>
    <row r="29" ht="15" customHeight="1">
      <c r="A29" t="inlineStr">
        <is>
          <t>A 3483-2026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46042</v>
      </c>
      <c r="E29" s="1" t="n">
        <v>46324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Stjärntagging
Ullticka</t>
        </is>
      </c>
      <c r="W29">
        <f>HYPERLINK("https://klasma.github.io/Logging_2401/artfynd/A 3483-2026 artfynd.xlsx", "A 3483-2026")</f>
        <v/>
      </c>
      <c r="X29">
        <f>HYPERLINK("https://klasma.github.io/Logging_2401/kartor/A 3483-2026 karta.png", "A 3483-2026")</f>
        <v/>
      </c>
      <c r="Y29">
        <f>HYPERLINK("https://klasma.github.io/Logging_2401/kartor_geotiff/A 3483-2026 georefererad karta.tif", "A 3483-2026")</f>
        <v/>
      </c>
      <c r="AA29">
        <f>HYPERLINK("https://klasma.github.io/Logging_2401/klagomål/A 3483-2026 FSC-klagomål.docx", "A 3483-2026")</f>
        <v/>
      </c>
      <c r="AB29">
        <f>HYPERLINK("https://klasma.github.io/Logging_2401/klagomålsmail/A 3483-2026 FSC-klagomål mail.docx", "A 3483-2026")</f>
        <v/>
      </c>
      <c r="AC29">
        <f>HYPERLINK("https://klasma.github.io/Logging_2401/tillsyn/A 3483-2026 tillsynsbegäran.docx", "A 3483-2026")</f>
        <v/>
      </c>
      <c r="AD29">
        <f>HYPERLINK("https://klasma.github.io/Logging_2401/tillsynsmail/A 3483-2026 tillsynsbegäran mail.docx", "A 3483-2026")</f>
        <v/>
      </c>
    </row>
    <row r="30" ht="15" customHeight="1">
      <c r="A30" t="inlineStr">
        <is>
          <t>A 44987-2024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46324</v>
      </c>
      <c r="F30" t="inlineStr">
        <is>
          <t>VÄSTERBOTTENS LÄN</t>
        </is>
      </c>
      <c r="G30" t="inlineStr">
        <is>
          <t>NORDMALING</t>
        </is>
      </c>
      <c r="I30" t="n">
        <v>3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Nordtagging
Vaddporing
Violettgrå tagellav</t>
        </is>
      </c>
      <c r="W30">
        <f>HYPERLINK("https://klasma.github.io/Logging_2401/artfynd/A 44987-2024 artfynd.xlsx", "A 44987-2024")</f>
        <v/>
      </c>
      <c r="X30">
        <f>HYPERLINK("https://klasma.github.io/Logging_2401/kartor/A 44987-2024 karta.png", "A 44987-2024")</f>
        <v/>
      </c>
      <c r="Y30">
        <f>HYPERLINK("https://klasma.github.io/Logging_2401/kartor_geotiff/A 44987-2024 georefererad karta.tif", "A 44987-2024")</f>
        <v/>
      </c>
      <c r="AA30">
        <f>HYPERLINK("https://klasma.github.io/Logging_2401/klagomål/A 44987-2024 FSC-klagomål.docx", "A 44987-2024")</f>
        <v/>
      </c>
      <c r="AB30">
        <f>HYPERLINK("https://klasma.github.io/Logging_2401/klagomålsmail/A 44987-2024 FSC-klagomål mail.docx", "A 44987-2024")</f>
        <v/>
      </c>
      <c r="AC30">
        <f>HYPERLINK("https://klasma.github.io/Logging_2401/tillsyn/A 44987-2024 tillsynsbegäran.docx", "A 44987-2024")</f>
        <v/>
      </c>
      <c r="AD30">
        <f>HYPERLINK("https://klasma.github.io/Logging_2401/tillsynsmail/A 44987-2024 tillsynsbegäran mail.docx", "A 44987-2024")</f>
        <v/>
      </c>
    </row>
    <row r="31" ht="15" customHeight="1">
      <c r="A31" t="inlineStr">
        <is>
          <t>A 40519-2026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46295</v>
      </c>
      <c r="E31" s="1" t="n">
        <v>46324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31.7</v>
      </c>
      <c r="J31" t="n">
        <v>0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3</v>
      </c>
      <c r="T31" t="n">
        <v>8</v>
      </c>
      <c r="U31" t="n">
        <v>0</v>
      </c>
      <c r="V31" s="2" t="inlineStr">
        <is>
          <t>Blå taggsvamp
Dropptaggsvamp
Skarp dropptaggsvamp</t>
        </is>
      </c>
      <c r="W31">
        <f>HYPERLINK("https://klasma.github.io/Logging_2401/artfynd/A 40519-2026 artfynd.xlsx", "A 40519-2026")</f>
        <v/>
      </c>
      <c r="X31">
        <f>HYPERLINK("https://klasma.github.io/Logging_2401/kartor/A 40519-2026 karta.png", "A 40519-2026")</f>
        <v/>
      </c>
      <c r="Y31">
        <f>HYPERLINK("https://klasma.github.io/Logging_2401/kartor_geotiff/A 40519-2026 georefererad karta.tif", "A 40519-2026")</f>
        <v/>
      </c>
      <c r="AA31">
        <f>HYPERLINK("https://klasma.github.io/Logging_2401/klagomål/A 40519-2026 FSC-klagomål.docx", "A 40519-2026")</f>
        <v/>
      </c>
      <c r="AB31">
        <f>HYPERLINK("https://klasma.github.io/Logging_2401/klagomålsmail/A 40519-2026 FSC-klagomål mail.docx", "A 40519-2026")</f>
        <v/>
      </c>
      <c r="AC31">
        <f>HYPERLINK("https://klasma.github.io/Logging_2401/tillsyn/A 40519-2026 tillsynsbegäran.docx", "A 40519-2026")</f>
        <v/>
      </c>
      <c r="AD31">
        <f>HYPERLINK("https://klasma.github.io/Logging_2401/tillsynsmail/A 40519-2026 tillsynsbegäran mail.docx", "A 40519-2026")</f>
        <v/>
      </c>
    </row>
    <row r="32" ht="15" customHeight="1">
      <c r="A32" t="inlineStr">
        <is>
          <t>A 23753-2023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46324</v>
      </c>
      <c r="F32" t="inlineStr">
        <is>
          <t>VÄSTERBOTTENS LÄN</t>
        </is>
      </c>
      <c r="G32" t="inlineStr">
        <is>
          <t>NORDMALING</t>
        </is>
      </c>
      <c r="I32" t="n">
        <v>0.5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Grönfink
Gulsparv
Ladusvala</t>
        </is>
      </c>
      <c r="W32">
        <f>HYPERLINK("https://klasma.github.io/Logging_2401/artfynd/A 23753-2023 artfynd.xlsx", "A 23753-2023")</f>
        <v/>
      </c>
      <c r="X32">
        <f>HYPERLINK("https://klasma.github.io/Logging_2401/kartor/A 23753-2023 karta.png", "A 23753-2023")</f>
        <v/>
      </c>
      <c r="Y32">
        <f>HYPERLINK("https://klasma.github.io/Logging_2401/kartor_geotiff/A 23753-2023 georefererad karta.tif", "A 23753-2023")</f>
        <v/>
      </c>
      <c r="AA32">
        <f>HYPERLINK("https://klasma.github.io/Logging_2401/klagomål/A 23753-2023 FSC-klagomål.docx", "A 23753-2023")</f>
        <v/>
      </c>
      <c r="AB32">
        <f>HYPERLINK("https://klasma.github.io/Logging_2401/klagomålsmail/A 23753-2023 FSC-klagomål mail.docx", "A 23753-2023")</f>
        <v/>
      </c>
      <c r="AC32">
        <f>HYPERLINK("https://klasma.github.io/Logging_2401/tillsyn/A 23753-2023 tillsynsbegäran.docx", "A 23753-2023")</f>
        <v/>
      </c>
      <c r="AD32">
        <f>HYPERLINK("https://klasma.github.io/Logging_2401/tillsynsmail/A 23753-2023 tillsynsbegäran mail.docx", "A 23753-2023")</f>
        <v/>
      </c>
      <c r="AE32">
        <f>HYPERLINK("https://klasma.github.io/Logging_2401/fåglar/A 23753-2023 prioriterade fågelarter.docx", "A 23753-2023")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46324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55632-2023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46324</v>
      </c>
      <c r="F34" t="inlineStr">
        <is>
          <t>VÄSTERBOTTENS LÄN</t>
        </is>
      </c>
      <c r="G34" t="inlineStr">
        <is>
          <t>NORDMALING</t>
        </is>
      </c>
      <c r="I34" t="n">
        <v>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Skinnlav</t>
        </is>
      </c>
      <c r="W34">
        <f>HYPERLINK("https://klasma.github.io/Logging_2401/artfynd/A 55632-2023 artfynd.xlsx", "A 55632-2023")</f>
        <v/>
      </c>
      <c r="X34">
        <f>HYPERLINK("https://klasma.github.io/Logging_2401/kartor/A 55632-2023 karta.png", "A 55632-2023")</f>
        <v/>
      </c>
      <c r="Y34">
        <f>HYPERLINK("https://klasma.github.io/Logging_2401/kartor_geotiff/A 55632-2023 georefererad karta.tif", "A 55632-2023")</f>
        <v/>
      </c>
      <c r="AA34">
        <f>HYPERLINK("https://klasma.github.io/Logging_2401/klagomål/A 55632-2023 FSC-klagomål.docx", "A 55632-2023")</f>
        <v/>
      </c>
      <c r="AB34">
        <f>HYPERLINK("https://klasma.github.io/Logging_2401/klagomålsmail/A 55632-2023 FSC-klagomål mail.docx", "A 55632-2023")</f>
        <v/>
      </c>
      <c r="AC34">
        <f>HYPERLINK("https://klasma.github.io/Logging_2401/tillsyn/A 55632-2023 tillsynsbegäran.docx", "A 55632-2023")</f>
        <v/>
      </c>
      <c r="AD34">
        <f>HYPERLINK("https://klasma.github.io/Logging_2401/tillsynsmail/A 55632-2023 tillsynsbegäran mail.docx", "A 55632-2023")</f>
        <v/>
      </c>
    </row>
    <row r="35" ht="15" customHeight="1">
      <c r="A35" t="inlineStr">
        <is>
          <t>A 40418-2026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46294</v>
      </c>
      <c r="E35" s="1" t="n">
        <v>46324</v>
      </c>
      <c r="F35" t="inlineStr">
        <is>
          <t>VÄSTERBOTTENS LÄN</t>
        </is>
      </c>
      <c r="G35" t="inlineStr">
        <is>
          <t>NORDMALING</t>
        </is>
      </c>
      <c r="I35" t="n">
        <v>5.8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Grönhjon
Vågbandad barkbock</t>
        </is>
      </c>
      <c r="W35">
        <f>HYPERLINK("https://klasma.github.io/Logging_2401/artfynd/A 40418-2026 artfynd.xlsx", "A 40418-2026")</f>
        <v/>
      </c>
      <c r="X35">
        <f>HYPERLINK("https://klasma.github.io/Logging_2401/kartor/A 40418-2026 karta.png", "A 40418-2026")</f>
        <v/>
      </c>
      <c r="Y35">
        <f>HYPERLINK("https://klasma.github.io/Logging_2401/kartor_geotiff/A 40418-2026 georefererad karta.tif", "A 40418-2026")</f>
        <v/>
      </c>
      <c r="AA35">
        <f>HYPERLINK("https://klasma.github.io/Logging_2401/klagomål/A 40418-2026 FSC-klagomål.docx", "A 40418-2026")</f>
        <v/>
      </c>
      <c r="AB35">
        <f>HYPERLINK("https://klasma.github.io/Logging_2401/klagomålsmail/A 40418-2026 FSC-klagomål mail.docx", "A 40418-2026")</f>
        <v/>
      </c>
      <c r="AC35">
        <f>HYPERLINK("https://klasma.github.io/Logging_2401/tillsyn/A 40418-2026 tillsynsbegäran.docx", "A 40418-2026")</f>
        <v/>
      </c>
      <c r="AD35">
        <f>HYPERLINK("https://klasma.github.io/Logging_2401/tillsynsmail/A 40418-2026 tillsynsbegäran mail.docx", "A 40418-2026")</f>
        <v/>
      </c>
    </row>
    <row r="36" ht="15" customHeight="1">
      <c r="A36" t="inlineStr">
        <is>
          <t>A 9012-2025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45713</v>
      </c>
      <c r="E36" s="1" t="n">
        <v>46324</v>
      </c>
      <c r="F36" t="inlineStr">
        <is>
          <t>VÄSTERBOTTENS LÄN</t>
        </is>
      </c>
      <c r="G36" t="inlineStr">
        <is>
          <t>NORDMALING</t>
        </is>
      </c>
      <c r="I36" t="n">
        <v>6.3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Talltita
Gråspett</t>
        </is>
      </c>
      <c r="W36">
        <f>HYPERLINK("https://klasma.github.io/Logging_2401/artfynd/A 9012-2025 artfynd.xlsx", "A 9012-2025")</f>
        <v/>
      </c>
      <c r="X36">
        <f>HYPERLINK("https://klasma.github.io/Logging_2401/kartor/A 9012-2025 karta.png", "A 9012-2025")</f>
        <v/>
      </c>
      <c r="Y36">
        <f>HYPERLINK("https://klasma.github.io/Logging_2401/kartor_geotiff/A 9012-2025 georefererad karta.tif", "A 9012-2025")</f>
        <v/>
      </c>
      <c r="AA36">
        <f>HYPERLINK("https://klasma.github.io/Logging_2401/klagomål/A 9012-2025 FSC-klagomål.docx", "A 9012-2025")</f>
        <v/>
      </c>
      <c r="AB36">
        <f>HYPERLINK("https://klasma.github.io/Logging_2401/klagomålsmail/A 9012-2025 FSC-klagomål mail.docx", "A 9012-2025")</f>
        <v/>
      </c>
      <c r="AC36">
        <f>HYPERLINK("https://klasma.github.io/Logging_2401/tillsyn/A 9012-2025 tillsynsbegäran.docx", "A 9012-2025")</f>
        <v/>
      </c>
      <c r="AD36">
        <f>HYPERLINK("https://klasma.github.io/Logging_2401/tillsynsmail/A 9012-2025 tillsynsbegäran mail.docx", "A 9012-2025")</f>
        <v/>
      </c>
      <c r="AE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46324</v>
      </c>
      <c r="F37" t="inlineStr">
        <is>
          <t>VÄSTERBOTTENS LÄN</t>
        </is>
      </c>
      <c r="G37" t="inlineStr">
        <is>
          <t>NORDMALING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Ullticka</t>
        </is>
      </c>
      <c r="W37">
        <f>HYPERLINK("https://klasma.github.io/Logging_2401/artfynd/A 61794-2023 artfynd.xlsx", "A 61794-2023")</f>
        <v/>
      </c>
      <c r="X37">
        <f>HYPERLINK("https://klasma.github.io/Logging_2401/kartor/A 61794-2023 karta.png", "A 61794-2023")</f>
        <v/>
      </c>
      <c r="Y37">
        <f>HYPERLINK("https://klasma.github.io/Logging_2401/kartor_geotiff/A 61794-2023 georefererad karta.tif", "A 61794-2023")</f>
        <v/>
      </c>
      <c r="AA37">
        <f>HYPERLINK("https://klasma.github.io/Logging_2401/klagomål/A 61794-2023 FSC-klagomål.docx", "A 61794-2023")</f>
        <v/>
      </c>
      <c r="AB37">
        <f>HYPERLINK("https://klasma.github.io/Logging_2401/klagomålsmail/A 61794-2023 FSC-klagomål mail.docx", "A 61794-2023")</f>
        <v/>
      </c>
      <c r="AC37">
        <f>HYPERLINK("https://klasma.github.io/Logging_2401/tillsyn/A 61794-2023 tillsynsbegäran.docx", "A 61794-2023")</f>
        <v/>
      </c>
      <c r="AD37">
        <f>HYPERLINK("https://klasma.github.io/Logging_2401/tillsynsmail/A 61794-2023 tillsynsbegäran mail.docx", "A 61794-2023")</f>
        <v/>
      </c>
    </row>
    <row r="38" ht="15" customHeight="1">
      <c r="A38" t="inlineStr">
        <is>
          <t>A 44151-2026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46318</v>
      </c>
      <c r="E38" s="1" t="n">
        <v>46324</v>
      </c>
      <c r="F38" t="inlineStr">
        <is>
          <t>VÄSTERBOTTENS LÄN</t>
        </is>
      </c>
      <c r="G38" t="inlineStr">
        <is>
          <t>NORDMALING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Kärrviol
Havsörn</t>
        </is>
      </c>
      <c r="W38">
        <f>HYPERLINK("https://klasma.github.io/Logging_2401/artfynd/A 44151-2026 artfynd.xlsx", "A 44151-2026")</f>
        <v/>
      </c>
      <c r="X38">
        <f>HYPERLINK("https://klasma.github.io/Logging_2401/kartor/A 44151-2026 karta.png", "A 44151-2026")</f>
        <v/>
      </c>
      <c r="Y38">
        <f>HYPERLINK("https://klasma.github.io/Logging_2401/kartor_geotiff/A 44151-2026 georefererad karta.tif", "A 44151-2026")</f>
        <v/>
      </c>
      <c r="AA38">
        <f>HYPERLINK("https://klasma.github.io/Logging_2401/klagomål/A 44151-2026 FSC-klagomål.docx", "A 44151-2026")</f>
        <v/>
      </c>
      <c r="AB38">
        <f>HYPERLINK("https://klasma.github.io/Logging_2401/klagomålsmail/A 44151-2026 FSC-klagomål mail.docx", "A 44151-2026")</f>
        <v/>
      </c>
      <c r="AC38">
        <f>HYPERLINK("https://klasma.github.io/Logging_2401/tillsyn/A 44151-2026 tillsynsbegäran.docx", "A 44151-2026")</f>
        <v/>
      </c>
      <c r="AD38">
        <f>HYPERLINK("https://klasma.github.io/Logging_2401/tillsynsmail/A 44151-2026 tillsynsbegäran mail.docx", "A 44151-2026")</f>
        <v/>
      </c>
      <c r="AE38">
        <f>HYPERLINK("https://klasma.github.io/Logging_2401/fåglar/A 44151-2026 prioriterade fågelarter.docx", "A 44151-2026")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46324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46324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46324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46324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54893-2024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45618</v>
      </c>
      <c r="E43" s="1" t="n">
        <v>46324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Gammelgransskål</t>
        </is>
      </c>
      <c r="W43">
        <f>HYPERLINK("https://klasma.github.io/Logging_2401/artfynd/A 54893-2024 artfynd.xlsx", "A 54893-2024")</f>
        <v/>
      </c>
      <c r="X43">
        <f>HYPERLINK("https://klasma.github.io/Logging_2401/kartor/A 54893-2024 karta.png", "A 54893-2024")</f>
        <v/>
      </c>
      <c r="Y43">
        <f>HYPERLINK("https://klasma.github.io/Logging_2401/kartor_geotiff/A 54893-2024 georefererad karta.tif", "A 54893-2024")</f>
        <v/>
      </c>
      <c r="AA43">
        <f>HYPERLINK("https://klasma.github.io/Logging_2401/klagomål/A 54893-2024 FSC-klagomål.docx", "A 54893-2024")</f>
        <v/>
      </c>
      <c r="AB43">
        <f>HYPERLINK("https://klasma.github.io/Logging_2401/klagomålsmail/A 54893-2024 FSC-klagomål mail.docx", "A 54893-2024")</f>
        <v/>
      </c>
      <c r="AC43">
        <f>HYPERLINK("https://klasma.github.io/Logging_2401/tillsyn/A 54893-2024 tillsynsbegäran.docx", "A 54893-2024")</f>
        <v/>
      </c>
      <c r="AD43">
        <f>HYPERLINK("https://klasma.github.io/Logging_2401/tillsynsmail/A 54893-2024 tillsynsbegäran mail.docx", "A 54893-2024")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46324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46324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39851-2023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46324</v>
      </c>
      <c r="F46" t="inlineStr">
        <is>
          <t>VÄSTERBOTTENS LÄN</t>
        </is>
      </c>
      <c r="G46" t="inlineStr">
        <is>
          <t>NORDMALING</t>
        </is>
      </c>
      <c r="I46" t="n">
        <v>2.2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HYPERLINK("https://klasma.github.io/Logging_2401/artfynd/A 39851-2023 artfynd.xlsx", "A 39851-2023")</f>
        <v/>
      </c>
      <c r="X46">
        <f>HYPERLINK("https://klasma.github.io/Logging_2401/kartor/A 39851-2023 karta.png", "A 39851-2023")</f>
        <v/>
      </c>
      <c r="Y46">
        <f>HYPERLINK("https://klasma.github.io/Logging_2401/kartor_geotiff/A 39851-2023 georefererad karta.tif", "A 39851-2023")</f>
        <v/>
      </c>
      <c r="AA46">
        <f>HYPERLINK("https://klasma.github.io/Logging_2401/klagomål/A 39851-2023 FSC-klagomål.docx", "A 39851-2023")</f>
        <v/>
      </c>
      <c r="AB46">
        <f>HYPERLINK("https://klasma.github.io/Logging_2401/klagomålsmail/A 39851-2023 FSC-klagomål mail.docx", "A 39851-2023")</f>
        <v/>
      </c>
      <c r="AC46">
        <f>HYPERLINK("https://klasma.github.io/Logging_2401/tillsyn/A 39851-2023 tillsynsbegäran.docx", "A 39851-2023")</f>
        <v/>
      </c>
      <c r="AD46">
        <f>HYPERLINK("https://klasma.github.io/Logging_2401/tillsynsmail/A 39851-2023 tillsynsbegäran mail.docx", "A 39851-2023")</f>
        <v/>
      </c>
      <c r="AE46">
        <f>HYPERLINK("https://klasma.github.io/Logging_2401/fåglar/A 39851-2023 prioriterade fågelarter.docx", "A 39851-2023")</f>
        <v/>
      </c>
    </row>
    <row r="47" ht="15" customHeight="1">
      <c r="A47" t="inlineStr">
        <is>
          <t>A 29323-2025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46324</v>
      </c>
      <c r="F47" t="inlineStr">
        <is>
          <t>VÄSTERBOTTENS LÄN</t>
        </is>
      </c>
      <c r="G47" t="inlineStr">
        <is>
          <t>NORDMALING</t>
        </is>
      </c>
      <c r="I47" t="n">
        <v>2.9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HYPERLINK("https://klasma.github.io/Logging_2401/artfynd/A 29323-2025 artfynd.xlsx", "A 29323-2025")</f>
        <v/>
      </c>
      <c r="X47">
        <f>HYPERLINK("https://klasma.github.io/Logging_2401/kartor/A 29323-2025 karta.png", "A 29323-2025")</f>
        <v/>
      </c>
      <c r="Y47">
        <f>HYPERLINK("https://klasma.github.io/Logging_2401/kartor_geotiff/A 29323-2025 georefererad karta.tif", "A 29323-2025")</f>
        <v/>
      </c>
      <c r="AA47">
        <f>HYPERLINK("https://klasma.github.io/Logging_2401/klagomål/A 29323-2025 FSC-klagomål.docx", "A 29323-2025")</f>
        <v/>
      </c>
      <c r="AB47">
        <f>HYPERLINK("https://klasma.github.io/Logging_2401/klagomålsmail/A 29323-2025 FSC-klagomål mail.docx", "A 29323-2025")</f>
        <v/>
      </c>
      <c r="AC47">
        <f>HYPERLINK("https://klasma.github.io/Logging_2401/tillsyn/A 29323-2025 tillsynsbegäran.docx", "A 29323-2025")</f>
        <v/>
      </c>
      <c r="AD47">
        <f>HYPERLINK("https://klasma.github.io/Logging_2401/tillsynsmail/A 29323-2025 tillsynsbegäran mail.docx", "A 29323-2025")</f>
        <v/>
      </c>
    </row>
    <row r="48" ht="15" customHeight="1">
      <c r="A48" t="inlineStr">
        <is>
          <t>A 37546-2023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45158</v>
      </c>
      <c r="E48" s="1" t="n">
        <v>46324</v>
      </c>
      <c r="F48" t="inlineStr">
        <is>
          <t>VÄSTERBOTTENS LÄN</t>
        </is>
      </c>
      <c r="G48" t="inlineStr">
        <is>
          <t>NORDMALING</t>
        </is>
      </c>
      <c r="I48" t="n">
        <v>4.7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HYPERLINK("https://klasma.github.io/Logging_2401/artfynd/A 37546-2023 artfynd.xlsx", "A 37546-2023")</f>
        <v/>
      </c>
      <c r="X48">
        <f>HYPERLINK("https://klasma.github.io/Logging_2401/kartor/A 37546-2023 karta.png", "A 37546-2023")</f>
        <v/>
      </c>
      <c r="Y48">
        <f>HYPERLINK("https://klasma.github.io/Logging_2401/kartor_geotiff/A 37546-2023 georefererad karta.tif", "A 37546-2023")</f>
        <v/>
      </c>
      <c r="AA48">
        <f>HYPERLINK("https://klasma.github.io/Logging_2401/klagomål/A 37546-2023 FSC-klagomål.docx", "A 37546-2023")</f>
        <v/>
      </c>
      <c r="AB48">
        <f>HYPERLINK("https://klasma.github.io/Logging_2401/klagomålsmail/A 37546-2023 FSC-klagomål mail.docx", "A 37546-2023")</f>
        <v/>
      </c>
      <c r="AC48">
        <f>HYPERLINK("https://klasma.github.io/Logging_2401/tillsyn/A 37546-2023 tillsynsbegäran.docx", "A 37546-2023")</f>
        <v/>
      </c>
      <c r="AD48">
        <f>HYPERLINK("https://klasma.github.io/Logging_2401/tillsynsmail/A 37546-2023 tillsynsbegäran mail.docx", "A 37546-2023")</f>
        <v/>
      </c>
    </row>
    <row r="49" ht="15" customHeight="1">
      <c r="A49" t="inlineStr">
        <is>
          <t>A 61149-2022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44908</v>
      </c>
      <c r="E49" s="1" t="n">
        <v>46324</v>
      </c>
      <c r="F49" t="inlineStr">
        <is>
          <t>VÄSTERBOTTENS LÄN</t>
        </is>
      </c>
      <c r="G49" t="inlineStr">
        <is>
          <t>NORDMALING</t>
        </is>
      </c>
      <c r="I49" t="n">
        <v>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HYPERLINK("https://klasma.github.io/Logging_2401/artfynd/A 61149-2022 artfynd.xlsx", "A 61149-2022")</f>
        <v/>
      </c>
      <c r="X49">
        <f>HYPERLINK("https://klasma.github.io/Logging_2401/kartor/A 61149-2022 karta.png", "A 61149-2022")</f>
        <v/>
      </c>
      <c r="Y49">
        <f>HYPERLINK("https://klasma.github.io/Logging_2401/kartor_geotiff/A 61149-2022 georefererad karta.tif", "A 61149-2022")</f>
        <v/>
      </c>
      <c r="AA49">
        <f>HYPERLINK("https://klasma.github.io/Logging_2401/klagomål/A 61149-2022 FSC-klagomål.docx", "A 61149-2022")</f>
        <v/>
      </c>
      <c r="AB49">
        <f>HYPERLINK("https://klasma.github.io/Logging_2401/klagomålsmail/A 61149-2022 FSC-klagomål mail.docx", "A 61149-2022")</f>
        <v/>
      </c>
      <c r="AC49">
        <f>HYPERLINK("https://klasma.github.io/Logging_2401/tillsyn/A 61149-2022 tillsynsbegäran.docx", "A 61149-2022")</f>
        <v/>
      </c>
      <c r="AD49">
        <f>HYPERLINK("https://klasma.github.io/Logging_2401/tillsynsmail/A 61149-2022 tillsynsbegäran mail.docx", "A 61149-2022")</f>
        <v/>
      </c>
      <c r="AE49">
        <f>HYPERLINK("https://klasma.github.io/Logging_2401/fåglar/A 61149-2022 prioriterade fågelarter.docx", "A 61149-2022")</f>
        <v/>
      </c>
    </row>
    <row r="50" ht="15" customHeight="1">
      <c r="A50" t="inlineStr">
        <is>
          <t>A 61867-2024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45651</v>
      </c>
      <c r="E50" s="1" t="n">
        <v>46324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HYPERLINK("https://klasma.github.io/Logging_2401/artfynd/A 61867-2024 artfynd.xlsx", "A 61867-2024")</f>
        <v/>
      </c>
      <c r="X50">
        <f>HYPERLINK("https://klasma.github.io/Logging_2401/kartor/A 61867-2024 karta.png", "A 61867-2024")</f>
        <v/>
      </c>
      <c r="Y50">
        <f>HYPERLINK("https://klasma.github.io/Logging_2401/kartor_geotiff/A 61867-2024 georefererad karta.tif", "A 61867-2024")</f>
        <v/>
      </c>
      <c r="AA50">
        <f>HYPERLINK("https://klasma.github.io/Logging_2401/klagomål/A 61867-2024 FSC-klagomål.docx", "A 61867-2024")</f>
        <v/>
      </c>
      <c r="AB50">
        <f>HYPERLINK("https://klasma.github.io/Logging_2401/klagomålsmail/A 61867-2024 FSC-klagomål mail.docx", "A 61867-2024")</f>
        <v/>
      </c>
      <c r="AC50">
        <f>HYPERLINK("https://klasma.github.io/Logging_2401/tillsyn/A 61867-2024 tillsynsbegäran.docx", "A 61867-2024")</f>
        <v/>
      </c>
      <c r="AD50">
        <f>HYPERLINK("https://klasma.github.io/Logging_2401/tillsynsmail/A 61867-2024 tillsynsbegäran mail.docx", "A 61867-2024")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46324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46324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46324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46324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46324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HYPERLINK("https://klasma.github.io/Logging_2401/artfynd/A 9717-2026 artfynd.xlsx", "A 9717-2026")</f>
        <v/>
      </c>
      <c r="X55">
        <f>HYPERLINK("https://klasma.github.io/Logging_2401/kartor/A 9717-2026 karta.png", "A 9717-2026")</f>
        <v/>
      </c>
      <c r="Y55">
        <f>HYPERLINK("https://klasma.github.io/Logging_2401/kartor_geotiff/A 9717-2026 georefererad karta.tif", "A 9717-2026")</f>
        <v/>
      </c>
      <c r="AA55">
        <f>HYPERLINK("https://klasma.github.io/Logging_2401/klagomål/A 9717-2026 FSC-klagomål.docx", "A 9717-2026")</f>
        <v/>
      </c>
      <c r="AB55">
        <f>HYPERLINK("https://klasma.github.io/Logging_2401/klagomålsmail/A 9717-2026 FSC-klagomål mail.docx", "A 9717-2026")</f>
        <v/>
      </c>
      <c r="AC55">
        <f>HYPERLINK("https://klasma.github.io/Logging_2401/tillsyn/A 9717-2026 tillsynsbegäran.docx", "A 9717-2026")</f>
        <v/>
      </c>
      <c r="AD55">
        <f>HYPERLINK("https://klasma.github.io/Logging_2401/tillsynsmail/A 9717-2026 tillsynsbegäran mail.docx", "A 9717-2026")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46324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72873-2021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44547</v>
      </c>
      <c r="E57" s="1" t="n">
        <v>46324</v>
      </c>
      <c r="F57" t="inlineStr">
        <is>
          <t>VÄSTERBOTTENS LÄN</t>
        </is>
      </c>
      <c r="G57" t="inlineStr">
        <is>
          <t>NORDMALING</t>
        </is>
      </c>
      <c r="I57" t="n">
        <v>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HYPERLINK("https://klasma.github.io/Logging_2401/artfynd/A 72873-2021 artfynd.xlsx", "A 72873-2021")</f>
        <v/>
      </c>
      <c r="X57">
        <f>HYPERLINK("https://klasma.github.io/Logging_2401/kartor/A 72873-2021 karta.png", "A 72873-2021")</f>
        <v/>
      </c>
      <c r="Y57">
        <f>HYPERLINK("https://klasma.github.io/Logging_2401/kartor_geotiff/A 72873-2021 georefererad karta.tif", "A 72873-2021")</f>
        <v/>
      </c>
      <c r="AA57">
        <f>HYPERLINK("https://klasma.github.io/Logging_2401/klagomål/A 72873-2021 FSC-klagomål.docx", "A 72873-2021")</f>
        <v/>
      </c>
      <c r="AB57">
        <f>HYPERLINK("https://klasma.github.io/Logging_2401/klagomålsmail/A 72873-2021 FSC-klagomål mail.docx", "A 72873-2021")</f>
        <v/>
      </c>
      <c r="AC57">
        <f>HYPERLINK("https://klasma.github.io/Logging_2401/tillsyn/A 72873-2021 tillsynsbegäran.docx", "A 72873-2021")</f>
        <v/>
      </c>
      <c r="AD57">
        <f>HYPERLINK("https://klasma.github.io/Logging_2401/tillsynsmail/A 72873-2021 tillsynsbegäran mail.docx", "A 72873-2021")</f>
        <v/>
      </c>
    </row>
    <row r="58" ht="15" customHeight="1">
      <c r="A58" t="inlineStr">
        <is>
          <t>A 30921-2026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46324</v>
      </c>
      <c r="F58" t="inlineStr">
        <is>
          <t>VÄSTERBOTTENS LÄN</t>
        </is>
      </c>
      <c r="G58" t="inlineStr">
        <is>
          <t>NORDMALING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HYPERLINK("https://klasma.github.io/Logging_2401/artfynd/A 30921-2026 artfynd.xlsx", "A 30921-2026")</f>
        <v/>
      </c>
      <c r="X58">
        <f>HYPERLINK("https://klasma.github.io/Logging_2401/kartor/A 30921-2026 karta.png", "A 30921-2026")</f>
        <v/>
      </c>
      <c r="Y58">
        <f>HYPERLINK("https://klasma.github.io/Logging_2401/kartor_geotiff/A 30921-2026 georefererad karta.tif", "A 30921-2026")</f>
        <v/>
      </c>
      <c r="AA58">
        <f>HYPERLINK("https://klasma.github.io/Logging_2401/klagomål/A 30921-2026 FSC-klagomål.docx", "A 30921-2026")</f>
        <v/>
      </c>
      <c r="AB58">
        <f>HYPERLINK("https://klasma.github.io/Logging_2401/klagomålsmail/A 30921-2026 FSC-klagomål mail.docx", "A 30921-2026")</f>
        <v/>
      </c>
      <c r="AC58">
        <f>HYPERLINK("https://klasma.github.io/Logging_2401/tillsyn/A 30921-2026 tillsynsbegäran.docx", "A 30921-2026")</f>
        <v/>
      </c>
      <c r="AD58">
        <f>HYPERLINK("https://klasma.github.io/Logging_2401/tillsynsmail/A 30921-2026 tillsynsbegäran mail.docx", "A 30921-2026")</f>
        <v/>
      </c>
    </row>
    <row r="59" ht="15" customHeight="1">
      <c r="A59" t="inlineStr">
        <is>
          <t>A 18897-2026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46129</v>
      </c>
      <c r="E59" s="1" t="n">
        <v>46324</v>
      </c>
      <c r="F59" t="inlineStr">
        <is>
          <t>VÄSTERBOTTENS LÄN</t>
        </is>
      </c>
      <c r="G59" t="inlineStr">
        <is>
          <t>NORDMALING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Trana</t>
        </is>
      </c>
      <c r="W59">
        <f>HYPERLINK("https://klasma.github.io/Logging_2401/artfynd/A 18897-2026 artfynd.xlsx", "A 18897-2026")</f>
        <v/>
      </c>
      <c r="X59">
        <f>HYPERLINK("https://klasma.github.io/Logging_2401/kartor/A 18897-2026 karta.png", "A 18897-2026")</f>
        <v/>
      </c>
      <c r="Y59">
        <f>HYPERLINK("https://klasma.github.io/Logging_2401/kartor_geotiff/A 18897-2026 georefererad karta.tif", "A 18897-2026")</f>
        <v/>
      </c>
      <c r="AA59">
        <f>HYPERLINK("https://klasma.github.io/Logging_2401/klagomål/A 18897-2026 FSC-klagomål.docx", "A 18897-2026")</f>
        <v/>
      </c>
      <c r="AB59">
        <f>HYPERLINK("https://klasma.github.io/Logging_2401/klagomålsmail/A 18897-2026 FSC-klagomål mail.docx", "A 18897-2026")</f>
        <v/>
      </c>
      <c r="AC59">
        <f>HYPERLINK("https://klasma.github.io/Logging_2401/tillsyn/A 18897-2026 tillsynsbegäran.docx", "A 18897-2026")</f>
        <v/>
      </c>
      <c r="AD59">
        <f>HYPERLINK("https://klasma.github.io/Logging_2401/tillsynsmail/A 18897-2026 tillsynsbegäran mail.docx", "A 18897-2026")</f>
        <v/>
      </c>
      <c r="AE59">
        <f>HYPERLINK("https://klasma.github.io/Logging_2401/fåglar/A 18897-2026 prioriterade fågelarter.docx", "A 18897-2026")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46324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A 43783-2024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45570</v>
      </c>
      <c r="E61" s="1" t="n">
        <v>46324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8.9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43783-2024 artfynd.xlsx", "A 43783-2024")</f>
        <v/>
      </c>
      <c r="X61">
        <f>HYPERLINK("https://klasma.github.io/Logging_2401/kartor/A 43783-2024 karta.png", "A 43783-2024")</f>
        <v/>
      </c>
      <c r="Y61">
        <f>HYPERLINK("https://klasma.github.io/Logging_2401/kartor_geotiff/A 43783-2024 georefererad karta.tif", "A 43783-2024")</f>
        <v/>
      </c>
      <c r="AA61">
        <f>HYPERLINK("https://klasma.github.io/Logging_2401/klagomål/A 43783-2024 FSC-klagomål.docx", "A 43783-2024")</f>
        <v/>
      </c>
      <c r="AB61">
        <f>HYPERLINK("https://klasma.github.io/Logging_2401/klagomålsmail/A 43783-2024 FSC-klagomål mail.docx", "A 43783-2024")</f>
        <v/>
      </c>
      <c r="AC61">
        <f>HYPERLINK("https://klasma.github.io/Logging_2401/tillsyn/A 43783-2024 tillsynsbegäran.docx", "A 43783-2024")</f>
        <v/>
      </c>
      <c r="AD61">
        <f>HYPERLINK("https://klasma.github.io/Logging_2401/tillsynsmail/A 43783-2024 tillsynsbegäran mail.docx", "A 43783-2024")</f>
        <v/>
      </c>
    </row>
    <row r="62" ht="15" customHeight="1">
      <c r="A62" t="inlineStr">
        <is>
          <t>A 5595-2025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46324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HYPERLINK("https://klasma.github.io/Logging_2401/artfynd/A 5595-2025 artfynd.xlsx", "A 5595-2025")</f>
        <v/>
      </c>
      <c r="X62">
        <f>HYPERLINK("https://klasma.github.io/Logging_2401/kartor/A 5595-2025 karta.png", "A 5595-2025")</f>
        <v/>
      </c>
      <c r="Y62">
        <f>HYPERLINK("https://klasma.github.io/Logging_2401/kartor_geotiff/A 5595-2025 georefererad karta.tif", "A 5595-2025")</f>
        <v/>
      </c>
      <c r="AA62">
        <f>HYPERLINK("https://klasma.github.io/Logging_2401/klagomål/A 5595-2025 FSC-klagomål.docx", "A 5595-2025")</f>
        <v/>
      </c>
      <c r="AB62">
        <f>HYPERLINK("https://klasma.github.io/Logging_2401/klagomålsmail/A 5595-2025 FSC-klagomål mail.docx", "A 5595-2025")</f>
        <v/>
      </c>
      <c r="AC62">
        <f>HYPERLINK("https://klasma.github.io/Logging_2401/tillsyn/A 5595-2025 tillsynsbegäran.docx", "A 5595-2025")</f>
        <v/>
      </c>
      <c r="AD62">
        <f>HYPERLINK("https://klasma.github.io/Logging_2401/tillsynsmail/A 5595-2025 tillsynsbegäran mail.docx", "A 5595-2025")</f>
        <v/>
      </c>
      <c r="AE62">
        <f>HYPERLINK("https://klasma.github.io/Logging_2401/fåglar/A 5595-2025 prioriterade fågelarter.docx", "A 5595-2025")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46324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46324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46324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46324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46324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46324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46324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46324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46324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46324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46324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46324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46324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46324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46324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46324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46324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46324</v>
      </c>
      <c r="F81" t="inlineStr">
        <is>
          <t>VÄSTERBOTTENS LÄN</t>
        </is>
      </c>
      <c r="G81" t="inlineStr">
        <is>
          <t>NORDMALING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46324</v>
      </c>
      <c r="F82" t="inlineStr">
        <is>
          <t>VÄSTERBOTTENS LÄN</t>
        </is>
      </c>
      <c r="G82" t="inlineStr">
        <is>
          <t>NORDMALING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46324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46324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46324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46324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14540-2022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44655</v>
      </c>
      <c r="E87" s="1" t="n">
        <v>46324</v>
      </c>
      <c r="F87" t="inlineStr">
        <is>
          <t>VÄSTERBOTTENS LÄN</t>
        </is>
      </c>
      <c r="G87" t="inlineStr">
        <is>
          <t>NORDMALING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45607</v>
      </c>
      <c r="E88" s="1" t="n">
        <v>46324</v>
      </c>
      <c r="F88" t="inlineStr">
        <is>
          <t>VÄSTERBOTTENS LÄN</t>
        </is>
      </c>
      <c r="G88" t="inlineStr">
        <is>
          <t>NORDMALING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46324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46324</v>
      </c>
      <c r="F90" t="inlineStr">
        <is>
          <t>VÄSTERBOTTENS LÄN</t>
        </is>
      </c>
      <c r="G90" t="inlineStr">
        <is>
          <t>NORDMALING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37549-2023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45158</v>
      </c>
      <c r="E91" s="1" t="n">
        <v>46324</v>
      </c>
      <c r="F91" t="inlineStr">
        <is>
          <t>VÄSTERBOTTENS LÄN</t>
        </is>
      </c>
      <c r="G91" t="inlineStr">
        <is>
          <t>NORDMALING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44832</v>
      </c>
      <c r="E92" s="1" t="n">
        <v>46324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45433</v>
      </c>
      <c r="E93" s="1" t="n">
        <v>46324</v>
      </c>
      <c r="F93" t="inlineStr">
        <is>
          <t>VÄSTERBOTTENS LÄN</t>
        </is>
      </c>
      <c r="G93" t="inlineStr">
        <is>
          <t>NORDMALING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46324</v>
      </c>
      <c r="F94" t="inlineStr">
        <is>
          <t>VÄSTERBOTTENS LÄN</t>
        </is>
      </c>
      <c r="G94" t="inlineStr">
        <is>
          <t>NORDMALING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45378</v>
      </c>
      <c r="E95" s="1" t="n">
        <v>46324</v>
      </c>
      <c r="F95" t="inlineStr">
        <is>
          <t>VÄSTERBOTTENS LÄN</t>
        </is>
      </c>
      <c r="G95" t="inlineStr">
        <is>
          <t>NORDMALING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46324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46324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44859</v>
      </c>
      <c r="E98" s="1" t="n">
        <v>46324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46324</v>
      </c>
      <c r="F99" t="inlineStr">
        <is>
          <t>VÄSTERBOTTENS LÄN</t>
        </is>
      </c>
      <c r="G99" t="inlineStr">
        <is>
          <t>NORDMALING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46324</v>
      </c>
      <c r="F100" t="inlineStr">
        <is>
          <t>VÄSTERBOTTENS LÄN</t>
        </is>
      </c>
      <c r="G100" t="inlineStr">
        <is>
          <t>NORDMALING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46324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46324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46324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46324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46324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46324</v>
      </c>
      <c r="F106" t="inlineStr">
        <is>
          <t>VÄSTERBOTTENS LÄN</t>
        </is>
      </c>
      <c r="G106" t="inlineStr">
        <is>
          <t>NORDMALING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46324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8103-2025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45707</v>
      </c>
      <c r="E108" s="1" t="n">
        <v>46324</v>
      </c>
      <c r="F108" t="inlineStr">
        <is>
          <t>VÄSTERBOTTENS LÄN</t>
        </is>
      </c>
      <c r="G108" t="inlineStr">
        <is>
          <t>NORDMALING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44977</v>
      </c>
      <c r="E109" s="1" t="n">
        <v>46324</v>
      </c>
      <c r="F109" t="inlineStr">
        <is>
          <t>VÄSTERBOTTENS LÄN</t>
        </is>
      </c>
      <c r="G109" t="inlineStr">
        <is>
          <t>NORDMALING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46324</v>
      </c>
      <c r="F110" t="inlineStr">
        <is>
          <t>VÄSTERBOTTENS LÄN</t>
        </is>
      </c>
      <c r="G110" t="inlineStr">
        <is>
          <t>NORDMALING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46324</v>
      </c>
      <c r="F111" t="inlineStr">
        <is>
          <t>VÄSTERBOTTENS LÄN</t>
        </is>
      </c>
      <c r="G111" t="inlineStr">
        <is>
          <t>NORDMALING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46324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Holmen skog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36814-2024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45538</v>
      </c>
      <c r="E113" s="1" t="n">
        <v>46324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44993</v>
      </c>
      <c r="E114" s="1" t="n">
        <v>46324</v>
      </c>
      <c r="F114" t="inlineStr">
        <is>
          <t>VÄSTERBOTTENS LÄN</t>
        </is>
      </c>
      <c r="G114" t="inlineStr">
        <is>
          <t>NORDMALING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46324</v>
      </c>
      <c r="F115" t="inlineStr">
        <is>
          <t>VÄSTERBOTTENS LÄN</t>
        </is>
      </c>
      <c r="G115" t="inlineStr">
        <is>
          <t>NORDMALING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44922</v>
      </c>
      <c r="E116" s="1" t="n">
        <v>46324</v>
      </c>
      <c r="F116" t="inlineStr">
        <is>
          <t>VÄSTERBOTTENS LÄN</t>
        </is>
      </c>
      <c r="G116" t="inlineStr">
        <is>
          <t>NORDMALING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46324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45344</v>
      </c>
      <c r="E118" s="1" t="n">
        <v>46324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45664</v>
      </c>
      <c r="E119" s="1" t="n">
        <v>46324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46324</v>
      </c>
      <c r="F120" t="inlineStr">
        <is>
          <t>VÄSTERBOTTENS LÄN</t>
        </is>
      </c>
      <c r="G120" t="inlineStr">
        <is>
          <t>NORDMALING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45182</v>
      </c>
      <c r="E121" s="1" t="n">
        <v>46324</v>
      </c>
      <c r="F121" t="inlineStr">
        <is>
          <t>VÄSTERBOTTENS LÄN</t>
        </is>
      </c>
      <c r="G121" t="inlineStr">
        <is>
          <t>NORDMALING</t>
        </is>
      </c>
      <c r="I121" t="n">
        <v>20.1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46324</v>
      </c>
      <c r="F122" t="inlineStr">
        <is>
          <t>VÄSTERBOTTENS LÄN</t>
        </is>
      </c>
      <c r="G122" t="inlineStr">
        <is>
          <t>NORDMALING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46324</v>
      </c>
      <c r="F123" t="inlineStr">
        <is>
          <t>VÄSTERBOTTENS LÄN</t>
        </is>
      </c>
      <c r="G123" t="inlineStr">
        <is>
          <t>NORDMALING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46324</v>
      </c>
      <c r="F124" t="inlineStr">
        <is>
          <t>VÄSTERBOTTENS LÄN</t>
        </is>
      </c>
      <c r="G124" t="inlineStr">
        <is>
          <t>NORDMALING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45503</v>
      </c>
      <c r="E125" s="1" t="n">
        <v>46324</v>
      </c>
      <c r="F125" t="inlineStr">
        <is>
          <t>VÄSTERBOTTENS LÄN</t>
        </is>
      </c>
      <c r="G125" t="inlineStr">
        <is>
          <t>NORDMALING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45141</v>
      </c>
      <c r="E126" s="1" t="n">
        <v>46324</v>
      </c>
      <c r="F126" t="inlineStr">
        <is>
          <t>VÄSTERBOTTENS LÄN</t>
        </is>
      </c>
      <c r="G126" t="inlineStr">
        <is>
          <t>NORDMALING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46324</v>
      </c>
      <c r="F127" t="inlineStr">
        <is>
          <t>VÄSTERBOTTENS LÄN</t>
        </is>
      </c>
      <c r="G127" t="inlineStr">
        <is>
          <t>NORDMALING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46324</v>
      </c>
      <c r="F128" t="inlineStr">
        <is>
          <t>VÄSTERBOTTENS LÄN</t>
        </is>
      </c>
      <c r="G128" t="inlineStr">
        <is>
          <t>NORDMALING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46324</v>
      </c>
      <c r="F129" t="inlineStr">
        <is>
          <t>VÄSTERBOTTENS LÄN</t>
        </is>
      </c>
      <c r="G129" t="inlineStr">
        <is>
          <t>NORDMALING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46324</v>
      </c>
      <c r="F130" t="inlineStr">
        <is>
          <t>VÄSTERBOTTENS LÄN</t>
        </is>
      </c>
      <c r="G130" t="inlineStr">
        <is>
          <t>NORDMALING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46324</v>
      </c>
      <c r="F131" t="inlineStr">
        <is>
          <t>VÄSTERBOTTENS LÄN</t>
        </is>
      </c>
      <c r="G131" t="inlineStr">
        <is>
          <t>NORDMALING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46324</v>
      </c>
      <c r="F132" t="inlineStr">
        <is>
          <t>VÄSTERBOTTENS LÄN</t>
        </is>
      </c>
      <c r="G132" t="inlineStr">
        <is>
          <t>NORDMALING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46324</v>
      </c>
      <c r="F133" t="inlineStr">
        <is>
          <t>VÄSTERBOTTENS LÄN</t>
        </is>
      </c>
      <c r="G133" t="inlineStr">
        <is>
          <t>NORDMALING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46324</v>
      </c>
      <c r="F134" t="inlineStr">
        <is>
          <t>VÄSTERBOTTENS LÄN</t>
        </is>
      </c>
      <c r="G134" t="inlineStr">
        <is>
          <t>NORDMALING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45021</v>
      </c>
      <c r="E135" s="1" t="n">
        <v>46324</v>
      </c>
      <c r="F135" t="inlineStr">
        <is>
          <t>VÄSTERBOTTENS LÄN</t>
        </is>
      </c>
      <c r="G135" t="inlineStr">
        <is>
          <t>NORDMALING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46324</v>
      </c>
      <c r="F136" t="inlineStr">
        <is>
          <t>VÄSTERBOTTENS LÄN</t>
        </is>
      </c>
      <c r="G136" t="inlineStr">
        <is>
          <t>NORDMALING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64498-2023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45280</v>
      </c>
      <c r="E137" s="1" t="n">
        <v>46324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24415-2024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45457</v>
      </c>
      <c r="E138" s="1" t="n">
        <v>46324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45665</v>
      </c>
      <c r="E139" s="1" t="n">
        <v>46324</v>
      </c>
      <c r="F139" t="inlineStr">
        <is>
          <t>VÄSTERBOTTENS LÄN</t>
        </is>
      </c>
      <c r="G139" t="inlineStr">
        <is>
          <t>NORDMALING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46324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46324</v>
      </c>
      <c r="F141" t="inlineStr">
        <is>
          <t>VÄSTERBOTTENS LÄN</t>
        </is>
      </c>
      <c r="G141" t="inlineStr">
        <is>
          <t>NORDMALING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46324</v>
      </c>
      <c r="F142" t="inlineStr">
        <is>
          <t>VÄSTERBOTTENS LÄN</t>
        </is>
      </c>
      <c r="G142" t="inlineStr">
        <is>
          <t>NORDMALING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46324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46324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46324</v>
      </c>
      <c r="F145" t="inlineStr">
        <is>
          <t>VÄSTERBOTTENS LÄN</t>
        </is>
      </c>
      <c r="G145" t="inlineStr">
        <is>
          <t>NORDMALING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46324</v>
      </c>
      <c r="F146" t="inlineStr">
        <is>
          <t>VÄSTERBOTTENS LÄN</t>
        </is>
      </c>
      <c r="G146" t="inlineStr">
        <is>
          <t>NORDMALING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46324</v>
      </c>
      <c r="F147" t="inlineStr">
        <is>
          <t>VÄSTERBOTTENS LÄN</t>
        </is>
      </c>
      <c r="G147" t="inlineStr">
        <is>
          <t>NORDMALING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46324</v>
      </c>
      <c r="F148" t="inlineStr">
        <is>
          <t>VÄSTERBOTTENS LÄN</t>
        </is>
      </c>
      <c r="G148" t="inlineStr">
        <is>
          <t>NORDMALING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46324</v>
      </c>
      <c r="F149" t="inlineStr">
        <is>
          <t>VÄSTERBOTTENS LÄN</t>
        </is>
      </c>
      <c r="G149" t="inlineStr">
        <is>
          <t>NORDMALING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29606-2025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45825</v>
      </c>
      <c r="E150" s="1" t="n">
        <v>46324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46324</v>
      </c>
      <c r="F151" t="inlineStr">
        <is>
          <t>VÄSTERBOTTENS LÄN</t>
        </is>
      </c>
      <c r="G151" t="inlineStr">
        <is>
          <t>NORDMALING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46324</v>
      </c>
      <c r="F152" t="inlineStr">
        <is>
          <t>VÄSTERBOTTENS LÄN</t>
        </is>
      </c>
      <c r="G152" t="inlineStr">
        <is>
          <t>NORDMALING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46324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46324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46324</v>
      </c>
      <c r="F155" t="inlineStr">
        <is>
          <t>VÄSTERBOTTENS LÄN</t>
        </is>
      </c>
      <c r="G155" t="inlineStr">
        <is>
          <t>NORDMALING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45330</v>
      </c>
      <c r="E156" s="1" t="n">
        <v>46324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48945-2022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44859</v>
      </c>
      <c r="E157" s="1" t="n">
        <v>46324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45900</v>
      </c>
      <c r="E158" s="1" t="n">
        <v>46324</v>
      </c>
      <c r="F158" t="inlineStr">
        <is>
          <t>VÄSTERBOTTENS LÄN</t>
        </is>
      </c>
      <c r="G158" t="inlineStr">
        <is>
          <t>NORDMALING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46324</v>
      </c>
      <c r="F159" t="inlineStr">
        <is>
          <t>VÄSTERBOTTENS LÄN</t>
        </is>
      </c>
      <c r="G159" t="inlineStr">
        <is>
          <t>NORDMALING</t>
        </is>
      </c>
      <c r="I159" t="n">
        <v>12.5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46324</v>
      </c>
      <c r="F160" t="inlineStr">
        <is>
          <t>VÄSTERBOTTENS LÄN</t>
        </is>
      </c>
      <c r="G160" t="inlineStr">
        <is>
          <t>NORDMALING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46324</v>
      </c>
      <c r="F161" t="inlineStr">
        <is>
          <t>VÄSTERBOTTENS LÄN</t>
        </is>
      </c>
      <c r="G161" t="inlineStr">
        <is>
          <t>NORDMALING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46324</v>
      </c>
      <c r="F162" t="inlineStr">
        <is>
          <t>VÄSTERBOTTENS LÄN</t>
        </is>
      </c>
      <c r="G162" t="inlineStr">
        <is>
          <t>NORDMALING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46324</v>
      </c>
      <c r="F163" t="inlineStr">
        <is>
          <t>VÄSTERBOTTENS LÄN</t>
        </is>
      </c>
      <c r="G163" t="inlineStr">
        <is>
          <t>NORDMALING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46324</v>
      </c>
      <c r="F164" t="inlineStr">
        <is>
          <t>VÄSTERBOTTENS LÄN</t>
        </is>
      </c>
      <c r="G164" t="inlineStr">
        <is>
          <t>NORDMALING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46324</v>
      </c>
      <c r="F165" t="inlineStr">
        <is>
          <t>VÄSTERBOTTENS LÄN</t>
        </is>
      </c>
      <c r="G165" t="inlineStr">
        <is>
          <t>NORDMALING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46324</v>
      </c>
      <c r="F166" t="inlineStr">
        <is>
          <t>VÄSTERBOTTENS LÄN</t>
        </is>
      </c>
      <c r="G166" t="inlineStr">
        <is>
          <t>NORDMALING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46324</v>
      </c>
      <c r="F167" t="inlineStr">
        <is>
          <t>VÄSTERBOTTENS LÄN</t>
        </is>
      </c>
      <c r="G167" t="inlineStr">
        <is>
          <t>NORDMALING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45349</v>
      </c>
      <c r="E168" s="1" t="n">
        <v>46324</v>
      </c>
      <c r="F168" t="inlineStr">
        <is>
          <t>VÄSTERBOTTENS LÄN</t>
        </is>
      </c>
      <c r="G168" t="inlineStr">
        <is>
          <t>NORDMALING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46324</v>
      </c>
      <c r="F169" t="inlineStr">
        <is>
          <t>VÄSTERBOTTENS LÄN</t>
        </is>
      </c>
      <c r="G169" t="inlineStr">
        <is>
          <t>NORDMALING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46324</v>
      </c>
      <c r="F170" t="inlineStr">
        <is>
          <t>VÄSTERBOTTENS LÄN</t>
        </is>
      </c>
      <c r="G170" t="inlineStr">
        <is>
          <t>NORDMALING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46324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46324</v>
      </c>
      <c r="F172" t="inlineStr">
        <is>
          <t>VÄSTERBOTTENS LÄN</t>
        </is>
      </c>
      <c r="G172" t="inlineStr">
        <is>
          <t>NORDMALING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38285-2022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46324</v>
      </c>
      <c r="F173" t="inlineStr">
        <is>
          <t>VÄSTERBOTTENS LÄN</t>
        </is>
      </c>
      <c r="G173" t="inlineStr">
        <is>
          <t>NORDMALING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46324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46324</v>
      </c>
      <c r="F175" t="inlineStr">
        <is>
          <t>VÄSTERBOTTENS LÄN</t>
        </is>
      </c>
      <c r="G175" t="inlineStr">
        <is>
          <t>NORDMALING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46324</v>
      </c>
      <c r="F176" t="inlineStr">
        <is>
          <t>VÄSTERBOTTENS LÄN</t>
        </is>
      </c>
      <c r="G176" t="inlineStr">
        <is>
          <t>NORDMALING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33599-2025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46324</v>
      </c>
      <c r="F177" t="inlineStr">
        <is>
          <t>VÄSTERBOTTENS LÄN</t>
        </is>
      </c>
      <c r="G177" t="inlineStr">
        <is>
          <t>NORDMALING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46324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46324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46324</v>
      </c>
      <c r="F180" t="inlineStr">
        <is>
          <t>VÄSTERBOTTENS LÄN</t>
        </is>
      </c>
      <c r="G180" t="inlineStr">
        <is>
          <t>NORDMALING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46324</v>
      </c>
      <c r="F181" t="inlineStr">
        <is>
          <t>VÄSTERBOTTENS LÄN</t>
        </is>
      </c>
      <c r="G181" t="inlineStr">
        <is>
          <t>NORDMALING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46324</v>
      </c>
      <c r="F182" t="inlineStr">
        <is>
          <t>VÄSTERBOTTENS LÄN</t>
        </is>
      </c>
      <c r="G182" t="inlineStr">
        <is>
          <t>NORDMALING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46324</v>
      </c>
      <c r="F183" t="inlineStr">
        <is>
          <t>VÄSTERBOTTENS LÄN</t>
        </is>
      </c>
      <c r="G183" t="inlineStr">
        <is>
          <t>NORDMALING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46324</v>
      </c>
      <c r="F184" t="inlineStr">
        <is>
          <t>VÄSTERBOTTENS LÄN</t>
        </is>
      </c>
      <c r="G184" t="inlineStr">
        <is>
          <t>NORDMALING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46324</v>
      </c>
      <c r="F185" t="inlineStr">
        <is>
          <t>VÄSTERBOTTENS LÄN</t>
        </is>
      </c>
      <c r="G185" t="inlineStr">
        <is>
          <t>NORDMALING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46324</v>
      </c>
      <c r="F186" t="inlineStr">
        <is>
          <t>VÄSTERBOTTENS LÄN</t>
        </is>
      </c>
      <c r="G186" t="inlineStr">
        <is>
          <t>NORDMALING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45849</v>
      </c>
      <c r="E187" s="1" t="n">
        <v>46324</v>
      </c>
      <c r="F187" t="inlineStr">
        <is>
          <t>VÄSTERBOTTENS LÄN</t>
        </is>
      </c>
      <c r="G187" t="inlineStr">
        <is>
          <t>NORDMALING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45852</v>
      </c>
      <c r="E188" s="1" t="n">
        <v>46324</v>
      </c>
      <c r="F188" t="inlineStr">
        <is>
          <t>VÄSTERBOTTENS LÄN</t>
        </is>
      </c>
      <c r="G188" t="inlineStr">
        <is>
          <t>NORDMALING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46324</v>
      </c>
      <c r="F189" t="inlineStr">
        <is>
          <t>VÄSTERBOTTENS LÄN</t>
        </is>
      </c>
      <c r="G189" t="inlineStr">
        <is>
          <t>NORDMALING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33612-2022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44789</v>
      </c>
      <c r="E190" s="1" t="n">
        <v>46324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45139</v>
      </c>
      <c r="E191" s="1" t="n">
        <v>46324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46324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45470</v>
      </c>
      <c r="E193" s="1" t="n">
        <v>46324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46324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44921</v>
      </c>
      <c r="E195" s="1" t="n">
        <v>46324</v>
      </c>
      <c r="F195" t="inlineStr">
        <is>
          <t>VÄSTERBOTTENS LÄN</t>
        </is>
      </c>
      <c r="G195" t="inlineStr">
        <is>
          <t>NORDMALING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46324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45344</v>
      </c>
      <c r="E197" s="1" t="n">
        <v>46324</v>
      </c>
      <c r="F197" t="inlineStr">
        <is>
          <t>VÄSTERBOTTENS LÄN</t>
        </is>
      </c>
      <c r="G197" t="inlineStr">
        <is>
          <t>NORDMALING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45867</v>
      </c>
      <c r="E198" s="1" t="n">
        <v>46324</v>
      </c>
      <c r="F198" t="inlineStr">
        <is>
          <t>VÄSTERBOTTENS LÄN</t>
        </is>
      </c>
      <c r="G198" t="inlineStr">
        <is>
          <t>NORDMALING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45866</v>
      </c>
      <c r="E199" s="1" t="n">
        <v>46324</v>
      </c>
      <c r="F199" t="inlineStr">
        <is>
          <t>VÄSTERBOTTENS LÄN</t>
        </is>
      </c>
      <c r="G199" t="inlineStr">
        <is>
          <t>NORDMALING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46324</v>
      </c>
      <c r="F200" t="inlineStr">
        <is>
          <t>VÄSTERBOTTENS LÄN</t>
        </is>
      </c>
      <c r="G200" t="inlineStr">
        <is>
          <t>NORDMALING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46324</v>
      </c>
      <c r="F201" t="inlineStr">
        <is>
          <t>VÄSTERBOTTENS LÄN</t>
        </is>
      </c>
      <c r="G201" t="inlineStr">
        <is>
          <t>NORDMALING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70028-2021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44533</v>
      </c>
      <c r="E202" s="1" t="n">
        <v>46324</v>
      </c>
      <c r="F202" t="inlineStr">
        <is>
          <t>VÄSTERBOTTENS LÄN</t>
        </is>
      </c>
      <c r="G202" t="inlineStr">
        <is>
          <t>NORDMALING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44812</v>
      </c>
      <c r="E203" s="1" t="n">
        <v>46324</v>
      </c>
      <c r="F203" t="inlineStr">
        <is>
          <t>VÄSTERBOTTENS LÄN</t>
        </is>
      </c>
      <c r="G203" t="inlineStr">
        <is>
          <t>NORDMALING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46324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49849-2025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45940</v>
      </c>
      <c r="E205" s="1" t="n">
        <v>46324</v>
      </c>
      <c r="F205" t="inlineStr">
        <is>
          <t>VÄSTERBOTTENS LÄN</t>
        </is>
      </c>
      <c r="G205" t="inlineStr">
        <is>
          <t>NORDMALING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44735</v>
      </c>
      <c r="E206" s="1" t="n">
        <v>46324</v>
      </c>
      <c r="F206" t="inlineStr">
        <is>
          <t>VÄSTERBOTTENS LÄN</t>
        </is>
      </c>
      <c r="G206" t="inlineStr">
        <is>
          <t>NORDMALING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46324</v>
      </c>
      <c r="F207" t="inlineStr">
        <is>
          <t>VÄSTERBOTTENS LÄN</t>
        </is>
      </c>
      <c r="G207" t="inlineStr">
        <is>
          <t>NORDMALING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45525</v>
      </c>
      <c r="E208" s="1" t="n">
        <v>46324</v>
      </c>
      <c r="F208" t="inlineStr">
        <is>
          <t>VÄSTERBOTTENS LÄN</t>
        </is>
      </c>
      <c r="G208" t="inlineStr">
        <is>
          <t>NORDMALING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45944</v>
      </c>
      <c r="E209" s="1" t="n">
        <v>46324</v>
      </c>
      <c r="F209" t="inlineStr">
        <is>
          <t>VÄSTERBOTTENS LÄN</t>
        </is>
      </c>
      <c r="G209" t="inlineStr">
        <is>
          <t>NORDMALING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24712-2023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45075</v>
      </c>
      <c r="E210" s="1" t="n">
        <v>46324</v>
      </c>
      <c r="F210" t="inlineStr">
        <is>
          <t>VÄSTERBOTTENS LÄN</t>
        </is>
      </c>
      <c r="G210" t="inlineStr">
        <is>
          <t>NORDMALING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46324</v>
      </c>
      <c r="F211" t="inlineStr">
        <is>
          <t>VÄSTERBOTTENS LÄN</t>
        </is>
      </c>
      <c r="G211" t="inlineStr">
        <is>
          <t>NORDMALING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46324</v>
      </c>
      <c r="F212" t="inlineStr">
        <is>
          <t>VÄSTERBOTTENS LÄN</t>
        </is>
      </c>
      <c r="G212" t="inlineStr">
        <is>
          <t>NORDMALING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44977</v>
      </c>
      <c r="E213" s="1" t="n">
        <v>46324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Holmen skog AB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45482</v>
      </c>
      <c r="E214" s="1" t="n">
        <v>46324</v>
      </c>
      <c r="F214" t="inlineStr">
        <is>
          <t>VÄSTERBOTTENS LÄN</t>
        </is>
      </c>
      <c r="G214" t="inlineStr">
        <is>
          <t>NORDMALING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46324</v>
      </c>
      <c r="F215" t="inlineStr">
        <is>
          <t>VÄSTERBOTTENS LÄN</t>
        </is>
      </c>
      <c r="G215" t="inlineStr">
        <is>
          <t>NORDMALING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46324</v>
      </c>
      <c r="F216" t="inlineStr">
        <is>
          <t>VÄSTERBOTTENS LÄN</t>
        </is>
      </c>
      <c r="G216" t="inlineStr">
        <is>
          <t>NORDMALING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46324</v>
      </c>
      <c r="F217" t="inlineStr">
        <is>
          <t>VÄSTERBOTTENS LÄN</t>
        </is>
      </c>
      <c r="G217" t="inlineStr">
        <is>
          <t>NORDMALING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51542-2025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45950</v>
      </c>
      <c r="E218" s="1" t="n">
        <v>46324</v>
      </c>
      <c r="F218" t="inlineStr">
        <is>
          <t>VÄSTERBOTTENS LÄN</t>
        </is>
      </c>
      <c r="G218" t="inlineStr">
        <is>
          <t>NORDMALING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45950</v>
      </c>
      <c r="E219" s="1" t="n">
        <v>46324</v>
      </c>
      <c r="F219" t="inlineStr">
        <is>
          <t>VÄSTERBOTTENS LÄN</t>
        </is>
      </c>
      <c r="G219" t="inlineStr">
        <is>
          <t>NORDMALING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46324</v>
      </c>
      <c r="F220" t="inlineStr">
        <is>
          <t>VÄSTERBOTTENS LÄN</t>
        </is>
      </c>
      <c r="G220" t="inlineStr">
        <is>
          <t>NORDMALING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46324</v>
      </c>
      <c r="F221" t="inlineStr">
        <is>
          <t>VÄSTERBOTTENS LÄN</t>
        </is>
      </c>
      <c r="G221" t="inlineStr">
        <is>
          <t>NORDMALING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46324</v>
      </c>
      <c r="F222" t="inlineStr">
        <is>
          <t>VÄSTERBOTTENS LÄN</t>
        </is>
      </c>
      <c r="G222" t="inlineStr">
        <is>
          <t>NORDMALING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46324</v>
      </c>
      <c r="F223" t="inlineStr">
        <is>
          <t>VÄSTERBOTTENS LÄN</t>
        </is>
      </c>
      <c r="G223" t="inlineStr">
        <is>
          <t>NORDMALING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45021</v>
      </c>
      <c r="E224" s="1" t="n">
        <v>46324</v>
      </c>
      <c r="F224" t="inlineStr">
        <is>
          <t>VÄSTERBOTTENS LÄN</t>
        </is>
      </c>
      <c r="G224" t="inlineStr">
        <is>
          <t>NORDMALING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46324</v>
      </c>
      <c r="F225" t="inlineStr">
        <is>
          <t>VÄSTERBOTTENS LÄN</t>
        </is>
      </c>
      <c r="G225" t="inlineStr">
        <is>
          <t>NORDMALING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45622</v>
      </c>
      <c r="E226" s="1" t="n">
        <v>46324</v>
      </c>
      <c r="F226" t="inlineStr">
        <is>
          <t>VÄSTERBOTTENS LÄN</t>
        </is>
      </c>
      <c r="G226" t="inlineStr">
        <is>
          <t>NORDMALING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46324</v>
      </c>
      <c r="F227" t="inlineStr">
        <is>
          <t>VÄSTERBOTTENS LÄN</t>
        </is>
      </c>
      <c r="G227" t="inlineStr">
        <is>
          <t>NORDMALING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45961</v>
      </c>
      <c r="E228" s="1" t="n">
        <v>46324</v>
      </c>
      <c r="F228" t="inlineStr">
        <is>
          <t>VÄSTERBOTTENS LÄN</t>
        </is>
      </c>
      <c r="G228" t="inlineStr">
        <is>
          <t>NORDMALING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45961</v>
      </c>
      <c r="E229" s="1" t="n">
        <v>46324</v>
      </c>
      <c r="F229" t="inlineStr">
        <is>
          <t>VÄSTERBOTTENS LÄN</t>
        </is>
      </c>
      <c r="G229" t="inlineStr">
        <is>
          <t>NORDMALING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46324</v>
      </c>
      <c r="F230" t="inlineStr">
        <is>
          <t>VÄSTERBOTTENS LÄN</t>
        </is>
      </c>
      <c r="G230" t="inlineStr">
        <is>
          <t>NORDMALING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46324</v>
      </c>
      <c r="F231" t="inlineStr">
        <is>
          <t>VÄSTERBOTTENS LÄN</t>
        </is>
      </c>
      <c r="G231" t="inlineStr">
        <is>
          <t>NORDMALING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46324</v>
      </c>
      <c r="F232" t="inlineStr">
        <is>
          <t>VÄSTERBOTTENS LÄN</t>
        </is>
      </c>
      <c r="G232" t="inlineStr">
        <is>
          <t>NORDMALING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45962</v>
      </c>
      <c r="E233" s="1" t="n">
        <v>46324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46324</v>
      </c>
      <c r="F234" t="inlineStr">
        <is>
          <t>VÄSTERBOTTENS LÄN</t>
        </is>
      </c>
      <c r="G234" t="inlineStr">
        <is>
          <t>NORDMALING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46324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46324</v>
      </c>
      <c r="F236" t="inlineStr">
        <is>
          <t>VÄSTERBOTTENS LÄN</t>
        </is>
      </c>
      <c r="G236" t="inlineStr">
        <is>
          <t>NORDMALING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46324</v>
      </c>
      <c r="F237" t="inlineStr">
        <is>
          <t>VÄSTERBOTTENS LÄN</t>
        </is>
      </c>
      <c r="G237" t="inlineStr">
        <is>
          <t>NORDMALING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45966</v>
      </c>
      <c r="E238" s="1" t="n">
        <v>46324</v>
      </c>
      <c r="F238" t="inlineStr">
        <is>
          <t>VÄSTERBOTTENS LÄN</t>
        </is>
      </c>
      <c r="G238" t="inlineStr">
        <is>
          <t>NORDMALING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46324</v>
      </c>
      <c r="F239" t="inlineStr">
        <is>
          <t>VÄSTERBOTTENS LÄN</t>
        </is>
      </c>
      <c r="G239" t="inlineStr">
        <is>
          <t>NORDMALING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46324</v>
      </c>
      <c r="F240" t="inlineStr">
        <is>
          <t>VÄSTERBOTTENS LÄN</t>
        </is>
      </c>
      <c r="G240" t="inlineStr">
        <is>
          <t>NORDMALING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46324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46324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44742</v>
      </c>
      <c r="E243" s="1" t="n">
        <v>46324</v>
      </c>
      <c r="F243" t="inlineStr">
        <is>
          <t>VÄSTERBOTTENS LÄN</t>
        </is>
      </c>
      <c r="G243" t="inlineStr">
        <is>
          <t>NORDMALING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46324</v>
      </c>
      <c r="F244" t="inlineStr">
        <is>
          <t>VÄSTERBOTTENS LÄN</t>
        </is>
      </c>
      <c r="G244" t="inlineStr">
        <is>
          <t>NORDMALING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46151</v>
      </c>
      <c r="E245" s="1" t="n">
        <v>46324</v>
      </c>
      <c r="F245" t="inlineStr">
        <is>
          <t>VÄSTERBOTTENS LÄN</t>
        </is>
      </c>
      <c r="G245" t="inlineStr">
        <is>
          <t>NORDMALING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46151</v>
      </c>
      <c r="E246" s="1" t="n">
        <v>46324</v>
      </c>
      <c r="F246" t="inlineStr">
        <is>
          <t>VÄSTERBOTTENS LÄN</t>
        </is>
      </c>
      <c r="G246" t="inlineStr">
        <is>
          <t>NORDMALING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45517</v>
      </c>
      <c r="E247" s="1" t="n">
        <v>46324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Holmen skog AB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46324</v>
      </c>
      <c r="F248" t="inlineStr">
        <is>
          <t>VÄSTERBOTTENS LÄN</t>
        </is>
      </c>
      <c r="G248" t="inlineStr">
        <is>
          <t>NORDMALING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46324</v>
      </c>
      <c r="F249" t="inlineStr">
        <is>
          <t>VÄSTERBOTTENS LÄN</t>
        </is>
      </c>
      <c r="G249" t="inlineStr">
        <is>
          <t>NORDMALING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46324</v>
      </c>
      <c r="F250" t="inlineStr">
        <is>
          <t>VÄSTERBOTTENS LÄN</t>
        </is>
      </c>
      <c r="G250" t="inlineStr">
        <is>
          <t>NORDMALING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46324</v>
      </c>
      <c r="F251" t="inlineStr">
        <is>
          <t>VÄSTERBOTTENS LÄN</t>
        </is>
      </c>
      <c r="G251" t="inlineStr">
        <is>
          <t>NORDMALING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46324</v>
      </c>
      <c r="F252" t="inlineStr">
        <is>
          <t>VÄSTERBOTTENS LÄN</t>
        </is>
      </c>
      <c r="G252" t="inlineStr">
        <is>
          <t>NORDMALING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46324</v>
      </c>
      <c r="F253" t="inlineStr">
        <is>
          <t>VÄSTERBOTTENS LÄN</t>
        </is>
      </c>
      <c r="G253" t="inlineStr">
        <is>
          <t>NORDMALING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46324</v>
      </c>
      <c r="F254" t="inlineStr">
        <is>
          <t>VÄSTERBOTTENS LÄN</t>
        </is>
      </c>
      <c r="G254" t="inlineStr">
        <is>
          <t>NORDMALING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45569</v>
      </c>
      <c r="E255" s="1" t="n">
        <v>46324</v>
      </c>
      <c r="F255" t="inlineStr">
        <is>
          <t>VÄSTERBOTTENS LÄN</t>
        </is>
      </c>
      <c r="G255" t="inlineStr">
        <is>
          <t>NORDMALING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46324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46324</v>
      </c>
      <c r="F257" t="inlineStr">
        <is>
          <t>VÄSTERBOTTENS LÄN</t>
        </is>
      </c>
      <c r="G257" t="inlineStr">
        <is>
          <t>NORDMALING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46324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46324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46324</v>
      </c>
      <c r="F260" t="inlineStr">
        <is>
          <t>VÄSTERBOTTENS LÄN</t>
        </is>
      </c>
      <c r="G260" t="inlineStr">
        <is>
          <t>NORDMALING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46324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46324</v>
      </c>
      <c r="F262" t="inlineStr">
        <is>
          <t>VÄSTERBOTTENS LÄN</t>
        </is>
      </c>
      <c r="G262" t="inlineStr">
        <is>
          <t>NORDMALING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45574</v>
      </c>
      <c r="E263" s="1" t="n">
        <v>46324</v>
      </c>
      <c r="F263" t="inlineStr">
        <is>
          <t>VÄSTERBOTTENS LÄN</t>
        </is>
      </c>
      <c r="G263" t="inlineStr">
        <is>
          <t>NORDMALING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44888</v>
      </c>
      <c r="E264" s="1" t="n">
        <v>46324</v>
      </c>
      <c r="F264" t="inlineStr">
        <is>
          <t>VÄSTERBOTTENS LÄN</t>
        </is>
      </c>
      <c r="G264" t="inlineStr">
        <is>
          <t>NORDMALING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23005-2026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46160</v>
      </c>
      <c r="E265" s="1" t="n">
        <v>46324</v>
      </c>
      <c r="F265" t="inlineStr">
        <is>
          <t>VÄSTERBOTTENS LÄN</t>
        </is>
      </c>
      <c r="G265" t="inlineStr">
        <is>
          <t>NORDMALING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23006-2026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46160</v>
      </c>
      <c r="E266" s="1" t="n">
        <v>46324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46324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46324</v>
      </c>
      <c r="F268" t="inlineStr">
        <is>
          <t>VÄSTERBOTTENS LÄN</t>
        </is>
      </c>
      <c r="G268" t="inlineStr">
        <is>
          <t>NORDMALING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46324</v>
      </c>
      <c r="F269" t="inlineStr">
        <is>
          <t>VÄSTERBOTTENS LÄN</t>
        </is>
      </c>
      <c r="G269" t="inlineStr">
        <is>
          <t>NORDMALING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46324</v>
      </c>
      <c r="F270" t="inlineStr">
        <is>
          <t>VÄSTERBOTTENS LÄN</t>
        </is>
      </c>
      <c r="G270" t="inlineStr">
        <is>
          <t>NORDMALING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23049-2026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46324</v>
      </c>
      <c r="F271" t="inlineStr">
        <is>
          <t>VÄSTERBOTTENS LÄN</t>
        </is>
      </c>
      <c r="G271" t="inlineStr">
        <is>
          <t>NORDMALING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46324</v>
      </c>
      <c r="F272" t="inlineStr">
        <is>
          <t>VÄSTERBOTTENS LÄN</t>
        </is>
      </c>
      <c r="G272" t="inlineStr">
        <is>
          <t>NORDMALING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59945-2025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46324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46324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46324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60064-2025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46324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45378</v>
      </c>
      <c r="E277" s="1" t="n">
        <v>46324</v>
      </c>
      <c r="F277" t="inlineStr">
        <is>
          <t>VÄSTERBOTTENS LÄN</t>
        </is>
      </c>
      <c r="G277" t="inlineStr">
        <is>
          <t>NORDMALING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46324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45994</v>
      </c>
      <c r="E279" s="1" t="n">
        <v>46324</v>
      </c>
      <c r="F279" t="inlineStr">
        <is>
          <t>VÄSTERBOTTENS LÄN</t>
        </is>
      </c>
      <c r="G279" t="inlineStr">
        <is>
          <t>NORDMALING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46324</v>
      </c>
      <c r="F280" t="inlineStr">
        <is>
          <t>VÄSTERBOTTENS LÄN</t>
        </is>
      </c>
      <c r="G280" t="inlineStr">
        <is>
          <t>NORDMALING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46324</v>
      </c>
      <c r="F281" t="inlineStr">
        <is>
          <t>VÄSTERBOTTENS LÄN</t>
        </is>
      </c>
      <c r="G281" t="inlineStr">
        <is>
          <t>NORDMALING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45028</v>
      </c>
      <c r="E282" s="1" t="n">
        <v>46324</v>
      </c>
      <c r="F282" t="inlineStr">
        <is>
          <t>VÄSTERBOTTENS LÄN</t>
        </is>
      </c>
      <c r="G282" t="inlineStr">
        <is>
          <t>NORDMALING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45691</v>
      </c>
      <c r="E283" s="1" t="n">
        <v>46324</v>
      </c>
      <c r="F283" t="inlineStr">
        <is>
          <t>VÄSTERBOTTENS LÄN</t>
        </is>
      </c>
      <c r="G283" t="inlineStr">
        <is>
          <t>NORDMALING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46324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46324</v>
      </c>
      <c r="F285" t="inlineStr">
        <is>
          <t>VÄSTERBOTTENS LÄN</t>
        </is>
      </c>
      <c r="G285" t="inlineStr">
        <is>
          <t>NORDMALING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44788</v>
      </c>
      <c r="E286" s="1" t="n">
        <v>46324</v>
      </c>
      <c r="F286" t="inlineStr">
        <is>
          <t>VÄSTERBOTTENS LÄN</t>
        </is>
      </c>
      <c r="G286" t="inlineStr">
        <is>
          <t>NORDMALING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46324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46324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46324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46324</v>
      </c>
      <c r="F290" t="inlineStr">
        <is>
          <t>VÄSTERBOTTENS LÄN</t>
        </is>
      </c>
      <c r="G290" t="inlineStr">
        <is>
          <t>NORDMALING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46324</v>
      </c>
      <c r="F291" t="inlineStr">
        <is>
          <t>VÄSTERBOTTENS LÄN</t>
        </is>
      </c>
      <c r="G291" t="inlineStr">
        <is>
          <t>NORDMALING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46324</v>
      </c>
      <c r="F292" t="inlineStr">
        <is>
          <t>VÄSTERBOTTENS LÄN</t>
        </is>
      </c>
      <c r="G292" t="inlineStr">
        <is>
          <t>NORDMALING</t>
        </is>
      </c>
      <c r="I292" t="n">
        <v>11.3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46324</v>
      </c>
      <c r="F293" t="inlineStr">
        <is>
          <t>VÄSTERBOTTENS LÄN</t>
        </is>
      </c>
      <c r="G293" t="inlineStr">
        <is>
          <t>NORDMALING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46324</v>
      </c>
      <c r="F294" t="inlineStr">
        <is>
          <t>VÄSTERBOTTENS LÄN</t>
        </is>
      </c>
      <c r="G294" t="inlineStr">
        <is>
          <t>NORDMALING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46324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46324</v>
      </c>
      <c r="F296" t="inlineStr">
        <is>
          <t>VÄSTERBOTTENS LÄN</t>
        </is>
      </c>
      <c r="G296" t="inlineStr">
        <is>
          <t>NORDMALING</t>
        </is>
      </c>
      <c r="I296" t="n">
        <v>11.6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46324</v>
      </c>
      <c r="F297" t="inlineStr">
        <is>
          <t>VÄSTERBOTTENS LÄN</t>
        </is>
      </c>
      <c r="G297" t="inlineStr">
        <is>
          <t>NORDMALING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25214-2026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46171</v>
      </c>
      <c r="E298" s="1" t="n">
        <v>46324</v>
      </c>
      <c r="F298" t="inlineStr">
        <is>
          <t>VÄSTERBOTTENS LÄN</t>
        </is>
      </c>
      <c r="G298" t="inlineStr">
        <is>
          <t>NORDMALING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46324</v>
      </c>
      <c r="F299" t="inlineStr">
        <is>
          <t>VÄSTERBOTTENS LÄN</t>
        </is>
      </c>
      <c r="G299" t="inlineStr">
        <is>
          <t>NORDMALING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46324</v>
      </c>
      <c r="F300" t="inlineStr">
        <is>
          <t>VÄSTERBOTTENS LÄN</t>
        </is>
      </c>
      <c r="G300" t="inlineStr">
        <is>
          <t>NORDMALING</t>
        </is>
      </c>
      <c r="I300" t="n">
        <v>12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46324</v>
      </c>
      <c r="F301" t="inlineStr">
        <is>
          <t>VÄSTERBOTTENS LÄN</t>
        </is>
      </c>
      <c r="G301" t="inlineStr">
        <is>
          <t>NORDMALING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46324</v>
      </c>
      <c r="F302" t="inlineStr">
        <is>
          <t>VÄSTERBOTTENS LÄN</t>
        </is>
      </c>
      <c r="G302" t="inlineStr">
        <is>
          <t>NORDMALING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46324</v>
      </c>
      <c r="F303" t="inlineStr">
        <is>
          <t>VÄSTERBOTTENS LÄN</t>
        </is>
      </c>
      <c r="G303" t="inlineStr">
        <is>
          <t>NORDMALING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46324</v>
      </c>
      <c r="F304" t="inlineStr">
        <is>
          <t>VÄSTERBOTTENS LÄN</t>
        </is>
      </c>
      <c r="G304" t="inlineStr">
        <is>
          <t>NORDMALING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46324</v>
      </c>
      <c r="F305" t="inlineStr">
        <is>
          <t>VÄSTERBOTTENS LÄN</t>
        </is>
      </c>
      <c r="G305" t="inlineStr">
        <is>
          <t>NORDMALING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46324</v>
      </c>
      <c r="F306" t="inlineStr">
        <is>
          <t>VÄSTERBOTTENS LÄN</t>
        </is>
      </c>
      <c r="G306" t="inlineStr">
        <is>
          <t>NORDMALING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46324</v>
      </c>
      <c r="F307" t="inlineStr">
        <is>
          <t>VÄSTERBOTTENS LÄN</t>
        </is>
      </c>
      <c r="G307" t="inlineStr">
        <is>
          <t>NORDMALING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46324</v>
      </c>
      <c r="F308" t="inlineStr">
        <is>
          <t>VÄSTERBOTTENS LÄN</t>
        </is>
      </c>
      <c r="G308" t="inlineStr">
        <is>
          <t>NORDMALING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46324</v>
      </c>
      <c r="F309" t="inlineStr">
        <is>
          <t>VÄSTERBOTTENS LÄN</t>
        </is>
      </c>
      <c r="G309" t="inlineStr">
        <is>
          <t>NORDMALING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46324</v>
      </c>
      <c r="F310" t="inlineStr">
        <is>
          <t>VÄSTERBOTTENS LÄN</t>
        </is>
      </c>
      <c r="G310" t="inlineStr">
        <is>
          <t>NORDMALING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46324</v>
      </c>
      <c r="F311" t="inlineStr">
        <is>
          <t>VÄSTERBOTTENS LÄN</t>
        </is>
      </c>
      <c r="G311" t="inlineStr">
        <is>
          <t>NORDMALING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46324</v>
      </c>
      <c r="F312" t="inlineStr">
        <is>
          <t>VÄSTERBOTTENS LÄN</t>
        </is>
      </c>
      <c r="G312" t="inlineStr">
        <is>
          <t>NORDMALING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45736</v>
      </c>
      <c r="E313" s="1" t="n">
        <v>46324</v>
      </c>
      <c r="F313" t="inlineStr">
        <is>
          <t>VÄSTERBOTTENS LÄN</t>
        </is>
      </c>
      <c r="G313" t="inlineStr">
        <is>
          <t>NORDMALING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46324</v>
      </c>
      <c r="F314" t="inlineStr">
        <is>
          <t>VÄSTERBOTTENS LÄN</t>
        </is>
      </c>
      <c r="G314" t="inlineStr">
        <is>
          <t>NORDMALING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35803-2023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45147</v>
      </c>
      <c r="E315" s="1" t="n">
        <v>46324</v>
      </c>
      <c r="F315" t="inlineStr">
        <is>
          <t>VÄSTERBOTTENS LÄN</t>
        </is>
      </c>
      <c r="G315" t="inlineStr">
        <is>
          <t>NORDMALING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46176</v>
      </c>
      <c r="E316" s="1" t="n">
        <v>46324</v>
      </c>
      <c r="F316" t="inlineStr">
        <is>
          <t>VÄSTERBOTTENS LÄN</t>
        </is>
      </c>
      <c r="G316" t="inlineStr">
        <is>
          <t>NORDMALING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46324</v>
      </c>
      <c r="F317" t="inlineStr">
        <is>
          <t>VÄSTERBOTTENS LÄN</t>
        </is>
      </c>
      <c r="G317" t="inlineStr">
        <is>
          <t>NORDMALING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46018</v>
      </c>
      <c r="E318" s="1" t="n">
        <v>46324</v>
      </c>
      <c r="F318" t="inlineStr">
        <is>
          <t>VÄSTERBOTTENS LÄN</t>
        </is>
      </c>
      <c r="G318" t="inlineStr">
        <is>
          <t>NORDMALING</t>
        </is>
      </c>
      <c r="I318" t="n">
        <v>12.8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46324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46018</v>
      </c>
      <c r="E320" s="1" t="n">
        <v>46324</v>
      </c>
      <c r="F320" t="inlineStr">
        <is>
          <t>VÄSTERBOTTENS LÄN</t>
        </is>
      </c>
      <c r="G320" t="inlineStr">
        <is>
          <t>NORDMALING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46018</v>
      </c>
      <c r="E321" s="1" t="n">
        <v>46324</v>
      </c>
      <c r="F321" t="inlineStr">
        <is>
          <t>VÄSTERBOTTENS LÄN</t>
        </is>
      </c>
      <c r="G321" t="inlineStr">
        <is>
          <t>NORDMALING</t>
        </is>
      </c>
      <c r="I321" t="n">
        <v>16.2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46022</v>
      </c>
      <c r="E322" s="1" t="n">
        <v>46324</v>
      </c>
      <c r="F322" t="inlineStr">
        <is>
          <t>VÄSTERBOTTENS LÄN</t>
        </is>
      </c>
      <c r="G322" t="inlineStr">
        <is>
          <t>NORDMALING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46324</v>
      </c>
      <c r="F323" t="inlineStr">
        <is>
          <t>VÄSTERBOTTENS LÄN</t>
        </is>
      </c>
      <c r="G323" t="inlineStr">
        <is>
          <t>NORDMALING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46028</v>
      </c>
      <c r="E324" s="1" t="n">
        <v>46324</v>
      </c>
      <c r="F324" t="inlineStr">
        <is>
          <t>VÄSTERBOTTENS LÄN</t>
        </is>
      </c>
      <c r="G324" t="inlineStr">
        <is>
          <t>NORDMALING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46324</v>
      </c>
      <c r="F325" t="inlineStr">
        <is>
          <t>VÄSTERBOTTENS LÄN</t>
        </is>
      </c>
      <c r="G325" t="inlineStr">
        <is>
          <t>NORDMALING</t>
        </is>
      </c>
      <c r="I325" t="n">
        <v>8.9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46324</v>
      </c>
      <c r="F326" t="inlineStr">
        <is>
          <t>VÄSTERBOTTENS LÄN</t>
        </is>
      </c>
      <c r="G326" t="inlineStr">
        <is>
          <t>NORDMALING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45462</v>
      </c>
      <c r="E327" s="1" t="n">
        <v>46324</v>
      </c>
      <c r="F327" t="inlineStr">
        <is>
          <t>VÄSTERBOTTENS LÄN</t>
        </is>
      </c>
      <c r="G327" t="inlineStr">
        <is>
          <t>NORDMALING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57388-2023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45245</v>
      </c>
      <c r="E328" s="1" t="n">
        <v>46324</v>
      </c>
      <c r="F328" t="inlineStr">
        <is>
          <t>VÄSTERBOTTENS LÄN</t>
        </is>
      </c>
      <c r="G328" t="inlineStr">
        <is>
          <t>NORDMALING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46324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46032</v>
      </c>
      <c r="E330" s="1" t="n">
        <v>46324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Holmen skog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7618-2024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45348</v>
      </c>
      <c r="E331" s="1" t="n">
        <v>46324</v>
      </c>
      <c r="F331" t="inlineStr">
        <is>
          <t>VÄSTERBOTTENS LÄN</t>
        </is>
      </c>
      <c r="G331" t="inlineStr">
        <is>
          <t>NORDMALING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46324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46324</v>
      </c>
      <c r="F333" t="inlineStr">
        <is>
          <t>VÄSTERBOTTENS LÄN</t>
        </is>
      </c>
      <c r="G333" t="inlineStr">
        <is>
          <t>NORDMALING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44854</v>
      </c>
      <c r="E334" s="1" t="n">
        <v>46324</v>
      </c>
      <c r="F334" t="inlineStr">
        <is>
          <t>VÄSTERBOTTENS LÄN</t>
        </is>
      </c>
      <c r="G334" t="inlineStr">
        <is>
          <t>NORDMALING</t>
        </is>
      </c>
      <c r="I334" t="n">
        <v>10.5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46324</v>
      </c>
      <c r="F335" t="inlineStr">
        <is>
          <t>VÄSTERBOTTENS LÄN</t>
        </is>
      </c>
      <c r="G335" t="inlineStr">
        <is>
          <t>NORDMALING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45139</v>
      </c>
      <c r="E336" s="1" t="n">
        <v>46324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45569</v>
      </c>
      <c r="E337" s="1" t="n">
        <v>46324</v>
      </c>
      <c r="F337" t="inlineStr">
        <is>
          <t>VÄSTERBOTTENS LÄN</t>
        </is>
      </c>
      <c r="G337" t="inlineStr">
        <is>
          <t>NORDMALING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46324</v>
      </c>
      <c r="F338" t="inlineStr">
        <is>
          <t>VÄSTERBOTTENS LÄN</t>
        </is>
      </c>
      <c r="G338" t="inlineStr">
        <is>
          <t>NORDMALING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49417-2022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44859</v>
      </c>
      <c r="E339" s="1" t="n">
        <v>46324</v>
      </c>
      <c r="F339" t="inlineStr">
        <is>
          <t>VÄSTERBOTTENS LÄN</t>
        </is>
      </c>
      <c r="G339" t="inlineStr">
        <is>
          <t>NORDMALING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46324</v>
      </c>
      <c r="F340" t="inlineStr">
        <is>
          <t>VÄSTERBOTTENS LÄN</t>
        </is>
      </c>
      <c r="G340" t="inlineStr">
        <is>
          <t>NORDMALING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46324</v>
      </c>
      <c r="F341" t="inlineStr">
        <is>
          <t>VÄSTERBOTTENS LÄN</t>
        </is>
      </c>
      <c r="G341" t="inlineStr">
        <is>
          <t>NORDMALING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45241</v>
      </c>
      <c r="E342" s="1" t="n">
        <v>46324</v>
      </c>
      <c r="F342" t="inlineStr">
        <is>
          <t>VÄSTERBOTTENS LÄN</t>
        </is>
      </c>
      <c r="G342" t="inlineStr">
        <is>
          <t>NORDMALING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46324</v>
      </c>
      <c r="F343" t="inlineStr">
        <is>
          <t>VÄSTERBOTTENS LÄN</t>
        </is>
      </c>
      <c r="G343" t="inlineStr">
        <is>
          <t>NORDMALING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46324</v>
      </c>
      <c r="F344" t="inlineStr">
        <is>
          <t>VÄSTERBOTTENS LÄN</t>
        </is>
      </c>
      <c r="G344" t="inlineStr">
        <is>
          <t>NORDMALING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14689-2025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45742</v>
      </c>
      <c r="E345" s="1" t="n">
        <v>46324</v>
      </c>
      <c r="F345" t="inlineStr">
        <is>
          <t>VÄSTERBOTTENS LÄN</t>
        </is>
      </c>
      <c r="G345" t="inlineStr">
        <is>
          <t>NORDMALING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46324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45061-2024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45575</v>
      </c>
      <c r="E347" s="1" t="n">
        <v>46324</v>
      </c>
      <c r="F347" t="inlineStr">
        <is>
          <t>VÄSTERBOTTENS LÄN</t>
        </is>
      </c>
      <c r="G347" t="inlineStr">
        <is>
          <t>NORDMALING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26796-2026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46185</v>
      </c>
      <c r="E348" s="1" t="n">
        <v>46324</v>
      </c>
      <c r="F348" t="inlineStr">
        <is>
          <t>VÄSTERBOTTENS LÄN</t>
        </is>
      </c>
      <c r="G348" t="inlineStr">
        <is>
          <t>NORDMALING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46048</v>
      </c>
      <c r="E349" s="1" t="n">
        <v>46324</v>
      </c>
      <c r="F349" t="inlineStr">
        <is>
          <t>VÄSTERBOTTENS LÄN</t>
        </is>
      </c>
      <c r="G349" t="inlineStr">
        <is>
          <t>NORDMALING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32183-2023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45119</v>
      </c>
      <c r="E350" s="1" t="n">
        <v>46324</v>
      </c>
      <c r="F350" t="inlineStr">
        <is>
          <t>VÄSTERBOTTENS LÄN</t>
        </is>
      </c>
      <c r="G350" t="inlineStr">
        <is>
          <t>NORDMALING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46324</v>
      </c>
      <c r="F351" t="inlineStr">
        <is>
          <t>VÄSTERBOTTENS LÄN</t>
        </is>
      </c>
      <c r="G351" t="inlineStr">
        <is>
          <t>NORDMALING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46324</v>
      </c>
      <c r="F352" t="inlineStr">
        <is>
          <t>VÄSTERBOTTENS LÄN</t>
        </is>
      </c>
      <c r="G352" t="inlineStr">
        <is>
          <t>NORDMALING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46324</v>
      </c>
      <c r="F353" t="inlineStr">
        <is>
          <t>VÄSTERBOTTENS LÄN</t>
        </is>
      </c>
      <c r="G353" t="inlineStr">
        <is>
          <t>NORDMALING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46324</v>
      </c>
      <c r="F354" t="inlineStr">
        <is>
          <t>VÄSTERBOTTENS LÄN</t>
        </is>
      </c>
      <c r="G354" t="inlineStr">
        <is>
          <t>NORDMALING</t>
        </is>
      </c>
      <c r="I354" t="n">
        <v>13.1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45566</v>
      </c>
      <c r="E355" s="1" t="n">
        <v>46324</v>
      </c>
      <c r="F355" t="inlineStr">
        <is>
          <t>VÄSTERBOTTENS LÄN</t>
        </is>
      </c>
      <c r="G355" t="inlineStr">
        <is>
          <t>NORDMALING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46324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38274-2022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44812</v>
      </c>
      <c r="E357" s="1" t="n">
        <v>46324</v>
      </c>
      <c r="F357" t="inlineStr">
        <is>
          <t>VÄSTERBOTTENS LÄN</t>
        </is>
      </c>
      <c r="G357" t="inlineStr">
        <is>
          <t>NORDMALING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45251</v>
      </c>
      <c r="E358" s="1" t="n">
        <v>46324</v>
      </c>
      <c r="F358" t="inlineStr">
        <is>
          <t>VÄSTERBOTTENS LÄN</t>
        </is>
      </c>
      <c r="G358" t="inlineStr">
        <is>
          <t>NORDMALING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46324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45775</v>
      </c>
      <c r="E360" s="1" t="n">
        <v>46324</v>
      </c>
      <c r="F360" t="inlineStr">
        <is>
          <t>VÄSTERBOTTENS LÄN</t>
        </is>
      </c>
      <c r="G360" t="inlineStr">
        <is>
          <t>NORDMALING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46324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46324</v>
      </c>
      <c r="F362" t="inlineStr">
        <is>
          <t>VÄSTERBOTTENS LÄN</t>
        </is>
      </c>
      <c r="G362" t="inlineStr">
        <is>
          <t>NORDMALING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45439</v>
      </c>
      <c r="E363" s="1" t="n">
        <v>46324</v>
      </c>
      <c r="F363" t="inlineStr">
        <is>
          <t>VÄSTERBOTTENS LÄN</t>
        </is>
      </c>
      <c r="G363" t="inlineStr">
        <is>
          <t>NORDMALING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46324</v>
      </c>
      <c r="F364" t="inlineStr">
        <is>
          <t>VÄSTERBOTTENS LÄN</t>
        </is>
      </c>
      <c r="G364" t="inlineStr">
        <is>
          <t>NORDMALING</t>
        </is>
      </c>
      <c r="I364" t="n">
        <v>19.1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46324</v>
      </c>
      <c r="F365" t="inlineStr">
        <is>
          <t>VÄSTERBOTTENS LÄN</t>
        </is>
      </c>
      <c r="G365" t="inlineStr">
        <is>
          <t>NORDMALING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46324</v>
      </c>
      <c r="F366" t="inlineStr">
        <is>
          <t>VÄSTERBOTTENS LÄN</t>
        </is>
      </c>
      <c r="G366" t="inlineStr">
        <is>
          <t>NORDMALING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46324</v>
      </c>
      <c r="F367" t="inlineStr">
        <is>
          <t>VÄSTERBOTTENS LÄN</t>
        </is>
      </c>
      <c r="G367" t="inlineStr">
        <is>
          <t>NORDMALING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46324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46324</v>
      </c>
      <c r="F369" t="inlineStr">
        <is>
          <t>VÄSTERBOTTENS LÄN</t>
        </is>
      </c>
      <c r="G369" t="inlineStr">
        <is>
          <t>NORDMALING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7007-2024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45343</v>
      </c>
      <c r="E370" s="1" t="n">
        <v>46324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Kommuner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46324</v>
      </c>
      <c r="F371" t="inlineStr">
        <is>
          <t>VÄSTERBOTTENS LÄN</t>
        </is>
      </c>
      <c r="G371" t="inlineStr">
        <is>
          <t>NORDMALING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30715-2022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44763</v>
      </c>
      <c r="E372" s="1" t="n">
        <v>46324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46324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44816</v>
      </c>
      <c r="E374" s="1" t="n">
        <v>46324</v>
      </c>
      <c r="F374" t="inlineStr">
        <is>
          <t>VÄSTERBOTTENS LÄN</t>
        </is>
      </c>
      <c r="G374" t="inlineStr">
        <is>
          <t>NORDMALING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46324</v>
      </c>
      <c r="F375" t="inlineStr">
        <is>
          <t>VÄSTERBOTTENS LÄN</t>
        </is>
      </c>
      <c r="G375" t="inlineStr">
        <is>
          <t>NORDMALING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46324</v>
      </c>
      <c r="F376" t="inlineStr">
        <is>
          <t>VÄSTERBOTTENS LÄN</t>
        </is>
      </c>
      <c r="G376" t="inlineStr">
        <is>
          <t>NORDMALING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46324</v>
      </c>
      <c r="F377" t="inlineStr">
        <is>
          <t>VÄSTERBOTTENS LÄN</t>
        </is>
      </c>
      <c r="G377" t="inlineStr">
        <is>
          <t>NORDMALING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46324</v>
      </c>
      <c r="F378" t="inlineStr">
        <is>
          <t>VÄSTERBOTTENS LÄN</t>
        </is>
      </c>
      <c r="G378" t="inlineStr">
        <is>
          <t>NORDMALING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55634-2023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45238</v>
      </c>
      <c r="E379" s="1" t="n">
        <v>46324</v>
      </c>
      <c r="F379" t="inlineStr">
        <is>
          <t>VÄSTERBOTTENS LÄN</t>
        </is>
      </c>
      <c r="G379" t="inlineStr">
        <is>
          <t>NORDMALING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46324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44620</v>
      </c>
      <c r="E381" s="1" t="n">
        <v>46324</v>
      </c>
      <c r="F381" t="inlineStr">
        <is>
          <t>VÄSTERBOTTENS LÄN</t>
        </is>
      </c>
      <c r="G381" t="inlineStr">
        <is>
          <t>NORDMALING</t>
        </is>
      </c>
      <c r="I381" t="n">
        <v>82.40000000000001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46324</v>
      </c>
      <c r="F382" t="inlineStr">
        <is>
          <t>VÄSTERBOTTENS LÄN</t>
        </is>
      </c>
      <c r="G382" t="inlineStr">
        <is>
          <t>NORDMALING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45764</v>
      </c>
      <c r="E383" s="1" t="n">
        <v>46324</v>
      </c>
      <c r="F383" t="inlineStr">
        <is>
          <t>VÄSTERBOTTENS LÄN</t>
        </is>
      </c>
      <c r="G383" t="inlineStr">
        <is>
          <t>NORDMALING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45764</v>
      </c>
      <c r="E384" s="1" t="n">
        <v>46324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18232-2024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45420</v>
      </c>
      <c r="E385" s="1" t="n">
        <v>46324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46197</v>
      </c>
      <c r="E386" s="1" t="n">
        <v>46324</v>
      </c>
      <c r="F386" t="inlineStr">
        <is>
          <t>VÄSTERBOTTENS LÄN</t>
        </is>
      </c>
      <c r="G386" t="inlineStr">
        <is>
          <t>NORDMALING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43651-2023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46324</v>
      </c>
      <c r="F387" t="inlineStr">
        <is>
          <t>VÄSTERBOTTENS LÄN</t>
        </is>
      </c>
      <c r="G387" t="inlineStr">
        <is>
          <t>NORDMALING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46324</v>
      </c>
      <c r="F388" t="inlineStr">
        <is>
          <t>VÄSTERBOTTENS LÄN</t>
        </is>
      </c>
      <c r="G388" t="inlineStr">
        <is>
          <t>NORDMALING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46324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46324</v>
      </c>
      <c r="F390" t="inlineStr">
        <is>
          <t>VÄSTERBOTTENS LÄN</t>
        </is>
      </c>
      <c r="G390" t="inlineStr">
        <is>
          <t>NORDMALING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45491</v>
      </c>
      <c r="E391" s="1" t="n">
        <v>46324</v>
      </c>
      <c r="F391" t="inlineStr">
        <is>
          <t>VÄSTERBOTTENS LÄN</t>
        </is>
      </c>
      <c r="G391" t="inlineStr">
        <is>
          <t>NORDMALING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46324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46324</v>
      </c>
      <c r="F393" t="inlineStr">
        <is>
          <t>VÄSTERBOTTENS LÄN</t>
        </is>
      </c>
      <c r="G393" t="inlineStr">
        <is>
          <t>NORDMALING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46324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55305-2023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45237</v>
      </c>
      <c r="E395" s="1" t="n">
        <v>46324</v>
      </c>
      <c r="F395" t="inlineStr">
        <is>
          <t>VÄSTERBOTTENS LÄN</t>
        </is>
      </c>
      <c r="G395" t="inlineStr">
        <is>
          <t>NORDMALING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35291-2023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45145</v>
      </c>
      <c r="E396" s="1" t="n">
        <v>46324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30918-2026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46324</v>
      </c>
      <c r="F397" t="inlineStr">
        <is>
          <t>VÄSTERBOTTENS LÄN</t>
        </is>
      </c>
      <c r="G397" t="inlineStr">
        <is>
          <t>NORDMALING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46324</v>
      </c>
      <c r="F398" t="inlineStr">
        <is>
          <t>VÄSTERBOTTENS LÄN</t>
        </is>
      </c>
      <c r="G398" t="inlineStr">
        <is>
          <t>NORDMALING</t>
        </is>
      </c>
      <c r="I398" t="n">
        <v>8.699999999999999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46324</v>
      </c>
      <c r="F399" t="inlineStr">
        <is>
          <t>VÄSTERBOTTENS LÄN</t>
        </is>
      </c>
      <c r="G399" t="inlineStr">
        <is>
          <t>NORDMALING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46324</v>
      </c>
      <c r="F400" t="inlineStr">
        <is>
          <t>VÄSTERBOTTENS LÄN</t>
        </is>
      </c>
      <c r="G400" t="inlineStr">
        <is>
          <t>NORDMALING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44816</v>
      </c>
      <c r="E401" s="1" t="n">
        <v>46324</v>
      </c>
      <c r="F401" t="inlineStr">
        <is>
          <t>VÄSTERBOTTENS LÄN</t>
        </is>
      </c>
      <c r="G401" t="inlineStr">
        <is>
          <t>NORDMALING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44981</v>
      </c>
      <c r="E402" s="1" t="n">
        <v>46324</v>
      </c>
      <c r="F402" t="inlineStr">
        <is>
          <t>VÄSTERBOTTENS LÄN</t>
        </is>
      </c>
      <c r="G402" t="inlineStr">
        <is>
          <t>NORDMALING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69516-2021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44531</v>
      </c>
      <c r="E403" s="1" t="n">
        <v>46324</v>
      </c>
      <c r="F403" t="inlineStr">
        <is>
          <t>VÄSTERBOTTENS LÄN</t>
        </is>
      </c>
      <c r="G403" t="inlineStr">
        <is>
          <t>NORDMALING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46324</v>
      </c>
      <c r="F404" t="inlineStr">
        <is>
          <t>VÄSTERBOTTENS LÄN</t>
        </is>
      </c>
      <c r="G404" t="inlineStr">
        <is>
          <t>NORDMALING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46324</v>
      </c>
      <c r="F405" t="inlineStr">
        <is>
          <t>VÄSTERBOTTENS LÄN</t>
        </is>
      </c>
      <c r="G405" t="inlineStr">
        <is>
          <t>NORDMALING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45147</v>
      </c>
      <c r="E406" s="1" t="n">
        <v>46324</v>
      </c>
      <c r="F406" t="inlineStr">
        <is>
          <t>VÄSTERBOTTENS LÄN</t>
        </is>
      </c>
      <c r="G406" t="inlineStr">
        <is>
          <t>NORDMALING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45676</v>
      </c>
      <c r="E407" s="1" t="n">
        <v>46324</v>
      </c>
      <c r="F407" t="inlineStr">
        <is>
          <t>VÄSTERBOTTENS LÄN</t>
        </is>
      </c>
      <c r="G407" t="inlineStr">
        <is>
          <t>NORDMALING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54138-2023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45232</v>
      </c>
      <c r="E408" s="1" t="n">
        <v>46324</v>
      </c>
      <c r="F408" t="inlineStr">
        <is>
          <t>VÄSTERBOTTENS LÄN</t>
        </is>
      </c>
      <c r="G408" t="inlineStr">
        <is>
          <t>NORDMALING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46324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46324</v>
      </c>
      <c r="F410" t="inlineStr">
        <is>
          <t>VÄSTERBOTTENS LÄN</t>
        </is>
      </c>
      <c r="G410" t="inlineStr">
        <is>
          <t>NORDMALING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45505</v>
      </c>
      <c r="E411" s="1" t="n">
        <v>46324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13496-2026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46324</v>
      </c>
      <c r="F412" t="inlineStr">
        <is>
          <t>VÄSTERBOTTENS LÄN</t>
        </is>
      </c>
      <c r="G412" t="inlineStr">
        <is>
          <t>NORDMALING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46324</v>
      </c>
      <c r="F413" t="inlineStr">
        <is>
          <t>VÄSTERBOTTENS LÄN</t>
        </is>
      </c>
      <c r="G413" t="inlineStr">
        <is>
          <t>NORDMALING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61283-2023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45264</v>
      </c>
      <c r="E414" s="1" t="n">
        <v>46324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Sveaskog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46324</v>
      </c>
      <c r="F415" t="inlineStr">
        <is>
          <t>VÄSTERBOTTENS LÄN</t>
        </is>
      </c>
      <c r="G415" t="inlineStr">
        <is>
          <t>NORDMALING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45343</v>
      </c>
      <c r="E416" s="1" t="n">
        <v>46324</v>
      </c>
      <c r="F416" t="inlineStr">
        <is>
          <t>VÄSTERBOTTENS LÄN</t>
        </is>
      </c>
      <c r="G416" t="inlineStr">
        <is>
          <t>NORDMALING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47516-2024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45587</v>
      </c>
      <c r="E417" s="1" t="n">
        <v>46324</v>
      </c>
      <c r="F417" t="inlineStr">
        <is>
          <t>VÄSTERBOTTENS LÄN</t>
        </is>
      </c>
      <c r="G417" t="inlineStr">
        <is>
          <t>NORDMALING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45772</v>
      </c>
      <c r="E418" s="1" t="n">
        <v>46324</v>
      </c>
      <c r="F418" t="inlineStr">
        <is>
          <t>VÄSTERBOTTENS LÄN</t>
        </is>
      </c>
      <c r="G418" t="inlineStr">
        <is>
          <t>NORDMALING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30438-2024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45491</v>
      </c>
      <c r="E419" s="1" t="n">
        <v>46324</v>
      </c>
      <c r="F419" t="inlineStr">
        <is>
          <t>VÄSTERBOTTENS LÄN</t>
        </is>
      </c>
      <c r="G419" t="inlineStr">
        <is>
          <t>NORDMALING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45187</v>
      </c>
      <c r="E420" s="1" t="n">
        <v>46324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46324</v>
      </c>
      <c r="F421" t="inlineStr">
        <is>
          <t>VÄSTERBOTTENS LÄN</t>
        </is>
      </c>
      <c r="G421" t="inlineStr">
        <is>
          <t>NORDMALING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46212</v>
      </c>
      <c r="E422" s="1" t="n">
        <v>46324</v>
      </c>
      <c r="F422" t="inlineStr">
        <is>
          <t>VÄSTERBOTTENS LÄN</t>
        </is>
      </c>
      <c r="G422" t="inlineStr">
        <is>
          <t>NORDMALING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46324</v>
      </c>
      <c r="F423" t="inlineStr">
        <is>
          <t>VÄSTERBOTTENS LÄN</t>
        </is>
      </c>
      <c r="G423" t="inlineStr">
        <is>
          <t>NORDMALING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45638</v>
      </c>
      <c r="E424" s="1" t="n">
        <v>46324</v>
      </c>
      <c r="F424" t="inlineStr">
        <is>
          <t>VÄSTERBOTTENS LÄN</t>
        </is>
      </c>
      <c r="G424" t="inlineStr">
        <is>
          <t>NORDMALING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46134</v>
      </c>
      <c r="E425" s="1" t="n">
        <v>46324</v>
      </c>
      <c r="F425" t="inlineStr">
        <is>
          <t>VÄSTERBOTTENS LÄN</t>
        </is>
      </c>
      <c r="G425" t="inlineStr">
        <is>
          <t>NORDMALING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46324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46324</v>
      </c>
      <c r="F427" t="inlineStr">
        <is>
          <t>VÄSTERBOTTENS LÄN</t>
        </is>
      </c>
      <c r="G427" t="inlineStr">
        <is>
          <t>NORDMALING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45030</v>
      </c>
      <c r="E428" s="1" t="n">
        <v>46324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46324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46324</v>
      </c>
      <c r="F430" t="inlineStr">
        <is>
          <t>VÄSTERBOTTENS LÄN</t>
        </is>
      </c>
      <c r="G430" t="inlineStr">
        <is>
          <t>NORDMALING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46324</v>
      </c>
      <c r="F431" t="inlineStr">
        <is>
          <t>VÄSTERBOTTENS LÄN</t>
        </is>
      </c>
      <c r="G431" t="inlineStr">
        <is>
          <t>NORDMALING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21736-2025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46324</v>
      </c>
      <c r="F432" t="inlineStr">
        <is>
          <t>VÄSTERBOTTENS LÄN</t>
        </is>
      </c>
      <c r="G432" t="inlineStr">
        <is>
          <t>NORDMALING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46111</v>
      </c>
      <c r="E433" s="1" t="n">
        <v>46324</v>
      </c>
      <c r="F433" t="inlineStr">
        <is>
          <t>VÄSTERBOTTENS LÄN</t>
        </is>
      </c>
      <c r="G433" t="inlineStr">
        <is>
          <t>NORDMALING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46324</v>
      </c>
      <c r="F434" t="inlineStr">
        <is>
          <t>VÄSTERBOTTENS LÄN</t>
        </is>
      </c>
      <c r="G434" t="inlineStr">
        <is>
          <t>NORDMALING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46324</v>
      </c>
      <c r="F435" t="inlineStr">
        <is>
          <t>VÄSTERBOTTENS LÄN</t>
        </is>
      </c>
      <c r="G435" t="inlineStr">
        <is>
          <t>NORDMALING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46324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46324</v>
      </c>
      <c r="F437" t="inlineStr">
        <is>
          <t>VÄSTERBOTTENS LÄN</t>
        </is>
      </c>
      <c r="G437" t="inlineStr">
        <is>
          <t>NORDMALING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18039-2026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46125</v>
      </c>
      <c r="E438" s="1" t="n">
        <v>46324</v>
      </c>
      <c r="F438" t="inlineStr">
        <is>
          <t>VÄSTERBOTTENS LÄN</t>
        </is>
      </c>
      <c r="G438" t="inlineStr">
        <is>
          <t>NORDMALING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46324</v>
      </c>
      <c r="F439" t="inlineStr">
        <is>
          <t>VÄSTERBOTTENS LÄN</t>
        </is>
      </c>
      <c r="G439" t="inlineStr">
        <is>
          <t>NORDMALING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46324</v>
      </c>
      <c r="F440" t="inlineStr">
        <is>
          <t>VÄSTERBOTTENS LÄN</t>
        </is>
      </c>
      <c r="G440" t="inlineStr">
        <is>
          <t>NORDMALING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46324</v>
      </c>
      <c r="F441" t="inlineStr">
        <is>
          <t>VÄSTERBOTTENS LÄN</t>
        </is>
      </c>
      <c r="G441" t="inlineStr">
        <is>
          <t>NORDMALING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61616-2023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45261</v>
      </c>
      <c r="E442" s="1" t="n">
        <v>46324</v>
      </c>
      <c r="F442" t="inlineStr">
        <is>
          <t>VÄSTERBOTTENS LÄN</t>
        </is>
      </c>
      <c r="G442" t="inlineStr">
        <is>
          <t>NORDMALING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18839-2026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46129</v>
      </c>
      <c r="E443" s="1" t="n">
        <v>46324</v>
      </c>
      <c r="F443" t="inlineStr">
        <is>
          <t>VÄSTERBOTTENS LÄN</t>
        </is>
      </c>
      <c r="G443" t="inlineStr">
        <is>
          <t>NORDMALING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48632-2025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45936</v>
      </c>
      <c r="E444" s="1" t="n">
        <v>46324</v>
      </c>
      <c r="F444" t="inlineStr">
        <is>
          <t>VÄSTERBOTTENS LÄN</t>
        </is>
      </c>
      <c r="G444" t="inlineStr">
        <is>
          <t>NORDMALING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45789</v>
      </c>
      <c r="E445" s="1" t="n">
        <v>46324</v>
      </c>
      <c r="F445" t="inlineStr">
        <is>
          <t>VÄSTERBOTTENS LÄN</t>
        </is>
      </c>
      <c r="G445" t="inlineStr">
        <is>
          <t>NORDMALING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46324</v>
      </c>
      <c r="F446" t="inlineStr">
        <is>
          <t>VÄSTERBOTTENS LÄN</t>
        </is>
      </c>
      <c r="G446" t="inlineStr">
        <is>
          <t>NORDMALING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46324</v>
      </c>
      <c r="F447" t="inlineStr">
        <is>
          <t>VÄSTERBOTTENS LÄN</t>
        </is>
      </c>
      <c r="G447" t="inlineStr">
        <is>
          <t>NORDMALING</t>
        </is>
      </c>
      <c r="I447" t="n">
        <v>20.3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46324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45790</v>
      </c>
      <c r="E449" s="1" t="n">
        <v>46324</v>
      </c>
      <c r="F449" t="inlineStr">
        <is>
          <t>VÄSTERBOTTENS LÄN</t>
        </is>
      </c>
      <c r="G449" t="inlineStr">
        <is>
          <t>NORDMALING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46324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45790</v>
      </c>
      <c r="E451" s="1" t="n">
        <v>46324</v>
      </c>
      <c r="F451" t="inlineStr">
        <is>
          <t>VÄSTERBOTTENS LÄN</t>
        </is>
      </c>
      <c r="G451" t="inlineStr">
        <is>
          <t>NORDMALING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45790</v>
      </c>
      <c r="E452" s="1" t="n">
        <v>46324</v>
      </c>
      <c r="F452" t="inlineStr">
        <is>
          <t>VÄSTERBOTTENS LÄN</t>
        </is>
      </c>
      <c r="G452" t="inlineStr">
        <is>
          <t>NORDMALING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45036</v>
      </c>
      <c r="E453" s="1" t="n">
        <v>46324</v>
      </c>
      <c r="F453" t="inlineStr">
        <is>
          <t>VÄSTERBOTTENS LÄN</t>
        </is>
      </c>
      <c r="G453" t="inlineStr">
        <is>
          <t>NORDMALING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46135</v>
      </c>
      <c r="E454" s="1" t="n">
        <v>46324</v>
      </c>
      <c r="F454" t="inlineStr">
        <is>
          <t>VÄSTERBOTTENS LÄN</t>
        </is>
      </c>
      <c r="G454" t="inlineStr">
        <is>
          <t>NORDMALING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45678</v>
      </c>
      <c r="E455" s="1" t="n">
        <v>46324</v>
      </c>
      <c r="F455" t="inlineStr">
        <is>
          <t>VÄSTERBOTTENS LÄN</t>
        </is>
      </c>
      <c r="G455" t="inlineStr">
        <is>
          <t>NORDMALING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46324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46324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Kyrkan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45618</v>
      </c>
      <c r="E458" s="1" t="n">
        <v>46324</v>
      </c>
      <c r="F458" t="inlineStr">
        <is>
          <t>VÄSTERBOTTENS LÄN</t>
        </is>
      </c>
      <c r="G458" t="inlineStr">
        <is>
          <t>NORDMALING</t>
        </is>
      </c>
      <c r="I458" t="n">
        <v>10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46324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Kyrkan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46324</v>
      </c>
      <c r="F460" t="inlineStr">
        <is>
          <t>VÄSTERBOTTENS LÄN</t>
        </is>
      </c>
      <c r="G460" t="inlineStr">
        <is>
          <t>NORDMALING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45890</v>
      </c>
      <c r="E461" s="1" t="n">
        <v>46324</v>
      </c>
      <c r="F461" t="inlineStr">
        <is>
          <t>VÄSTERBOTTENS LÄN</t>
        </is>
      </c>
      <c r="G461" t="inlineStr">
        <is>
          <t>NORDMALING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46324</v>
      </c>
      <c r="F462" t="inlineStr">
        <is>
          <t>VÄSTERBOTTENS LÄN</t>
        </is>
      </c>
      <c r="G462" t="inlineStr">
        <is>
          <t>NORDMALING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46324</v>
      </c>
      <c r="F463" t="inlineStr">
        <is>
          <t>VÄSTERBOTTENS LÄN</t>
        </is>
      </c>
      <c r="G463" t="inlineStr">
        <is>
          <t>NORDMALING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38871-2026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46286</v>
      </c>
      <c r="E464" s="1" t="n">
        <v>46324</v>
      </c>
      <c r="F464" t="inlineStr">
        <is>
          <t>VÄSTERBOTTENS LÄN</t>
        </is>
      </c>
      <c r="G464" t="inlineStr">
        <is>
          <t>NORDMALING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45800</v>
      </c>
      <c r="E465" s="1" t="n">
        <v>46324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46287</v>
      </c>
      <c r="E466" s="1" t="n">
        <v>46324</v>
      </c>
      <c r="F466" t="inlineStr">
        <is>
          <t>VÄSTERBOTTENS LÄN</t>
        </is>
      </c>
      <c r="G466" t="inlineStr">
        <is>
          <t>NORDMALING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46324</v>
      </c>
      <c r="F467" t="inlineStr">
        <is>
          <t>VÄSTERBOTTENS LÄN</t>
        </is>
      </c>
      <c r="G467" t="inlineStr">
        <is>
          <t>NORDMALING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20162-2026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46324</v>
      </c>
      <c r="F468" t="inlineStr">
        <is>
          <t>VÄSTERBOTTENS LÄN</t>
        </is>
      </c>
      <c r="G468" t="inlineStr">
        <is>
          <t>NORDMALING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45552</v>
      </c>
      <c r="E469" s="1" t="n">
        <v>46324</v>
      </c>
      <c r="F469" t="inlineStr">
        <is>
          <t>VÄSTERBOTTENS LÄN</t>
        </is>
      </c>
      <c r="G469" t="inlineStr">
        <is>
          <t>NORDMALING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39162-2026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46287</v>
      </c>
      <c r="E470" s="1" t="n">
        <v>46324</v>
      </c>
      <c r="F470" t="inlineStr">
        <is>
          <t>VÄSTERBOTTENS LÄN</t>
        </is>
      </c>
      <c r="G470" t="inlineStr">
        <is>
          <t>NORDMALING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46324</v>
      </c>
      <c r="F471" t="inlineStr">
        <is>
          <t>VÄSTERBOTTENS LÄN</t>
        </is>
      </c>
      <c r="G471" t="inlineStr">
        <is>
          <t>NORDMALING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46324</v>
      </c>
      <c r="F472" t="inlineStr">
        <is>
          <t>VÄSTERBOTTENS LÄN</t>
        </is>
      </c>
      <c r="G472" t="inlineStr">
        <is>
          <t>NORDMALING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46244</v>
      </c>
      <c r="E473" s="1" t="n">
        <v>46324</v>
      </c>
      <c r="F473" t="inlineStr">
        <is>
          <t>VÄSTERBOTTENS LÄN</t>
        </is>
      </c>
      <c r="G473" t="inlineStr">
        <is>
          <t>NORDMALING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46324</v>
      </c>
      <c r="F474" t="inlineStr">
        <is>
          <t>VÄSTERBOTTENS LÄN</t>
        </is>
      </c>
      <c r="G474" t="inlineStr">
        <is>
          <t>NORDMALING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62247-2025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46324</v>
      </c>
      <c r="F475" t="inlineStr">
        <is>
          <t>VÄSTERBOTTENS LÄN</t>
        </is>
      </c>
      <c r="G475" t="inlineStr">
        <is>
          <t>NORDMALING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45996</v>
      </c>
      <c r="E476" s="1" t="n">
        <v>46324</v>
      </c>
      <c r="F476" t="inlineStr">
        <is>
          <t>VÄSTERBOTTENS LÄN</t>
        </is>
      </c>
      <c r="G476" t="inlineStr">
        <is>
          <t>NORDMALING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32905-2026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46324</v>
      </c>
      <c r="F477" t="inlineStr">
        <is>
          <t>VÄSTERBOTTENS LÄN</t>
        </is>
      </c>
      <c r="G477" t="inlineStr">
        <is>
          <t>NORDMALING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46287</v>
      </c>
      <c r="E478" s="1" t="n">
        <v>46324</v>
      </c>
      <c r="F478" t="inlineStr">
        <is>
          <t>VÄSTERBOTTENS LÄN</t>
        </is>
      </c>
      <c r="G478" t="inlineStr">
        <is>
          <t>NORDMALING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45799</v>
      </c>
      <c r="E479" s="1" t="n">
        <v>46324</v>
      </c>
      <c r="F479" t="inlineStr">
        <is>
          <t>VÄSTERBOTTENS LÄN</t>
        </is>
      </c>
      <c r="G479" t="inlineStr">
        <is>
          <t>NORDMALING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46324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46324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45926</v>
      </c>
      <c r="E482" s="1" t="n">
        <v>46324</v>
      </c>
      <c r="F482" t="inlineStr">
        <is>
          <t>VÄSTERBOTTENS LÄN</t>
        </is>
      </c>
      <c r="G482" t="inlineStr">
        <is>
          <t>NORDMALING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46324</v>
      </c>
      <c r="F483" t="inlineStr">
        <is>
          <t>VÄSTERBOTTENS LÄN</t>
        </is>
      </c>
      <c r="G483" t="inlineStr">
        <is>
          <t>NORDMALING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46324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46324</v>
      </c>
      <c r="F485" t="inlineStr">
        <is>
          <t>VÄSTERBOTTENS LÄN</t>
        </is>
      </c>
      <c r="G485" t="inlineStr">
        <is>
          <t>NORDMALING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46324</v>
      </c>
      <c r="F486" t="inlineStr">
        <is>
          <t>VÄSTERBOTTENS LÄN</t>
        </is>
      </c>
      <c r="G486" t="inlineStr">
        <is>
          <t>NORDMALING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46324</v>
      </c>
      <c r="F487" t="inlineStr">
        <is>
          <t>VÄSTERBOTTENS LÄN</t>
        </is>
      </c>
      <c r="G487" t="inlineStr">
        <is>
          <t>NORDMALING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44942-2023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45187</v>
      </c>
      <c r="E488" s="1" t="n">
        <v>46324</v>
      </c>
      <c r="F488" t="inlineStr">
        <is>
          <t>VÄSTERBOTTENS LÄN</t>
        </is>
      </c>
      <c r="G488" t="inlineStr">
        <is>
          <t>NORDMALING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46324</v>
      </c>
      <c r="F489" t="inlineStr">
        <is>
          <t>VÄSTERBOTTENS LÄN</t>
        </is>
      </c>
      <c r="G489" t="inlineStr">
        <is>
          <t>NORDMALING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46324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46324</v>
      </c>
      <c r="F491" t="inlineStr">
        <is>
          <t>VÄSTERBOTTENS LÄN</t>
        </is>
      </c>
      <c r="G491" t="inlineStr">
        <is>
          <t>NORDMALING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46324</v>
      </c>
      <c r="F492" t="inlineStr">
        <is>
          <t>VÄSTERBOTTENS LÄN</t>
        </is>
      </c>
      <c r="G492" t="inlineStr">
        <is>
          <t>NORDMALING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46324</v>
      </c>
      <c r="F493" t="inlineStr">
        <is>
          <t>VÄSTERBOTTENS LÄN</t>
        </is>
      </c>
      <c r="G493" t="inlineStr">
        <is>
          <t>NORDMALING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46324</v>
      </c>
      <c r="F494" t="inlineStr">
        <is>
          <t>VÄSTERBOTTENS LÄN</t>
        </is>
      </c>
      <c r="G494" t="inlineStr">
        <is>
          <t>NORDMALING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46324</v>
      </c>
      <c r="F495" t="inlineStr">
        <is>
          <t>VÄSTERBOTTENS LÄN</t>
        </is>
      </c>
      <c r="G495" t="inlineStr">
        <is>
          <t>NORDMALING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46324</v>
      </c>
      <c r="F496" t="inlineStr">
        <is>
          <t>VÄSTERBOTTENS LÄN</t>
        </is>
      </c>
      <c r="G496" t="inlineStr">
        <is>
          <t>NORDMALING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46324</v>
      </c>
      <c r="F497" t="inlineStr">
        <is>
          <t>VÄSTERBOTTENS LÄN</t>
        </is>
      </c>
      <c r="G497" t="inlineStr">
        <is>
          <t>NORDMALING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46324</v>
      </c>
      <c r="F498" t="inlineStr">
        <is>
          <t>VÄSTERBOTTENS LÄN</t>
        </is>
      </c>
      <c r="G498" t="inlineStr">
        <is>
          <t>NORDMALING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47015-2025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45929</v>
      </c>
      <c r="E499" s="1" t="n">
        <v>46324</v>
      </c>
      <c r="F499" t="inlineStr">
        <is>
          <t>VÄSTERBOTTENS LÄN</t>
        </is>
      </c>
      <c r="G499" t="inlineStr">
        <is>
          <t>NORDMALING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44753</v>
      </c>
      <c r="E500" s="1" t="n">
        <v>46324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46324</v>
      </c>
      <c r="F501" t="inlineStr">
        <is>
          <t>VÄSTERBOTTENS LÄN</t>
        </is>
      </c>
      <c r="G501" t="inlineStr">
        <is>
          <t>NORDMALING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46324</v>
      </c>
      <c r="F502" t="inlineStr">
        <is>
          <t>VÄSTERBOTTENS LÄN</t>
        </is>
      </c>
      <c r="G502" t="inlineStr">
        <is>
          <t>NORDMALING</t>
        </is>
      </c>
      <c r="I502" t="n">
        <v>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46324</v>
      </c>
      <c r="F503" t="inlineStr">
        <is>
          <t>VÄSTERBOTTENS LÄN</t>
        </is>
      </c>
      <c r="G503" t="inlineStr">
        <is>
          <t>NORDMALING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45673</v>
      </c>
      <c r="E504" s="1" t="n">
        <v>46324</v>
      </c>
      <c r="F504" t="inlineStr">
        <is>
          <t>VÄSTERBOTTENS LÄN</t>
        </is>
      </c>
      <c r="G504" t="inlineStr">
        <is>
          <t>NORDMALING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46324</v>
      </c>
      <c r="F505" t="inlineStr">
        <is>
          <t>VÄSTERBOTTENS LÄN</t>
        </is>
      </c>
      <c r="G505" t="inlineStr">
        <is>
          <t>NORDMALING</t>
        </is>
      </c>
      <c r="I505" t="n">
        <v>16.1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46324</v>
      </c>
      <c r="F506" t="inlineStr">
        <is>
          <t>VÄSTERBOTTENS LÄN</t>
        </is>
      </c>
      <c r="G506" t="inlineStr">
        <is>
          <t>NORDMALING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44949</v>
      </c>
      <c r="E507" s="1" t="n">
        <v>46324</v>
      </c>
      <c r="F507" t="inlineStr">
        <is>
          <t>VÄSTERBOTTENS LÄN</t>
        </is>
      </c>
      <c r="G507" t="inlineStr">
        <is>
          <t>NORDMALING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46324</v>
      </c>
      <c r="F508" t="inlineStr">
        <is>
          <t>VÄSTERBOTTENS LÄN</t>
        </is>
      </c>
      <c r="G508" t="inlineStr">
        <is>
          <t>NORDMALING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45965</v>
      </c>
      <c r="E509" s="1" t="n">
        <v>46324</v>
      </c>
      <c r="F509" t="inlineStr">
        <is>
          <t>VÄSTERBOTTENS LÄN</t>
        </is>
      </c>
      <c r="G509" t="inlineStr">
        <is>
          <t>NORDMALING</t>
        </is>
      </c>
      <c r="I509" t="n">
        <v>14.8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45419</v>
      </c>
      <c r="E510" s="1" t="n">
        <v>46324</v>
      </c>
      <c r="F510" t="inlineStr">
        <is>
          <t>VÄSTERBOTTENS LÄN</t>
        </is>
      </c>
      <c r="G510" t="inlineStr">
        <is>
          <t>NORDMALING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46293</v>
      </c>
      <c r="E511" s="1" t="n">
        <v>46324</v>
      </c>
      <c r="F511" t="inlineStr">
        <is>
          <t>VÄSTERBOTTENS LÄN</t>
        </is>
      </c>
      <c r="G511" t="inlineStr">
        <is>
          <t>NORDMALING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58655-2023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45247</v>
      </c>
      <c r="E512" s="1" t="n">
        <v>46324</v>
      </c>
      <c r="F512" t="inlineStr">
        <is>
          <t>VÄSTERBOTTENS LÄN</t>
        </is>
      </c>
      <c r="G512" t="inlineStr">
        <is>
          <t>NORDMALING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48178-2024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46324</v>
      </c>
      <c r="F513" t="inlineStr">
        <is>
          <t>VÄSTERBOTTENS LÄN</t>
        </is>
      </c>
      <c r="G513" t="inlineStr">
        <is>
          <t>NORDMALING</t>
        </is>
      </c>
      <c r="I513" t="n">
        <v>9.699999999999999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46295</v>
      </c>
      <c r="E514" s="1" t="n">
        <v>46324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59389-2022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44905</v>
      </c>
      <c r="E515" s="1" t="n">
        <v>46324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22004-2024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45443</v>
      </c>
      <c r="E516" s="1" t="n">
        <v>46324</v>
      </c>
      <c r="F516" t="inlineStr">
        <is>
          <t>VÄSTERBOTTENS LÄN</t>
        </is>
      </c>
      <c r="G516" t="inlineStr">
        <is>
          <t>NORDMALING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46295</v>
      </c>
      <c r="E517" s="1" t="n">
        <v>46324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46253</v>
      </c>
      <c r="E518" s="1" t="n">
        <v>46324</v>
      </c>
      <c r="F518" t="inlineStr">
        <is>
          <t>VÄSTERBOTTENS LÄN</t>
        </is>
      </c>
      <c r="G518" t="inlineStr">
        <is>
          <t>NORDMALING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46324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46324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SCA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46324</v>
      </c>
      <c r="F521" t="inlineStr">
        <is>
          <t>VÄSTERBOTTENS LÄN</t>
        </is>
      </c>
      <c r="G521" t="inlineStr">
        <is>
          <t>NORDMALING</t>
        </is>
      </c>
      <c r="I521" t="n">
        <v>8.5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44916</v>
      </c>
      <c r="E522" s="1" t="n">
        <v>46324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65688-2021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44515</v>
      </c>
      <c r="E523" s="1" t="n">
        <v>46324</v>
      </c>
      <c r="F523" t="inlineStr">
        <is>
          <t>VÄSTERBOTTENS LÄN</t>
        </is>
      </c>
      <c r="G523" t="inlineStr">
        <is>
          <t>NORDMALING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52149-2024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45608</v>
      </c>
      <c r="E524" s="1" t="n">
        <v>46324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46324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46324</v>
      </c>
      <c r="F526" t="inlineStr">
        <is>
          <t>VÄSTERBOTTENS LÄN</t>
        </is>
      </c>
      <c r="G526" t="inlineStr">
        <is>
          <t>NORDMALING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44949</v>
      </c>
      <c r="E527" s="1" t="n">
        <v>46324</v>
      </c>
      <c r="F527" t="inlineStr">
        <is>
          <t>VÄSTERBOTTENS LÄN</t>
        </is>
      </c>
      <c r="G527" t="inlineStr">
        <is>
          <t>NORDMALING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46324</v>
      </c>
      <c r="F528" t="inlineStr">
        <is>
          <t>VÄSTERBOTTENS LÄN</t>
        </is>
      </c>
      <c r="G528" t="inlineStr">
        <is>
          <t>NORDMALING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19300-2023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45049</v>
      </c>
      <c r="E529" s="1" t="n">
        <v>46324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Kyrkan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62203-2022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44922</v>
      </c>
      <c r="E530" s="1" t="n">
        <v>46324</v>
      </c>
      <c r="F530" t="inlineStr">
        <is>
          <t>VÄSTERBOTTENS LÄN</t>
        </is>
      </c>
      <c r="G530" t="inlineStr">
        <is>
          <t>NORDMALING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26930-2024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45470</v>
      </c>
      <c r="E531" s="1" t="n">
        <v>46324</v>
      </c>
      <c r="F531" t="inlineStr">
        <is>
          <t>VÄSTERBOTTENS LÄN</t>
        </is>
      </c>
      <c r="G531" t="inlineStr">
        <is>
          <t>NORDMALING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46324</v>
      </c>
      <c r="F532" t="inlineStr">
        <is>
          <t>VÄSTERBOTTENS LÄN</t>
        </is>
      </c>
      <c r="G532" t="inlineStr">
        <is>
          <t>NORDMALING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46324</v>
      </c>
      <c r="F533" t="inlineStr">
        <is>
          <t>VÄSTERBOTTENS LÄN</t>
        </is>
      </c>
      <c r="G533" t="inlineStr">
        <is>
          <t>NORDMALING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46324</v>
      </c>
      <c r="F534" t="inlineStr">
        <is>
          <t>VÄSTERBOTTENS LÄN</t>
        </is>
      </c>
      <c r="G534" t="inlineStr">
        <is>
          <t>NORDMALING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46324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46324</v>
      </c>
      <c r="F536" t="inlineStr">
        <is>
          <t>VÄSTERBOTTENS LÄN</t>
        </is>
      </c>
      <c r="G536" t="inlineStr">
        <is>
          <t>NORDMALING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46324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46324</v>
      </c>
      <c r="F538" t="inlineStr">
        <is>
          <t>VÄSTERBOTTENS LÄN</t>
        </is>
      </c>
      <c r="G538" t="inlineStr">
        <is>
          <t>NORDMALING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45173</v>
      </c>
      <c r="E539" s="1" t="n">
        <v>46324</v>
      </c>
      <c r="F539" t="inlineStr">
        <is>
          <t>VÄSTERBOTTENS LÄN</t>
        </is>
      </c>
      <c r="G539" t="inlineStr">
        <is>
          <t>NORDMALING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46302</v>
      </c>
      <c r="E540" s="1" t="n">
        <v>46324</v>
      </c>
      <c r="F540" t="inlineStr">
        <is>
          <t>VÄSTERBOTTENS LÄN</t>
        </is>
      </c>
      <c r="G540" t="inlineStr">
        <is>
          <t>NORDMALING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18639-2022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44687</v>
      </c>
      <c r="E541" s="1" t="n">
        <v>46324</v>
      </c>
      <c r="F541" t="inlineStr">
        <is>
          <t>VÄSTERBOTTENS LÄN</t>
        </is>
      </c>
      <c r="G541" t="inlineStr">
        <is>
          <t>NORDMALING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42320-2024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45562</v>
      </c>
      <c r="E542" s="1" t="n">
        <v>46324</v>
      </c>
      <c r="F542" t="inlineStr">
        <is>
          <t>VÄSTERBOTTENS LÄN</t>
        </is>
      </c>
      <c r="G542" t="inlineStr">
        <is>
          <t>NORDMALING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42369-2026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46307</v>
      </c>
      <c r="E543" s="1" t="n">
        <v>46324</v>
      </c>
      <c r="F543" t="inlineStr">
        <is>
          <t>VÄSTERBOTTENS LÄN</t>
        </is>
      </c>
      <c r="G543" t="inlineStr">
        <is>
          <t>NORDMALING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35566-2026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46262</v>
      </c>
      <c r="E544" s="1" t="n">
        <v>46324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Kyrkan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34184-2023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45126</v>
      </c>
      <c r="E545" s="1" t="n">
        <v>46324</v>
      </c>
      <c r="F545" t="inlineStr">
        <is>
          <t>VÄSTERBOTTENS LÄN</t>
        </is>
      </c>
      <c r="G545" t="inlineStr">
        <is>
          <t>NORDMALING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72841-2021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44547</v>
      </c>
      <c r="E546" s="1" t="n">
        <v>46324</v>
      </c>
      <c r="F546" t="inlineStr">
        <is>
          <t>VÄSTERBOTTENS LÄN</t>
        </is>
      </c>
      <c r="G546" t="inlineStr">
        <is>
          <t>NORDMALING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59913-2022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44908</v>
      </c>
      <c r="E547" s="1" t="n">
        <v>46324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46324</v>
      </c>
      <c r="F548" t="inlineStr">
        <is>
          <t>VÄSTERBOTTENS LÄN</t>
        </is>
      </c>
      <c r="G548" t="inlineStr">
        <is>
          <t>NORDMALING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72018-2021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44540</v>
      </c>
      <c r="E549" s="1" t="n">
        <v>46324</v>
      </c>
      <c r="F549" t="inlineStr">
        <is>
          <t>VÄSTERBOTTENS LÄN</t>
        </is>
      </c>
      <c r="G549" t="inlineStr">
        <is>
          <t>NORDMALING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34904-2023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45141</v>
      </c>
      <c r="E550" s="1" t="n">
        <v>46324</v>
      </c>
      <c r="F550" t="inlineStr">
        <is>
          <t>VÄSTERBOTTENS LÄN</t>
        </is>
      </c>
      <c r="G550" t="inlineStr">
        <is>
          <t>NORDMALING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20133-2023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46324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45712</v>
      </c>
      <c r="E552" s="1" t="n">
        <v>46324</v>
      </c>
      <c r="F552" t="inlineStr">
        <is>
          <t>VÄSTERBOTTENS LÄN</t>
        </is>
      </c>
      <c r="G552" t="inlineStr">
        <is>
          <t>NORDMALING</t>
        </is>
      </c>
      <c r="I552" t="n">
        <v>11.1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45713</v>
      </c>
      <c r="E553" s="1" t="n">
        <v>46324</v>
      </c>
      <c r="F553" t="inlineStr">
        <is>
          <t>VÄSTERBOTTENS LÄN</t>
        </is>
      </c>
      <c r="G553" t="inlineStr">
        <is>
          <t>NORDMALING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6974-2024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45343</v>
      </c>
      <c r="E554" s="1" t="n">
        <v>46324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Kommuner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46304</v>
      </c>
      <c r="E555" s="1" t="n">
        <v>46324</v>
      </c>
      <c r="F555" t="inlineStr">
        <is>
          <t>VÄSTERBOTTENS LÄN</t>
        </is>
      </c>
      <c r="G555" t="inlineStr">
        <is>
          <t>NORDMALING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35548-2026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46262</v>
      </c>
      <c r="E556" s="1" t="n">
        <v>46324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Kyrkan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42652-2026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46309</v>
      </c>
      <c r="E557" s="1" t="n">
        <v>46324</v>
      </c>
      <c r="F557" t="inlineStr">
        <is>
          <t>VÄSTERBOTTENS LÄN</t>
        </is>
      </c>
      <c r="G557" t="inlineStr">
        <is>
          <t>NORDMALING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35785-2026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46265</v>
      </c>
      <c r="E558" s="1" t="n">
        <v>46324</v>
      </c>
      <c r="F558" t="inlineStr">
        <is>
          <t>VÄSTERBOTTENS LÄN</t>
        </is>
      </c>
      <c r="G558" t="inlineStr">
        <is>
          <t>NORDMALING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42425-2026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46308</v>
      </c>
      <c r="E559" s="1" t="n">
        <v>46324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46324</v>
      </c>
      <c r="F560" t="inlineStr">
        <is>
          <t>VÄSTERBOTTENS LÄN</t>
        </is>
      </c>
      <c r="G560" t="inlineStr">
        <is>
          <t>NORDMALING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35920-2026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46266</v>
      </c>
      <c r="E561" s="1" t="n">
        <v>46324</v>
      </c>
      <c r="F561" t="inlineStr">
        <is>
          <t>VÄSTERBOTTENS LÄN</t>
        </is>
      </c>
      <c r="G561" t="inlineStr">
        <is>
          <t>NORDMALING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42629-2026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46309</v>
      </c>
      <c r="E562" s="1" t="n">
        <v>46324</v>
      </c>
      <c r="F562" t="inlineStr">
        <is>
          <t>VÄSTERBOTTENS LÄN</t>
        </is>
      </c>
      <c r="G562" t="inlineStr">
        <is>
          <t>NORDMALING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55198-2022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44886</v>
      </c>
      <c r="E563" s="1" t="n">
        <v>46324</v>
      </c>
      <c r="F563" t="inlineStr">
        <is>
          <t>VÄSTERBOTTENS LÄN</t>
        </is>
      </c>
      <c r="G563" t="inlineStr">
        <is>
          <t>NORDMALING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46263</v>
      </c>
      <c r="E564" s="1" t="n">
        <v>46324</v>
      </c>
      <c r="F564" t="inlineStr">
        <is>
          <t>VÄSTERBOTTENS LÄN</t>
        </is>
      </c>
      <c r="G564" t="inlineStr">
        <is>
          <t>NORDMALING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46265</v>
      </c>
      <c r="E565" s="1" t="n">
        <v>46324</v>
      </c>
      <c r="F565" t="inlineStr">
        <is>
          <t>VÄSTERBOTTENS LÄN</t>
        </is>
      </c>
      <c r="G565" t="inlineStr">
        <is>
          <t>NORDMALING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46265</v>
      </c>
      <c r="E566" s="1" t="n">
        <v>46324</v>
      </c>
      <c r="F566" t="inlineStr">
        <is>
          <t>VÄSTERBOTTENS LÄN</t>
        </is>
      </c>
      <c r="G566" t="inlineStr">
        <is>
          <t>NORDMALING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43367-2022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44834</v>
      </c>
      <c r="E567" s="1" t="n">
        <v>46324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Holmen skog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46324</v>
      </c>
      <c r="F568" t="inlineStr">
        <is>
          <t>VÄSTERBOTTENS LÄN</t>
        </is>
      </c>
      <c r="G568" t="inlineStr">
        <is>
          <t>NORDMALING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45638</v>
      </c>
      <c r="E569" s="1" t="n">
        <v>46324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46267</v>
      </c>
      <c r="E570" s="1" t="n">
        <v>46324</v>
      </c>
      <c r="F570" t="inlineStr">
        <is>
          <t>VÄSTERBOTTENS LÄN</t>
        </is>
      </c>
      <c r="G570" t="inlineStr">
        <is>
          <t>NORDMALING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46324</v>
      </c>
      <c r="F571" t="inlineStr">
        <is>
          <t>VÄSTERBOTTENS LÄN</t>
        </is>
      </c>
      <c r="G571" t="inlineStr">
        <is>
          <t>NORDMALING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36429-2024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45536</v>
      </c>
      <c r="E572" s="1" t="n">
        <v>46324</v>
      </c>
      <c r="F572" t="inlineStr">
        <is>
          <t>VÄSTERBOTTENS LÄN</t>
        </is>
      </c>
      <c r="G572" t="inlineStr">
        <is>
          <t>NORDMALING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30183-2024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45489</v>
      </c>
      <c r="E573" s="1" t="n">
        <v>46324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42929-2026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46310</v>
      </c>
      <c r="E574" s="1" t="n">
        <v>46324</v>
      </c>
      <c r="F574" t="inlineStr">
        <is>
          <t>VÄSTERBOTTENS LÄN</t>
        </is>
      </c>
      <c r="G574" t="inlineStr">
        <is>
          <t>NORDMALING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46272</v>
      </c>
      <c r="E575" s="1" t="n">
        <v>46324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69519-2021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44531</v>
      </c>
      <c r="E576" s="1" t="n">
        <v>46324</v>
      </c>
      <c r="F576" t="inlineStr">
        <is>
          <t>VÄSTERBOTTENS LÄN</t>
        </is>
      </c>
      <c r="G576" t="inlineStr">
        <is>
          <t>NORDMALING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34176-2023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45126</v>
      </c>
      <c r="E577" s="1" t="n">
        <v>46324</v>
      </c>
      <c r="F577" t="inlineStr">
        <is>
          <t>VÄSTERBOTTENS LÄN</t>
        </is>
      </c>
      <c r="G577" t="inlineStr">
        <is>
          <t>NORDMALING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61795-2023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45265</v>
      </c>
      <c r="E578" s="1" t="n">
        <v>46324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45883</v>
      </c>
      <c r="E579" s="1" t="n">
        <v>46324</v>
      </c>
      <c r="F579" t="inlineStr">
        <is>
          <t>VÄSTERBOTTENS LÄN</t>
        </is>
      </c>
      <c r="G579" t="inlineStr">
        <is>
          <t>NORDMALING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61793-2023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45265</v>
      </c>
      <c r="E580" s="1" t="n">
        <v>46324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28443-2023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45102</v>
      </c>
      <c r="E581" s="1" t="n">
        <v>46324</v>
      </c>
      <c r="F581" t="inlineStr">
        <is>
          <t>VÄSTERBOTTENS LÄN</t>
        </is>
      </c>
      <c r="G581" t="inlineStr">
        <is>
          <t>NORDMALING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44943</v>
      </c>
      <c r="E582" s="1" t="n">
        <v>46324</v>
      </c>
      <c r="F582" t="inlineStr">
        <is>
          <t>VÄSTERBOTTENS LÄN</t>
        </is>
      </c>
      <c r="G582" t="inlineStr">
        <is>
          <t>NORDMALING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46316</v>
      </c>
      <c r="E583" s="1" t="n">
        <v>46324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Holmen skog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46324</v>
      </c>
      <c r="F584" t="inlineStr">
        <is>
          <t>VÄSTERBOTTENS LÄN</t>
        </is>
      </c>
      <c r="G584" t="inlineStr">
        <is>
          <t>NORDMALING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37178-2026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46274</v>
      </c>
      <c r="E585" s="1" t="n">
        <v>46324</v>
      </c>
      <c r="F585" t="inlineStr">
        <is>
          <t>VÄSTERBOTTENS LÄN</t>
        </is>
      </c>
      <c r="G585" t="inlineStr">
        <is>
          <t>NORDMALING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44191-2026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46318</v>
      </c>
      <c r="E586" s="1" t="n">
        <v>46324</v>
      </c>
      <c r="F586" t="inlineStr">
        <is>
          <t>VÄSTERBOTTENS LÄN</t>
        </is>
      </c>
      <c r="G586" t="inlineStr">
        <is>
          <t>NORDMALING</t>
        </is>
      </c>
      <c r="H586" t="inlineStr">
        <is>
          <t>SCA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46275</v>
      </c>
      <c r="E587" s="1" t="n">
        <v>46324</v>
      </c>
      <c r="F587" t="inlineStr">
        <is>
          <t>VÄSTERBOTTENS LÄN</t>
        </is>
      </c>
      <c r="G587" t="inlineStr">
        <is>
          <t>NORDMALING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55740-2023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45239</v>
      </c>
      <c r="E588" s="1" t="n">
        <v>46324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46275</v>
      </c>
      <c r="E589" s="1" t="n">
        <v>46324</v>
      </c>
      <c r="F589" t="inlineStr">
        <is>
          <t>VÄSTERBOTTENS LÄN</t>
        </is>
      </c>
      <c r="G589" t="inlineStr">
        <is>
          <t>NORDMALING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44092-2026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46318</v>
      </c>
      <c r="E590" s="1" t="n">
        <v>46324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32983-2026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46324</v>
      </c>
      <c r="F591" t="inlineStr">
        <is>
          <t>VÄSTERBOTTENS LÄN</t>
        </is>
      </c>
      <c r="G591" t="inlineStr">
        <is>
          <t>NORDMALING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44972</v>
      </c>
      <c r="E592" s="1" t="n">
        <v>46324</v>
      </c>
      <c r="F592" t="inlineStr">
        <is>
          <t>VÄSTERBOTTENS LÄN</t>
        </is>
      </c>
      <c r="G592" t="inlineStr">
        <is>
          <t>NORDMALING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44893</v>
      </c>
      <c r="E593" s="1" t="n">
        <v>46324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24850-2023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45078</v>
      </c>
      <c r="E594" s="1" t="n">
        <v>46324</v>
      </c>
      <c r="F594" t="inlineStr">
        <is>
          <t>VÄSTERBOTTENS LÄN</t>
        </is>
      </c>
      <c r="G594" t="inlineStr">
        <is>
          <t>NORDMALING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34492-2024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45525</v>
      </c>
      <c r="E595" s="1" t="n">
        <v>46324</v>
      </c>
      <c r="F595" t="inlineStr">
        <is>
          <t>VÄSTERBOTTENS LÄN</t>
        </is>
      </c>
      <c r="G595" t="inlineStr">
        <is>
          <t>NORDMALING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15745-2023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45021</v>
      </c>
      <c r="E596" s="1" t="n">
        <v>46324</v>
      </c>
      <c r="F596" t="inlineStr">
        <is>
          <t>VÄSTERBOTTENS LÄN</t>
        </is>
      </c>
      <c r="G596" t="inlineStr">
        <is>
          <t>NORDMALING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46280</v>
      </c>
      <c r="E597" s="1" t="n">
        <v>46324</v>
      </c>
      <c r="F597" t="inlineStr">
        <is>
          <t>VÄSTERBOTTENS LÄN</t>
        </is>
      </c>
      <c r="G597" t="inlineStr">
        <is>
          <t>NORDMALING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45092</v>
      </c>
      <c r="E598" s="1" t="n">
        <v>46324</v>
      </c>
      <c r="F598" t="inlineStr">
        <is>
          <t>VÄSTERBOTTENS LÄN</t>
        </is>
      </c>
      <c r="G598" t="inlineStr">
        <is>
          <t>NORDMALING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46274</v>
      </c>
      <c r="E599" s="1" t="n">
        <v>46324</v>
      </c>
      <c r="F599" t="inlineStr">
        <is>
          <t>VÄSTERBOTTENS LÄN</t>
        </is>
      </c>
      <c r="G599" t="inlineStr">
        <is>
          <t>NORDMALING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46324</v>
      </c>
      <c r="F600" t="inlineStr">
        <is>
          <t>VÄSTERBOTTENS LÄN</t>
        </is>
      </c>
      <c r="G600" t="inlineStr">
        <is>
          <t>NORDMALING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46324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3963-2024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45567</v>
      </c>
      <c r="E602" s="1" t="n">
        <v>46324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44559</v>
      </c>
      <c r="E603" s="1" t="n">
        <v>46324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73-2025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45667</v>
      </c>
      <c r="E604" s="1" t="n">
        <v>46324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9259-2021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44517</v>
      </c>
      <c r="E605" s="1" t="n">
        <v>46324</v>
      </c>
      <c r="F605" t="inlineStr">
        <is>
          <t>VÄSTERBOTTENS LÄN</t>
        </is>
      </c>
      <c r="G605" t="inlineStr">
        <is>
          <t>NORDMALING</t>
        </is>
      </c>
      <c r="I605" t="n">
        <v>17.8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4194-2023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45250</v>
      </c>
      <c r="E606" s="1" t="n">
        <v>46324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27.6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5071-2024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45638</v>
      </c>
      <c r="E607" s="1" t="n">
        <v>46324</v>
      </c>
      <c r="F607" t="inlineStr">
        <is>
          <t>VÄSTERBOTTENS LÄN</t>
        </is>
      </c>
      <c r="G607" t="inlineStr">
        <is>
          <t>NORDMALING</t>
        </is>
      </c>
      <c r="I607" t="n">
        <v>19.9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1247-2025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46324</v>
      </c>
      <c r="F608" t="inlineStr">
        <is>
          <t>VÄSTERBOTTENS LÄN</t>
        </is>
      </c>
      <c r="G608" t="inlineStr">
        <is>
          <t>NORDMALING</t>
        </is>
      </c>
      <c r="I608" t="n">
        <v>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46324</v>
      </c>
      <c r="F609" t="inlineStr">
        <is>
          <t>VÄSTERBOTTENS LÄN</t>
        </is>
      </c>
      <c r="G609" t="inlineStr">
        <is>
          <t>NORDMALING</t>
        </is>
      </c>
      <c r="I609" t="n">
        <v>9.4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46324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46324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444-2026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46324</v>
      </c>
      <c r="F612" t="inlineStr">
        <is>
          <t>VÄSTERBOTTENS LÄN</t>
        </is>
      </c>
      <c r="G612" t="inlineStr">
        <is>
          <t>NORDMALING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46324</v>
      </c>
      <c r="F613" t="inlineStr">
        <is>
          <t>VÄSTERBOTTENS LÄN</t>
        </is>
      </c>
      <c r="G613" t="inlineStr">
        <is>
          <t>NORDMALING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1170-2026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46135</v>
      </c>
      <c r="E614" s="1" t="n">
        <v>46324</v>
      </c>
      <c r="F614" t="inlineStr">
        <is>
          <t>VÄSTERBOTTENS LÄN</t>
        </is>
      </c>
      <c r="G614" t="inlineStr">
        <is>
          <t>NORDMALING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1299-2026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46148</v>
      </c>
      <c r="E615" s="1" t="n">
        <v>46324</v>
      </c>
      <c r="F615" t="inlineStr">
        <is>
          <t>VÄSTERBOTTENS LÄN</t>
        </is>
      </c>
      <c r="G615" t="inlineStr">
        <is>
          <t>NORDMALING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2026-10-29T03:09:41Z</dcterms:created>
  <dcterms:modified xmlns:dcterms="http://purl.org/dc/terms/" xmlns:xsi="http://www.w3.org/2001/XMLSchema-instance" xsi:type="dcterms:W3CDTF">2026-10-29T03:09:42Z</dcterms:modified>
</cp:coreProperties>
</file>