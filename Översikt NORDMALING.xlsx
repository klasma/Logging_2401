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46218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46218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46218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46218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46218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46218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Garnlav
Dropptaggsvamp
Orange taggsvamp
Svartvit taggsvamp
Tjockfotad fingersvamp
Vågbandad barkbock</t>
        </is>
      </c>
      <c r="V7">
        <f>HYPERLINK("https://klasma.github.io/Logging_2401/artfynd/A 37547-2023 artfynd.xlsx", "A 37547-2023")</f>
        <v/>
      </c>
      <c r="W7">
        <f>HYPERLINK("https://klasma.github.io/Logging_2401/kartor/A 37547-2023 karta.png", "A 37547-2023")</f>
        <v/>
      </c>
      <c r="Y7">
        <f>HYPERLINK("https://klasma.github.io/Logging_2401/klagomål/A 37547-2023 FSC-klagomål.docx", "A 37547-2023")</f>
        <v/>
      </c>
      <c r="Z7">
        <f>HYPERLINK("https://klasma.github.io/Logging_2401/klagomålsmail/A 37547-2023 FSC-klagomål mail.docx", "A 37547-2023")</f>
        <v/>
      </c>
      <c r="AA7">
        <f>HYPERLINK("https://klasma.github.io/Logging_2401/tillsyn/A 37547-2023 tillsynsbegäran.docx", "A 37547-2023")</f>
        <v/>
      </c>
      <c r="AB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46218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s="2" t="inlineStr">
        <is>
          <t>Garnlav
Goliatmusseron
Blå taggsvamp
Dropptaggsvamp
Motaggsvamp
Orange taggsvamp</t>
        </is>
      </c>
      <c r="V8">
        <f>HYPERLINK("https://klasma.github.io/Logging_2401/artfynd/A 37141-2023 artfynd.xlsx", "A 37141-2023")</f>
        <v/>
      </c>
      <c r="W8">
        <f>HYPERLINK("https://klasma.github.io/Logging_2401/kartor/A 37141-2023 karta.png", "A 37141-2023")</f>
        <v/>
      </c>
      <c r="Y8">
        <f>HYPERLINK("https://klasma.github.io/Logging_2401/klagomål/A 37141-2023 FSC-klagomål.docx", "A 37141-2023")</f>
        <v/>
      </c>
      <c r="Z8">
        <f>HYPERLINK("https://klasma.github.io/Logging_2401/klagomålsmail/A 37141-2023 FSC-klagomål mail.docx", "A 37141-2023")</f>
        <v/>
      </c>
      <c r="AA8">
        <f>HYPERLINK("https://klasma.github.io/Logging_2401/tillsyn/A 37141-2023 tillsynsbegäran.docx", "A 37141-2023")</f>
        <v/>
      </c>
      <c r="AB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46218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46218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Y10">
        <f>HYPERLINK("https://klasma.github.io/Logging_2401/klagomål/A 45294-2025 FSC-klagomål.docx", "A 45294-2025")</f>
        <v/>
      </c>
      <c r="Z10">
        <f>HYPERLINK("https://klasma.github.io/Logging_2401/klagomålsmail/A 45294-2025 FSC-klagomål mail.docx", "A 45294-2025")</f>
        <v/>
      </c>
      <c r="AA10">
        <f>HYPERLINK("https://klasma.github.io/Logging_2401/tillsyn/A 45294-2025 tillsynsbegäran.docx", "A 45294-2025")</f>
        <v/>
      </c>
      <c r="AB10">
        <f>HYPERLINK("https://klasma.github.io/Logging_2401/tillsynsmail/A 45294-2025 tillsynsbegäran mail.docx", "A 45294-2025")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46218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s="2" t="inlineStr">
        <is>
          <t>Garnlav
Tretåig hackspett
Rostfläck
Skinnlav
Spillkråka</t>
        </is>
      </c>
      <c r="V11">
        <f>HYPERLINK("https://klasma.github.io/Logging_2401/artfynd/A 52787-2023 artfynd.xlsx", "A 52787-2023")</f>
        <v/>
      </c>
      <c r="W11">
        <f>HYPERLINK("https://klasma.github.io/Logging_2401/kartor/A 52787-2023 karta.png", "A 52787-2023")</f>
        <v/>
      </c>
      <c r="Y11">
        <f>HYPERLINK("https://klasma.github.io/Logging_2401/klagomål/A 52787-2023 FSC-klagomål.docx", "A 52787-2023")</f>
        <v/>
      </c>
      <c r="Z11">
        <f>HYPERLINK("https://klasma.github.io/Logging_2401/klagomålsmail/A 52787-2023 FSC-klagomål mail.docx", "A 52787-2023")</f>
        <v/>
      </c>
      <c r="AA11">
        <f>HYPERLINK("https://klasma.github.io/Logging_2401/tillsyn/A 52787-2023 tillsynsbegäran.docx", "A 52787-2023")</f>
        <v/>
      </c>
      <c r="AB11">
        <f>HYPERLINK("https://klasma.github.io/Logging_2401/tillsynsmail/A 52787-2023 tillsynsbegäran mail.docx", "A 52787-2023")</f>
        <v/>
      </c>
      <c r="AC11">
        <f>HYPERLINK("https://klasma.github.io/Logging_2401/fåglar/A 52787-2023 prioriterade fågelarter.docx", "A 52787-2023")</f>
        <v/>
      </c>
    </row>
    <row r="12" ht="15" customHeight="1">
      <c r="A12" t="inlineStr">
        <is>
          <t>A 63255-2023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45273</v>
      </c>
      <c r="E12" s="1" t="n">
        <v>46218</v>
      </c>
      <c r="F12" t="inlineStr">
        <is>
          <t>VÄSTERBOTTENS LÄN</t>
        </is>
      </c>
      <c r="G12" t="inlineStr">
        <is>
          <t>NORDMALING</t>
        </is>
      </c>
      <c r="I12" t="n">
        <v>2.4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Dropptaggsvamp
Nästlav
Skinnlav
Trådticka
Svartvit flugsnappare</t>
        </is>
      </c>
      <c r="V12">
        <f>HYPERLINK("https://klasma.github.io/Logging_2401/artfynd/A 63255-2023 artfynd.xlsx", "A 63255-2023")</f>
        <v/>
      </c>
      <c r="W12">
        <f>HYPERLINK("https://klasma.github.io/Logging_2401/kartor/A 63255-2023 karta.png", "A 63255-2023")</f>
        <v/>
      </c>
      <c r="Y12">
        <f>HYPERLINK("https://klasma.github.io/Logging_2401/klagomål/A 63255-2023 FSC-klagomål.docx", "A 63255-2023")</f>
        <v/>
      </c>
      <c r="Z12">
        <f>HYPERLINK("https://klasma.github.io/Logging_2401/klagomålsmail/A 63255-2023 FSC-klagomål mail.docx", "A 63255-2023")</f>
        <v/>
      </c>
      <c r="AA12">
        <f>HYPERLINK("https://klasma.github.io/Logging_2401/tillsyn/A 63255-2023 tillsynsbegäran.docx", "A 63255-2023")</f>
        <v/>
      </c>
      <c r="AB12">
        <f>HYPERLINK("https://klasma.github.io/Logging_2401/tillsynsmail/A 63255-2023 tillsynsbegäran mail.docx", "A 63255-2023")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46218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46218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46218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46218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Garnlav
Violettgrå tagellav
Bronshjon
Vedticka</t>
        </is>
      </c>
      <c r="V16">
        <f>HYPERLINK("https://klasma.github.io/Logging_2401/artfynd/A 37133-2022 artfynd.xlsx", "A 37133-2022")</f>
        <v/>
      </c>
      <c r="W16">
        <f>HYPERLINK("https://klasma.github.io/Logging_2401/kartor/A 37133-2022 karta.png", "A 37133-2022")</f>
        <v/>
      </c>
      <c r="Y16">
        <f>HYPERLINK("https://klasma.github.io/Logging_2401/klagomål/A 37133-2022 FSC-klagomål.docx", "A 37133-2022")</f>
        <v/>
      </c>
      <c r="Z16">
        <f>HYPERLINK("https://klasma.github.io/Logging_2401/klagomålsmail/A 37133-2022 FSC-klagomål mail.docx", "A 37133-2022")</f>
        <v/>
      </c>
      <c r="AA16">
        <f>HYPERLINK("https://klasma.github.io/Logging_2401/tillsyn/A 37133-2022 tillsynsbegäran.docx", "A 37133-2022")</f>
        <v/>
      </c>
      <c r="AB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46218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s="2" t="inlineStr">
        <is>
          <t>Garnlav
Goliatmusseron
Rotfingersvamp
Granbarkgnagare</t>
        </is>
      </c>
      <c r="V17">
        <f>HYPERLINK("https://klasma.github.io/Logging_2401/artfynd/A 36810-2025 artfynd.xlsx", "A 36810-2025")</f>
        <v/>
      </c>
      <c r="W17">
        <f>HYPERLINK("https://klasma.github.io/Logging_2401/kartor/A 36810-2025 karta.png", "A 36810-2025")</f>
        <v/>
      </c>
      <c r="Y17">
        <f>HYPERLINK("https://klasma.github.io/Logging_2401/klagomål/A 36810-2025 FSC-klagomål.docx", "A 36810-2025")</f>
        <v/>
      </c>
      <c r="Z17">
        <f>HYPERLINK("https://klasma.github.io/Logging_2401/klagomålsmail/A 36810-2025 FSC-klagomål mail.docx", "A 36810-2025")</f>
        <v/>
      </c>
      <c r="AA17">
        <f>HYPERLINK("https://klasma.github.io/Logging_2401/tillsyn/A 36810-2025 tillsynsbegäran.docx", "A 36810-2025")</f>
        <v/>
      </c>
      <c r="AB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46218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s="2" t="inlineStr">
        <is>
          <t>Garnlav
Tretåig hackspett
Ullticka
Vågbandad barkbock</t>
        </is>
      </c>
      <c r="V18">
        <f>HYPERLINK("https://klasma.github.io/Logging_2401/artfynd/A 55814-2023 artfynd.xlsx", "A 55814-2023")</f>
        <v/>
      </c>
      <c r="W18">
        <f>HYPERLINK("https://klasma.github.io/Logging_2401/kartor/A 55814-2023 karta.png", "A 55814-2023")</f>
        <v/>
      </c>
      <c r="Y18">
        <f>HYPERLINK("https://klasma.github.io/Logging_2401/klagomål/A 55814-2023 FSC-klagomål.docx", "A 55814-2023")</f>
        <v/>
      </c>
      <c r="Z18">
        <f>HYPERLINK("https://klasma.github.io/Logging_2401/klagomålsmail/A 55814-2023 FSC-klagomål mail.docx", "A 55814-2023")</f>
        <v/>
      </c>
      <c r="AA18">
        <f>HYPERLINK("https://klasma.github.io/Logging_2401/tillsyn/A 55814-2023 tillsynsbegäran.docx", "A 55814-2023")</f>
        <v/>
      </c>
      <c r="AB18">
        <f>HYPERLINK("https://klasma.github.io/Logging_2401/tillsynsmail/A 55814-2023 tillsynsbegäran mail.docx", "A 55814-2023")</f>
        <v/>
      </c>
      <c r="AC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46218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46218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46218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Skrovlig taggsvamp
Gammelgransskål
Talltaggsvamp</t>
        </is>
      </c>
      <c r="V21">
        <f>HYPERLINK("https://klasma.github.io/Logging_2401/artfynd/A 44443-2024 artfynd.xlsx", "A 44443-2024")</f>
        <v/>
      </c>
      <c r="W21">
        <f>HYPERLINK("https://klasma.github.io/Logging_2401/kartor/A 44443-2024 karta.png", "A 44443-2024")</f>
        <v/>
      </c>
      <c r="Y21">
        <f>HYPERLINK("https://klasma.github.io/Logging_2401/klagomål/A 44443-2024 FSC-klagomål.docx", "A 44443-2024")</f>
        <v/>
      </c>
      <c r="Z21">
        <f>HYPERLINK("https://klasma.github.io/Logging_2401/klagomålsmail/A 44443-2024 FSC-klagomål mail.docx", "A 44443-2024")</f>
        <v/>
      </c>
      <c r="AA21">
        <f>HYPERLINK("https://klasma.github.io/Logging_2401/tillsyn/A 44443-2024 tillsynsbegäran.docx", "A 44443-2024")</f>
        <v/>
      </c>
      <c r="AB21">
        <f>HYPERLINK("https://klasma.github.io/Logging_2401/tillsynsmail/A 44443-2024 tillsynsbegäran mail.docx", "A 44443-2024")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46218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Grönfink
Gulsparv
Ladusvala</t>
        </is>
      </c>
      <c r="V22">
        <f>HYPERLINK("https://klasma.github.io/Logging_2401/artfynd/A 23753-2023 artfynd.xlsx", "A 23753-2023")</f>
        <v/>
      </c>
      <c r="W22">
        <f>HYPERLINK("https://klasma.github.io/Logging_2401/kartor/A 23753-2023 karta.png", "A 23753-2023")</f>
        <v/>
      </c>
      <c r="Y22">
        <f>HYPERLINK("https://klasma.github.io/Logging_2401/klagomål/A 23753-2023 FSC-klagomål.docx", "A 23753-2023")</f>
        <v/>
      </c>
      <c r="Z22">
        <f>HYPERLINK("https://klasma.github.io/Logging_2401/klagomålsmail/A 23753-2023 FSC-klagomål mail.docx", "A 23753-2023")</f>
        <v/>
      </c>
      <c r="AA22">
        <f>HYPERLINK("https://klasma.github.io/Logging_2401/tillsyn/A 23753-2023 tillsynsbegäran.docx", "A 23753-2023")</f>
        <v/>
      </c>
      <c r="AB22">
        <f>HYPERLINK("https://klasma.github.io/Logging_2401/tillsynsmail/A 23753-2023 tillsynsbegäran mail.docx", "A 23753-2023")</f>
        <v/>
      </c>
      <c r="AC22">
        <f>HYPERLINK("https://klasma.github.io/Logging_2401/fåglar/A 23753-2023 prioriterade fågelarter.docx", "A 23753-2023")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46218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Björktrast
Tjäder
Ärtsångare</t>
        </is>
      </c>
      <c r="V23">
        <f>HYPERLINK("https://klasma.github.io/Logging_2401/artfynd/A 6225-2023 artfynd.xlsx", "A 6225-2023")</f>
        <v/>
      </c>
      <c r="W23">
        <f>HYPERLINK("https://klasma.github.io/Logging_2401/kartor/A 6225-2023 karta.png", "A 6225-2023")</f>
        <v/>
      </c>
      <c r="Y23">
        <f>HYPERLINK("https://klasma.github.io/Logging_2401/klagomål/A 6225-2023 FSC-klagomål.docx", "A 6225-2023")</f>
        <v/>
      </c>
      <c r="Z23">
        <f>HYPERLINK("https://klasma.github.io/Logging_2401/klagomålsmail/A 6225-2023 FSC-klagomål mail.docx", "A 6225-2023")</f>
        <v/>
      </c>
      <c r="AA23">
        <f>HYPERLINK("https://klasma.github.io/Logging_2401/tillsyn/A 6225-2023 tillsynsbegäran.docx", "A 6225-2023")</f>
        <v/>
      </c>
      <c r="AB23">
        <f>HYPERLINK("https://klasma.github.io/Logging_2401/tillsynsmail/A 6225-2023 tillsynsbegäran mail.docx", "A 6225-2023")</f>
        <v/>
      </c>
      <c r="AC23">
        <f>HYPERLINK("https://klasma.github.io/Logging_2401/fåglar/A 6225-2023 prioriterade fågelarter.docx", "A 6225-2023")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46218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s="2" t="inlineStr">
        <is>
          <t>Nordtagging
Vaddporing
Violettgrå tagellav</t>
        </is>
      </c>
      <c r="V24">
        <f>HYPERLINK("https://klasma.github.io/Logging_2401/artfynd/A 44987-2024 artfynd.xlsx", "A 44987-2024")</f>
        <v/>
      </c>
      <c r="W24">
        <f>HYPERLINK("https://klasma.github.io/Logging_2401/kartor/A 44987-2024 karta.png", "A 44987-2024")</f>
        <v/>
      </c>
      <c r="Y24">
        <f>HYPERLINK("https://klasma.github.io/Logging_2401/klagomål/A 44987-2024 FSC-klagomål.docx", "A 44987-2024")</f>
        <v/>
      </c>
      <c r="Z24">
        <f>HYPERLINK("https://klasma.github.io/Logging_2401/klagomålsmail/A 44987-2024 FSC-klagomål mail.docx", "A 44987-2024")</f>
        <v/>
      </c>
      <c r="AA24">
        <f>HYPERLINK("https://klasma.github.io/Logging_2401/tillsyn/A 44987-2024 tillsynsbegäran.docx", "A 44987-2024")</f>
        <v/>
      </c>
      <c r="AB24">
        <f>HYPERLINK("https://klasma.github.io/Logging_2401/tillsynsmail/A 44987-2024 tillsynsbegäran mail.docx", "A 44987-2024")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46218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Småflikig brosklav
Violettgrå tagellav
Vedticka</t>
        </is>
      </c>
      <c r="V25">
        <f>HYPERLINK("https://klasma.github.io/Logging_2401/artfynd/A 40210-2022 artfynd.xlsx", "A 40210-2022")</f>
        <v/>
      </c>
      <c r="W25">
        <f>HYPERLINK("https://klasma.github.io/Logging_2401/kartor/A 40210-2022 karta.png", "A 40210-2022")</f>
        <v/>
      </c>
      <c r="Y25">
        <f>HYPERLINK("https://klasma.github.io/Logging_2401/klagomål/A 40210-2022 FSC-klagomål.docx", "A 40210-2022")</f>
        <v/>
      </c>
      <c r="Z25">
        <f>HYPERLINK("https://klasma.github.io/Logging_2401/klagomålsmail/A 40210-2022 FSC-klagomål mail.docx", "A 40210-2022")</f>
        <v/>
      </c>
      <c r="AA25">
        <f>HYPERLINK("https://klasma.github.io/Logging_2401/tillsyn/A 40210-2022 tillsynsbegäran.docx", "A 40210-2022")</f>
        <v/>
      </c>
      <c r="AB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46218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s="2" t="inlineStr">
        <is>
          <t>Lunglav
Rynkskinn
Ullticka</t>
        </is>
      </c>
      <c r="V26">
        <f>HYPERLINK("https://klasma.github.io/Logging_2401/artfynd/A 60450-2022 artfynd.xlsx", "A 60450-2022")</f>
        <v/>
      </c>
      <c r="W26">
        <f>HYPERLINK("https://klasma.github.io/Logging_2401/kartor/A 60450-2022 karta.png", "A 60450-2022")</f>
        <v/>
      </c>
      <c r="Y26">
        <f>HYPERLINK("https://klasma.github.io/Logging_2401/klagomål/A 60450-2022 FSC-klagomål.docx", "A 60450-2022")</f>
        <v/>
      </c>
      <c r="Z26">
        <f>HYPERLINK("https://klasma.github.io/Logging_2401/klagomålsmail/A 60450-2022 FSC-klagomål mail.docx", "A 60450-2022")</f>
        <v/>
      </c>
      <c r="AA26">
        <f>HYPERLINK("https://klasma.github.io/Logging_2401/tillsyn/A 60450-2022 tillsynsbegäran.docx", "A 60450-2022")</f>
        <v/>
      </c>
      <c r="AB26">
        <f>HYPERLINK("https://klasma.github.io/Logging_2401/tillsynsmail/A 60450-2022 tillsynsbegäran mail.docx", "A 60450-2022")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46218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Garnlav
Tretåig hackspett
Skinnlav</t>
        </is>
      </c>
      <c r="V27">
        <f>HYPERLINK("https://klasma.github.io/Logging_2401/artfynd/A 4085-2026 artfynd.xlsx", "A 4085-2026")</f>
        <v/>
      </c>
      <c r="W27">
        <f>HYPERLINK("https://klasma.github.io/Logging_2401/kartor/A 4085-2026 karta.png", "A 4085-2026")</f>
        <v/>
      </c>
      <c r="Y27">
        <f>HYPERLINK("https://klasma.github.io/Logging_2401/klagomål/A 4085-2026 FSC-klagomål.docx", "A 4085-2026")</f>
        <v/>
      </c>
      <c r="Z27">
        <f>HYPERLINK("https://klasma.github.io/Logging_2401/klagomålsmail/A 4085-2026 FSC-klagomål mail.docx", "A 4085-2026")</f>
        <v/>
      </c>
      <c r="AA27">
        <f>HYPERLINK("https://klasma.github.io/Logging_2401/tillsyn/A 4085-2026 tillsynsbegäran.docx", "A 4085-2026")</f>
        <v/>
      </c>
      <c r="AB27">
        <f>HYPERLINK("https://klasma.github.io/Logging_2401/tillsynsmail/A 4085-2026 tillsynsbegäran mail.docx", "A 4085-2026")</f>
        <v/>
      </c>
      <c r="AC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46218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Garnlav
Stjärntagging
Ullticka</t>
        </is>
      </c>
      <c r="V28">
        <f>HYPERLINK("https://klasma.github.io/Logging_2401/artfynd/A 3483-2026 artfynd.xlsx", "A 3483-2026")</f>
        <v/>
      </c>
      <c r="W28">
        <f>HYPERLINK("https://klasma.github.io/Logging_2401/kartor/A 3483-2026 karta.png", "A 3483-2026")</f>
        <v/>
      </c>
      <c r="Y28">
        <f>HYPERLINK("https://klasma.github.io/Logging_2401/klagomål/A 3483-2026 FSC-klagomål.docx", "A 3483-2026")</f>
        <v/>
      </c>
      <c r="Z28">
        <f>HYPERLINK("https://klasma.github.io/Logging_2401/klagomålsmail/A 3483-2026 FSC-klagomål mail.docx", "A 3483-2026")</f>
        <v/>
      </c>
      <c r="AA28">
        <f>HYPERLINK("https://klasma.github.io/Logging_2401/tillsyn/A 3483-2026 tillsynsbegäran.docx", "A 3483-2026")</f>
        <v/>
      </c>
      <c r="AB28">
        <f>HYPERLINK("https://klasma.github.io/Logging_2401/tillsynsmail/A 3483-2026 tillsynsbegäran mail.docx", "A 3483-2026")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46218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46218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s="2" t="inlineStr">
        <is>
          <t>Talltita
Gråspett</t>
        </is>
      </c>
      <c r="V30">
        <f>HYPERLINK("https://klasma.github.io/Logging_2401/artfynd/A 9012-2025 artfynd.xlsx", "A 9012-2025")</f>
        <v/>
      </c>
      <c r="W30">
        <f>HYPERLINK("https://klasma.github.io/Logging_2401/kartor/A 9012-2025 karta.png", "A 9012-2025")</f>
        <v/>
      </c>
      <c r="Y30">
        <f>HYPERLINK("https://klasma.github.io/Logging_2401/klagomål/A 9012-2025 FSC-klagomål.docx", "A 9012-2025")</f>
        <v/>
      </c>
      <c r="Z30">
        <f>HYPERLINK("https://klasma.github.io/Logging_2401/klagomålsmail/A 9012-2025 FSC-klagomål mail.docx", "A 9012-2025")</f>
        <v/>
      </c>
      <c r="AA30">
        <f>HYPERLINK("https://klasma.github.io/Logging_2401/tillsyn/A 9012-2025 tillsynsbegäran.docx", "A 9012-2025")</f>
        <v/>
      </c>
      <c r="AB30">
        <f>HYPERLINK("https://klasma.github.io/Logging_2401/tillsynsmail/A 9012-2025 tillsynsbegäran mail.docx", "A 9012-2025")</f>
        <v/>
      </c>
      <c r="AC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46218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Lunglav
Ullticka</t>
        </is>
      </c>
      <c r="V31">
        <f>HYPERLINK("https://klasma.github.io/Logging_2401/artfynd/A 61794-2023 artfynd.xlsx", "A 61794-2023")</f>
        <v/>
      </c>
      <c r="W31">
        <f>HYPERLINK("https://klasma.github.io/Logging_2401/kartor/A 61794-2023 karta.png", "A 61794-2023")</f>
        <v/>
      </c>
      <c r="Y31">
        <f>HYPERLINK("https://klasma.github.io/Logging_2401/klagomål/A 61794-2023 FSC-klagomål.docx", "A 61794-2023")</f>
        <v/>
      </c>
      <c r="Z31">
        <f>HYPERLINK("https://klasma.github.io/Logging_2401/klagomålsmail/A 61794-2023 FSC-klagomål mail.docx", "A 61794-2023")</f>
        <v/>
      </c>
      <c r="AA31">
        <f>HYPERLINK("https://klasma.github.io/Logging_2401/tillsyn/A 61794-2023 tillsynsbegäran.docx", "A 61794-2023")</f>
        <v/>
      </c>
      <c r="AB31">
        <f>HYPERLINK("https://klasma.github.io/Logging_2401/tillsynsmail/A 61794-2023 tillsynsbegäran mail.docx", "A 61794-2023")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46218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s="2" t="inlineStr">
        <is>
          <t>Garnlav
Skinnlav</t>
        </is>
      </c>
      <c r="V32">
        <f>HYPERLINK("https://klasma.github.io/Logging_2401/artfynd/A 55632-2023 artfynd.xlsx", "A 55632-2023")</f>
        <v/>
      </c>
      <c r="W32">
        <f>HYPERLINK("https://klasma.github.io/Logging_2401/kartor/A 55632-2023 karta.png", "A 55632-2023")</f>
        <v/>
      </c>
      <c r="Y32">
        <f>HYPERLINK("https://klasma.github.io/Logging_2401/klagomål/A 55632-2023 FSC-klagomål.docx", "A 55632-2023")</f>
        <v/>
      </c>
      <c r="Z32">
        <f>HYPERLINK("https://klasma.github.io/Logging_2401/klagomålsmail/A 55632-2023 FSC-klagomål mail.docx", "A 55632-2023")</f>
        <v/>
      </c>
      <c r="AA32">
        <f>HYPERLINK("https://klasma.github.io/Logging_2401/tillsyn/A 55632-2023 tillsynsbegäran.docx", "A 55632-2023")</f>
        <v/>
      </c>
      <c r="AB32">
        <f>HYPERLINK("https://klasma.github.io/Logging_2401/tillsynsmail/A 55632-2023 tillsynsbegäran mail.docx", "A 55632-2023")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46218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Bårdlav
Vedticka</t>
        </is>
      </c>
      <c r="V33">
        <f>HYPERLINK("https://klasma.github.io/Logging_2401/artfynd/A 1433-2026 artfynd.xlsx", "A 1433-2026")</f>
        <v/>
      </c>
      <c r="W33">
        <f>HYPERLINK("https://klasma.github.io/Logging_2401/kartor/A 1433-2026 karta.png", "A 1433-2026")</f>
        <v/>
      </c>
      <c r="Y33">
        <f>HYPERLINK("https://klasma.github.io/Logging_2401/klagomål/A 1433-2026 FSC-klagomål.docx", "A 1433-2026")</f>
        <v/>
      </c>
      <c r="Z33">
        <f>HYPERLINK("https://klasma.github.io/Logging_2401/klagomålsmail/A 1433-2026 FSC-klagomål mail.docx", "A 1433-2026")</f>
        <v/>
      </c>
      <c r="AA33">
        <f>HYPERLINK("https://klasma.github.io/Logging_2401/tillsyn/A 1433-2026 tillsynsbegäran.docx", "A 1433-2026")</f>
        <v/>
      </c>
      <c r="AB33">
        <f>HYPERLINK("https://klasma.github.io/Logging_2401/tillsynsmail/A 1433-2026 tillsynsbegäran mail.docx", "A 1433-2026")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46218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Mindre hackspett
Sävsparv</t>
        </is>
      </c>
      <c r="V34">
        <f>HYPERLINK("https://klasma.github.io/Logging_2401/artfynd/A 65044-2023 artfynd.xlsx", "A 65044-2023")</f>
        <v/>
      </c>
      <c r="W34">
        <f>HYPERLINK("https://klasma.github.io/Logging_2401/kartor/A 65044-2023 karta.png", "A 65044-2023")</f>
        <v/>
      </c>
      <c r="Y34">
        <f>HYPERLINK("https://klasma.github.io/Logging_2401/klagomål/A 65044-2023 FSC-klagomål.docx", "A 65044-2023")</f>
        <v/>
      </c>
      <c r="Z34">
        <f>HYPERLINK("https://klasma.github.io/Logging_2401/klagomålsmail/A 65044-2023 FSC-klagomål mail.docx", "A 65044-2023")</f>
        <v/>
      </c>
      <c r="AA34">
        <f>HYPERLINK("https://klasma.github.io/Logging_2401/tillsyn/A 65044-2023 tillsynsbegäran.docx", "A 65044-2023")</f>
        <v/>
      </c>
      <c r="AB34">
        <f>HYPERLINK("https://klasma.github.io/Logging_2401/tillsynsmail/A 65044-2023 tillsynsbegäran mail.docx", "A 65044-2023")</f>
        <v/>
      </c>
      <c r="AC34">
        <f>HYPERLINK("https://klasma.github.io/Logging_2401/fåglar/A 65044-2023 prioriterade fågelarter.docx", "A 65044-2023")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46218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Grönsångare
Mindre hackspett</t>
        </is>
      </c>
      <c r="V35">
        <f>HYPERLINK("https://klasma.github.io/Logging_2401/artfynd/A 65043-2023 artfynd.xlsx", "A 65043-2023")</f>
        <v/>
      </c>
      <c r="W35">
        <f>HYPERLINK("https://klasma.github.io/Logging_2401/kartor/A 65043-2023 karta.png", "A 65043-2023")</f>
        <v/>
      </c>
      <c r="Y35">
        <f>HYPERLINK("https://klasma.github.io/Logging_2401/klagomål/A 65043-2023 FSC-klagomål.docx", "A 65043-2023")</f>
        <v/>
      </c>
      <c r="Z35">
        <f>HYPERLINK("https://klasma.github.io/Logging_2401/klagomålsmail/A 65043-2023 FSC-klagomål mail.docx", "A 65043-2023")</f>
        <v/>
      </c>
      <c r="AA35">
        <f>HYPERLINK("https://klasma.github.io/Logging_2401/tillsyn/A 65043-2023 tillsynsbegäran.docx", "A 65043-2023")</f>
        <v/>
      </c>
      <c r="AB35">
        <f>HYPERLINK("https://klasma.github.io/Logging_2401/tillsynsmail/A 65043-2023 tillsynsbegäran mail.docx", "A 65043-2023")</f>
        <v/>
      </c>
      <c r="AC35">
        <f>HYPERLINK("https://klasma.github.io/Logging_2401/fåglar/A 65043-2023 prioriterade fågelarter.docx", "A 65043-2023")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46218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46218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46218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46218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46218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46218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46218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Pärluggla</t>
        </is>
      </c>
      <c r="V42">
        <f>HYPERLINK("https://klasma.github.io/Logging_2401/artfynd/A 63779-2023 artfynd.xlsx", "A 63779-2023")</f>
        <v/>
      </c>
      <c r="W42">
        <f>HYPERLINK("https://klasma.github.io/Logging_2401/kartor/A 63779-2023 karta.png", "A 63779-2023")</f>
        <v/>
      </c>
      <c r="Y42">
        <f>HYPERLINK("https://klasma.github.io/Logging_2401/klagomål/A 63779-2023 FSC-klagomål.docx", "A 63779-2023")</f>
        <v/>
      </c>
      <c r="Z42">
        <f>HYPERLINK("https://klasma.github.io/Logging_2401/klagomålsmail/A 63779-2023 FSC-klagomål mail.docx", "A 63779-2023")</f>
        <v/>
      </c>
      <c r="AA42">
        <f>HYPERLINK("https://klasma.github.io/Logging_2401/tillsyn/A 63779-2023 tillsynsbegäran.docx", "A 63779-2023")</f>
        <v/>
      </c>
      <c r="AB42">
        <f>HYPERLINK("https://klasma.github.io/Logging_2401/tillsynsmail/A 63779-2023 tillsynsbegäran mail.docx", "A 63779-2023")</f>
        <v/>
      </c>
      <c r="AC42">
        <f>HYPERLINK("https://klasma.github.io/Logging_2401/fåglar/A 63779-2023 prioriterade fågelarter.docx", "A 63779-2023")</f>
        <v/>
      </c>
    </row>
    <row r="43" ht="15" customHeight="1">
      <c r="A43" t="inlineStr">
        <is>
          <t>A 23496-2022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44721</v>
      </c>
      <c r="E43" s="1" t="n">
        <v>46218</v>
      </c>
      <c r="F43" t="inlineStr">
        <is>
          <t>VÄSTERBOTTENS LÄN</t>
        </is>
      </c>
      <c r="G43" t="inlineStr">
        <is>
          <t>NORDMALING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Järpe</t>
        </is>
      </c>
      <c r="V43">
        <f>HYPERLINK("https://klasma.github.io/Logging_2401/artfynd/A 23496-2022 artfynd.xlsx", "A 23496-2022")</f>
        <v/>
      </c>
      <c r="W43">
        <f>HYPERLINK("https://klasma.github.io/Logging_2401/kartor/A 23496-2022 karta.png", "A 23496-2022")</f>
        <v/>
      </c>
      <c r="Y43">
        <f>HYPERLINK("https://klasma.github.io/Logging_2401/klagomål/A 23496-2022 FSC-klagomål.docx", "A 23496-2022")</f>
        <v/>
      </c>
      <c r="Z43">
        <f>HYPERLINK("https://klasma.github.io/Logging_2401/klagomålsmail/A 23496-2022 FSC-klagomål mail.docx", "A 23496-2022")</f>
        <v/>
      </c>
      <c r="AA43">
        <f>HYPERLINK("https://klasma.github.io/Logging_2401/tillsyn/A 23496-2022 tillsynsbegäran.docx", "A 23496-2022")</f>
        <v/>
      </c>
      <c r="AB43">
        <f>HYPERLINK("https://klasma.github.io/Logging_2401/tillsynsmail/A 23496-2022 tillsynsbegäran mail.docx", "A 23496-2022")</f>
        <v/>
      </c>
      <c r="AC43">
        <f>HYPERLINK("https://klasma.github.io/Logging_2401/fåglar/A 23496-2022 prioriterade fågelarter.docx", "A 23496-2022")</f>
        <v/>
      </c>
    </row>
    <row r="44" ht="15" customHeight="1">
      <c r="A44" t="inlineStr">
        <is>
          <t>A 37546-2023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45158</v>
      </c>
      <c r="E44" s="1" t="n">
        <v>46218</v>
      </c>
      <c r="F44" t="inlineStr">
        <is>
          <t>VÄSTERBOTTENS LÄN</t>
        </is>
      </c>
      <c r="G44" t="inlineStr">
        <is>
          <t>NORDMALING</t>
        </is>
      </c>
      <c r="I44" t="n">
        <v>4.7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HYPERLINK("https://klasma.github.io/Logging_2401/artfynd/A 37546-2023 artfynd.xlsx", "A 37546-2023")</f>
        <v/>
      </c>
      <c r="W44">
        <f>HYPERLINK("https://klasma.github.io/Logging_2401/kartor/A 37546-2023 karta.png", "A 37546-2023")</f>
        <v/>
      </c>
      <c r="Y44">
        <f>HYPERLINK("https://klasma.github.io/Logging_2401/klagomål/A 37546-2023 FSC-klagomål.docx", "A 37546-2023")</f>
        <v/>
      </c>
      <c r="Z44">
        <f>HYPERLINK("https://klasma.github.io/Logging_2401/klagomålsmail/A 37546-2023 FSC-klagomål mail.docx", "A 37546-2023")</f>
        <v/>
      </c>
      <c r="AA44">
        <f>HYPERLINK("https://klasma.github.io/Logging_2401/tillsyn/A 37546-2023 tillsynsbegäran.docx", "A 37546-2023")</f>
        <v/>
      </c>
      <c r="AB44">
        <f>HYPERLINK("https://klasma.github.io/Logging_2401/tillsynsmail/A 37546-2023 tillsynsbegäran mail.docx", "A 37546-2023")</f>
        <v/>
      </c>
    </row>
    <row r="45" ht="15" customHeight="1">
      <c r="A45" t="inlineStr">
        <is>
          <t>A 6993-2024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45343</v>
      </c>
      <c r="E45" s="1" t="n">
        <v>46218</v>
      </c>
      <c r="F45" t="inlineStr">
        <is>
          <t>VÄSTERBOTTENS LÄN</t>
        </is>
      </c>
      <c r="G45" t="inlineStr">
        <is>
          <t>NORDMALING</t>
        </is>
      </c>
      <c r="H45" t="inlineStr">
        <is>
          <t>Kommuner</t>
        </is>
      </c>
      <c r="I45" t="n">
        <v>23.2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Utter</t>
        </is>
      </c>
      <c r="V45">
        <f>HYPERLINK("https://klasma.github.io/Logging_2401/artfynd/A 6993-2024 artfynd.xlsx", "A 6993-2024")</f>
        <v/>
      </c>
      <c r="W45">
        <f>HYPERLINK("https://klasma.github.io/Logging_2401/kartor/A 6993-2024 karta.png", "A 6993-2024")</f>
        <v/>
      </c>
      <c r="Y45">
        <f>HYPERLINK("https://klasma.github.io/Logging_2401/klagomål/A 6993-2024 FSC-klagomål.docx", "A 6993-2024")</f>
        <v/>
      </c>
      <c r="Z45">
        <f>HYPERLINK("https://klasma.github.io/Logging_2401/klagomålsmail/A 6993-2024 FSC-klagomål mail.docx", "A 6993-2024")</f>
        <v/>
      </c>
      <c r="AA45">
        <f>HYPERLINK("https://klasma.github.io/Logging_2401/tillsyn/A 6993-2024 tillsynsbegäran.docx", "A 6993-2024")</f>
        <v/>
      </c>
      <c r="AB45">
        <f>HYPERLINK("https://klasma.github.io/Logging_2401/tillsynsmail/A 6993-2024 tillsynsbegäran mail.docx", "A 6993-2024")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46218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HYPERLINK("https://klasma.github.io/Logging_2401/artfynd/A 43783-2024 artfynd.xlsx", "A 43783-2024")</f>
        <v/>
      </c>
      <c r="W46">
        <f>HYPERLINK("https://klasma.github.io/Logging_2401/kartor/A 43783-2024 karta.png", "A 43783-2024")</f>
        <v/>
      </c>
      <c r="Y46">
        <f>HYPERLINK("https://klasma.github.io/Logging_2401/klagomål/A 43783-2024 FSC-klagomål.docx", "A 43783-2024")</f>
        <v/>
      </c>
      <c r="Z46">
        <f>HYPERLINK("https://klasma.github.io/Logging_2401/klagomålsmail/A 43783-2024 FSC-klagomål mail.docx", "A 43783-2024")</f>
        <v/>
      </c>
      <c r="AA46">
        <f>HYPERLINK("https://klasma.github.io/Logging_2401/tillsyn/A 43783-2024 tillsynsbegäran.docx", "A 43783-2024")</f>
        <v/>
      </c>
      <c r="AB46">
        <f>HYPERLINK("https://klasma.github.io/Logging_2401/tillsynsmail/A 43783-2024 tillsynsbegäran mail.docx", "A 43783-2024")</f>
        <v/>
      </c>
    </row>
    <row r="47" ht="15" customHeight="1">
      <c r="A47" t="inlineStr">
        <is>
          <t>A 35292-2023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46218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Vedskivlav</t>
        </is>
      </c>
      <c r="V47">
        <f>HYPERLINK("https://klasma.github.io/Logging_2401/artfynd/A 35292-2023 artfynd.xlsx", "A 35292-2023")</f>
        <v/>
      </c>
      <c r="W47">
        <f>HYPERLINK("https://klasma.github.io/Logging_2401/kartor/A 35292-2023 karta.png", "A 35292-2023")</f>
        <v/>
      </c>
      <c r="Y47">
        <f>HYPERLINK("https://klasma.github.io/Logging_2401/klagomål/A 35292-2023 FSC-klagomål.docx", "A 35292-2023")</f>
        <v/>
      </c>
      <c r="Z47">
        <f>HYPERLINK("https://klasma.github.io/Logging_2401/klagomålsmail/A 35292-2023 FSC-klagomål mail.docx", "A 35292-2023")</f>
        <v/>
      </c>
      <c r="AA47">
        <f>HYPERLINK("https://klasma.github.io/Logging_2401/tillsyn/A 35292-2023 tillsynsbegäran.docx", "A 35292-2023")</f>
        <v/>
      </c>
      <c r="AB47">
        <f>HYPERLINK("https://klasma.github.io/Logging_2401/tillsynsmail/A 35292-2023 tillsynsbegäran mail.docx", "A 35292-2023")</f>
        <v/>
      </c>
    </row>
    <row r="48" ht="15" customHeight="1">
      <c r="A48" t="inlineStr">
        <is>
          <t>A 72873-2021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44547</v>
      </c>
      <c r="E48" s="1" t="n">
        <v>46218</v>
      </c>
      <c r="F48" t="inlineStr">
        <is>
          <t>VÄSTERBOTTENS LÄN</t>
        </is>
      </c>
      <c r="G48" t="inlineStr">
        <is>
          <t>NORDMALING</t>
        </is>
      </c>
      <c r="I48" t="n">
        <v>0.4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HYPERLINK("https://klasma.github.io/Logging_2401/artfynd/A 72873-2021 artfynd.xlsx", "A 72873-2021")</f>
        <v/>
      </c>
      <c r="W48">
        <f>HYPERLINK("https://klasma.github.io/Logging_2401/kartor/A 72873-2021 karta.png", "A 72873-2021")</f>
        <v/>
      </c>
      <c r="Y48">
        <f>HYPERLINK("https://klasma.github.io/Logging_2401/klagomål/A 72873-2021 FSC-klagomål.docx", "A 72873-2021")</f>
        <v/>
      </c>
      <c r="Z48">
        <f>HYPERLINK("https://klasma.github.io/Logging_2401/klagomålsmail/A 72873-2021 FSC-klagomål mail.docx", "A 72873-2021")</f>
        <v/>
      </c>
      <c r="AA48">
        <f>HYPERLINK("https://klasma.github.io/Logging_2401/tillsyn/A 72873-2021 tillsynsbegäran.docx", "A 72873-2021")</f>
        <v/>
      </c>
      <c r="AB48">
        <f>HYPERLINK("https://klasma.github.io/Logging_2401/tillsynsmail/A 72873-2021 tillsynsbegäran mail.docx", "A 72873-2021")</f>
        <v/>
      </c>
    </row>
    <row r="49" ht="15" customHeight="1">
      <c r="A49" t="inlineStr">
        <is>
          <t>A 48999-2025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46218</v>
      </c>
      <c r="F49" t="inlineStr">
        <is>
          <t>VÄSTERBOTTENS LÄN</t>
        </is>
      </c>
      <c r="G49" t="inlineStr">
        <is>
          <t>NORDMALING</t>
        </is>
      </c>
      <c r="I49" t="n">
        <v>5.1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Lunglav</t>
        </is>
      </c>
      <c r="V49">
        <f>HYPERLINK("https://klasma.github.io/Logging_2401/artfynd/A 48999-2025 artfynd.xlsx", "A 48999-2025")</f>
        <v/>
      </c>
      <c r="W49">
        <f>HYPERLINK("https://klasma.github.io/Logging_2401/kartor/A 48999-2025 karta.png", "A 48999-2025")</f>
        <v/>
      </c>
      <c r="Y49">
        <f>HYPERLINK("https://klasma.github.io/Logging_2401/klagomål/A 48999-2025 FSC-klagomål.docx", "A 48999-2025")</f>
        <v/>
      </c>
      <c r="Z49">
        <f>HYPERLINK("https://klasma.github.io/Logging_2401/klagomålsmail/A 48999-2025 FSC-klagomål mail.docx", "A 48999-2025")</f>
        <v/>
      </c>
      <c r="AA49">
        <f>HYPERLINK("https://klasma.github.io/Logging_2401/tillsyn/A 48999-2025 tillsynsbegäran.docx", "A 48999-2025")</f>
        <v/>
      </c>
      <c r="AB49">
        <f>HYPERLINK("https://klasma.github.io/Logging_2401/tillsynsmail/A 48999-2025 tillsynsbegäran mail.docx", "A 48999-2025")</f>
        <v/>
      </c>
    </row>
    <row r="50" ht="15" customHeight="1">
      <c r="A50" t="inlineStr">
        <is>
          <t>A 5595-2025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45693</v>
      </c>
      <c r="E50" s="1" t="n">
        <v>46218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Havsörn</t>
        </is>
      </c>
      <c r="V50">
        <f>HYPERLINK("https://klasma.github.io/Logging_2401/artfynd/A 5595-2025 artfynd.xlsx", "A 5595-2025")</f>
        <v/>
      </c>
      <c r="W50">
        <f>HYPERLINK("https://klasma.github.io/Logging_2401/kartor/A 5595-2025 karta.png", "A 5595-2025")</f>
        <v/>
      </c>
      <c r="Y50">
        <f>HYPERLINK("https://klasma.github.io/Logging_2401/klagomål/A 5595-2025 FSC-klagomål.docx", "A 5595-2025")</f>
        <v/>
      </c>
      <c r="Z50">
        <f>HYPERLINK("https://klasma.github.io/Logging_2401/klagomålsmail/A 5595-2025 FSC-klagomål mail.docx", "A 5595-2025")</f>
        <v/>
      </c>
      <c r="AA50">
        <f>HYPERLINK("https://klasma.github.io/Logging_2401/tillsyn/A 5595-2025 tillsynsbegäran.docx", "A 5595-2025")</f>
        <v/>
      </c>
      <c r="AB50">
        <f>HYPERLINK("https://klasma.github.io/Logging_2401/tillsynsmail/A 5595-2025 tillsynsbegäran mail.docx", "A 5595-2025")</f>
        <v/>
      </c>
      <c r="AC50">
        <f>HYPERLINK("https://klasma.github.io/Logging_2401/fåglar/A 5595-2025 prioriterade fågelarter.docx", "A 5595-2025")</f>
        <v/>
      </c>
    </row>
    <row r="51" ht="15" customHeight="1">
      <c r="A51" t="inlineStr">
        <is>
          <t>A 54893-2024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46218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Gammelgransskål</t>
        </is>
      </c>
      <c r="V51">
        <f>HYPERLINK("https://klasma.github.io/Logging_2401/artfynd/A 54893-2024 artfynd.xlsx", "A 54893-2024")</f>
        <v/>
      </c>
      <c r="W51">
        <f>HYPERLINK("https://klasma.github.io/Logging_2401/kartor/A 54893-2024 karta.png", "A 54893-2024")</f>
        <v/>
      </c>
      <c r="Y51">
        <f>HYPERLINK("https://klasma.github.io/Logging_2401/klagomål/A 54893-2024 FSC-klagomål.docx", "A 54893-2024")</f>
        <v/>
      </c>
      <c r="Z51">
        <f>HYPERLINK("https://klasma.github.io/Logging_2401/klagomålsmail/A 54893-2024 FSC-klagomål mail.docx", "A 54893-2024")</f>
        <v/>
      </c>
      <c r="AA51">
        <f>HYPERLINK("https://klasma.github.io/Logging_2401/tillsyn/A 54893-2024 tillsynsbegäran.docx", "A 54893-2024")</f>
        <v/>
      </c>
      <c r="AB51">
        <f>HYPERLINK("https://klasma.github.io/Logging_2401/tillsynsmail/A 54893-2024 tillsynsbegäran mail.docx", "A 54893-2024")</f>
        <v/>
      </c>
    </row>
    <row r="52" ht="15" customHeight="1">
      <c r="A52" t="inlineStr">
        <is>
          <t>A 33496-2022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44788</v>
      </c>
      <c r="E52" s="1" t="n">
        <v>46218</v>
      </c>
      <c r="F52" t="inlineStr">
        <is>
          <t>VÄSTERBOTTENS LÄN</t>
        </is>
      </c>
      <c r="G52" t="inlineStr">
        <is>
          <t>NORDMALING</t>
        </is>
      </c>
      <c r="I52" t="n">
        <v>6.5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Buskskvätta</t>
        </is>
      </c>
      <c r="V52">
        <f>HYPERLINK("https://klasma.github.io/Logging_2401/artfynd/A 33496-2022 artfynd.xlsx", "A 33496-2022")</f>
        <v/>
      </c>
      <c r="W52">
        <f>HYPERLINK("https://klasma.github.io/Logging_2401/kartor/A 33496-2022 karta.png", "A 33496-2022")</f>
        <v/>
      </c>
      <c r="Y52">
        <f>HYPERLINK("https://klasma.github.io/Logging_2401/klagomål/A 33496-2022 FSC-klagomål.docx", "A 33496-2022")</f>
        <v/>
      </c>
      <c r="Z52">
        <f>HYPERLINK("https://klasma.github.io/Logging_2401/klagomålsmail/A 33496-2022 FSC-klagomål mail.docx", "A 33496-2022")</f>
        <v/>
      </c>
      <c r="AA52">
        <f>HYPERLINK("https://klasma.github.io/Logging_2401/tillsyn/A 33496-2022 tillsynsbegäran.docx", "A 33496-2022")</f>
        <v/>
      </c>
      <c r="AB52">
        <f>HYPERLINK("https://klasma.github.io/Logging_2401/tillsynsmail/A 33496-2022 tillsynsbegäran mail.docx", "A 33496-2022")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46218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Järpe</t>
        </is>
      </c>
      <c r="V53">
        <f>HYPERLINK("https://klasma.github.io/Logging_2401/artfynd/A 39851-2023 artfynd.xlsx", "A 39851-2023")</f>
        <v/>
      </c>
      <c r="W53">
        <f>HYPERLINK("https://klasma.github.io/Logging_2401/kartor/A 39851-2023 karta.png", "A 39851-2023")</f>
        <v/>
      </c>
      <c r="Y53">
        <f>HYPERLINK("https://klasma.github.io/Logging_2401/klagomål/A 39851-2023 FSC-klagomål.docx", "A 39851-2023")</f>
        <v/>
      </c>
      <c r="Z53">
        <f>HYPERLINK("https://klasma.github.io/Logging_2401/klagomålsmail/A 39851-2023 FSC-klagomål mail.docx", "A 39851-2023")</f>
        <v/>
      </c>
      <c r="AA53">
        <f>HYPERLINK("https://klasma.github.io/Logging_2401/tillsyn/A 39851-2023 tillsynsbegäran.docx", "A 39851-2023")</f>
        <v/>
      </c>
      <c r="AB53">
        <f>HYPERLINK("https://klasma.github.io/Logging_2401/tillsynsmail/A 39851-2023 tillsynsbegäran mail.docx", "A 39851-2023")</f>
        <v/>
      </c>
      <c r="AC53">
        <f>HYPERLINK("https://klasma.github.io/Logging_2401/fåglar/A 39851-2023 prioriterade fågelarter.docx", "A 39851-2023")</f>
        <v/>
      </c>
    </row>
    <row r="54" ht="15" customHeight="1">
      <c r="A54" t="inlineStr">
        <is>
          <t>A 29323-2025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46218</v>
      </c>
      <c r="F54" t="inlineStr">
        <is>
          <t>VÄSTERBOTTENS LÄN</t>
        </is>
      </c>
      <c r="G54" t="inlineStr">
        <is>
          <t>NORDMALING</t>
        </is>
      </c>
      <c r="I54" t="n">
        <v>2.9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Garnlav</t>
        </is>
      </c>
      <c r="V54">
        <f>HYPERLINK("https://klasma.github.io/Logging_2401/artfynd/A 29323-2025 artfynd.xlsx", "A 29323-2025")</f>
        <v/>
      </c>
      <c r="W54">
        <f>HYPERLINK("https://klasma.github.io/Logging_2401/kartor/A 29323-2025 karta.png", "A 29323-2025")</f>
        <v/>
      </c>
      <c r="Y54">
        <f>HYPERLINK("https://klasma.github.io/Logging_2401/klagomål/A 29323-2025 FSC-klagomål.docx", "A 29323-2025")</f>
        <v/>
      </c>
      <c r="Z54">
        <f>HYPERLINK("https://klasma.github.io/Logging_2401/klagomålsmail/A 29323-2025 FSC-klagomål mail.docx", "A 29323-2025")</f>
        <v/>
      </c>
      <c r="AA54">
        <f>HYPERLINK("https://klasma.github.io/Logging_2401/tillsyn/A 29323-2025 tillsynsbegäran.docx", "A 29323-2025")</f>
        <v/>
      </c>
      <c r="AB54">
        <f>HYPERLINK("https://klasma.github.io/Logging_2401/tillsynsmail/A 29323-2025 tillsynsbegäran mail.docx", "A 29323-2025")</f>
        <v/>
      </c>
    </row>
    <row r="55" ht="15" customHeight="1">
      <c r="A55" t="inlineStr">
        <is>
          <t>A 61149-2022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46218</v>
      </c>
      <c r="F55" t="inlineStr">
        <is>
          <t>VÄSTERBOTTENS LÄN</t>
        </is>
      </c>
      <c r="G55" t="inlineStr">
        <is>
          <t>NORDMALING</t>
        </is>
      </c>
      <c r="I55" t="n">
        <v>2.7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Fiskgjuse</t>
        </is>
      </c>
      <c r="V55">
        <f>HYPERLINK("https://klasma.github.io/Logging_2401/artfynd/A 61149-2022 artfynd.xlsx", "A 61149-2022")</f>
        <v/>
      </c>
      <c r="W55">
        <f>HYPERLINK("https://klasma.github.io/Logging_2401/kartor/A 61149-2022 karta.png", "A 61149-2022")</f>
        <v/>
      </c>
      <c r="Y55">
        <f>HYPERLINK("https://klasma.github.io/Logging_2401/klagomål/A 61149-2022 FSC-klagomål.docx", "A 61149-2022")</f>
        <v/>
      </c>
      <c r="Z55">
        <f>HYPERLINK("https://klasma.github.io/Logging_2401/klagomålsmail/A 61149-2022 FSC-klagomål mail.docx", "A 61149-2022")</f>
        <v/>
      </c>
      <c r="AA55">
        <f>HYPERLINK("https://klasma.github.io/Logging_2401/tillsyn/A 61149-2022 tillsynsbegäran.docx", "A 61149-2022")</f>
        <v/>
      </c>
      <c r="AB55">
        <f>HYPERLINK("https://klasma.github.io/Logging_2401/tillsynsmail/A 61149-2022 tillsynsbegäran mail.docx", "A 61149-2022")</f>
        <v/>
      </c>
      <c r="AC55">
        <f>HYPERLINK("https://klasma.github.io/Logging_2401/fåglar/A 61149-2022 prioriterade fågelarter.docx", "A 61149-2022")</f>
        <v/>
      </c>
    </row>
    <row r="56" ht="15" customHeight="1">
      <c r="A56" t="inlineStr">
        <is>
          <t>A 60773-2025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46218</v>
      </c>
      <c r="F56" t="inlineStr">
        <is>
          <t>VÄSTERBOTTENS LÄN</t>
        </is>
      </c>
      <c r="G56" t="inlineStr">
        <is>
          <t>NORDMALING</t>
        </is>
      </c>
      <c r="I56" t="n">
        <v>6.6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Gammelgransskål</t>
        </is>
      </c>
      <c r="V56">
        <f>HYPERLINK("https://klasma.github.io/Logging_2401/artfynd/A 60773-2025 artfynd.xlsx", "A 60773-2025")</f>
        <v/>
      </c>
      <c r="W56">
        <f>HYPERLINK("https://klasma.github.io/Logging_2401/kartor/A 60773-2025 karta.png", "A 60773-2025")</f>
        <v/>
      </c>
      <c r="Y56">
        <f>HYPERLINK("https://klasma.github.io/Logging_2401/klagomål/A 60773-2025 FSC-klagomål.docx", "A 60773-2025")</f>
        <v/>
      </c>
      <c r="Z56">
        <f>HYPERLINK("https://klasma.github.io/Logging_2401/klagomålsmail/A 60773-2025 FSC-klagomål mail.docx", "A 60773-2025")</f>
        <v/>
      </c>
      <c r="AA56">
        <f>HYPERLINK("https://klasma.github.io/Logging_2401/tillsyn/A 60773-2025 tillsynsbegäran.docx", "A 60773-2025")</f>
        <v/>
      </c>
      <c r="AB56">
        <f>HYPERLINK("https://klasma.github.io/Logging_2401/tillsynsmail/A 60773-2025 tillsynsbegäran mail.docx", "A 60773-2025")</f>
        <v/>
      </c>
    </row>
    <row r="57" ht="15" customHeight="1">
      <c r="A57" t="inlineStr">
        <is>
          <t>A 60756-2025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46218</v>
      </c>
      <c r="F57" t="inlineStr">
        <is>
          <t>VÄSTERBOTTENS LÄN</t>
        </is>
      </c>
      <c r="G57" t="inlineStr">
        <is>
          <t>NORDMALING</t>
        </is>
      </c>
      <c r="H57" t="inlineStr">
        <is>
          <t>Holmen skog AB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Motaggsvamp</t>
        </is>
      </c>
      <c r="V57">
        <f>HYPERLINK("https://klasma.github.io/Logging_2401/artfynd/A 60756-2025 artfynd.xlsx", "A 60756-2025")</f>
        <v/>
      </c>
      <c r="W57">
        <f>HYPERLINK("https://klasma.github.io/Logging_2401/kartor/A 60756-2025 karta.png", "A 60756-2025")</f>
        <v/>
      </c>
      <c r="Y57">
        <f>HYPERLINK("https://klasma.github.io/Logging_2401/klagomål/A 60756-2025 FSC-klagomål.docx", "A 60756-2025")</f>
        <v/>
      </c>
      <c r="Z57">
        <f>HYPERLINK("https://klasma.github.io/Logging_2401/klagomålsmail/A 60756-2025 FSC-klagomål mail.docx", "A 60756-2025")</f>
        <v/>
      </c>
      <c r="AA57">
        <f>HYPERLINK("https://klasma.github.io/Logging_2401/tillsyn/A 60756-2025 tillsynsbegäran.docx", "A 60756-2025")</f>
        <v/>
      </c>
      <c r="AB57">
        <f>HYPERLINK("https://klasma.github.io/Logging_2401/tillsynsmail/A 60756-2025 tillsynsbegäran mail.docx", "A 60756-2025")</f>
        <v/>
      </c>
    </row>
    <row r="58" ht="15" customHeight="1">
      <c r="A58" t="inlineStr">
        <is>
          <t>A 61644-2025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46218</v>
      </c>
      <c r="F58" t="inlineStr">
        <is>
          <t>VÄSTERBOTTENS LÄN</t>
        </is>
      </c>
      <c r="G58" t="inlineStr">
        <is>
          <t>NORDMALING</t>
        </is>
      </c>
      <c r="I58" t="n">
        <v>3.2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Pärluggla</t>
        </is>
      </c>
      <c r="V58">
        <f>HYPERLINK("https://klasma.github.io/Logging_2401/artfynd/A 61644-2025 artfynd.xlsx", "A 61644-2025")</f>
        <v/>
      </c>
      <c r="W58">
        <f>HYPERLINK("https://klasma.github.io/Logging_2401/kartor/A 61644-2025 karta.png", "A 61644-2025")</f>
        <v/>
      </c>
      <c r="Y58">
        <f>HYPERLINK("https://klasma.github.io/Logging_2401/klagomål/A 61644-2025 FSC-klagomål.docx", "A 61644-2025")</f>
        <v/>
      </c>
      <c r="Z58">
        <f>HYPERLINK("https://klasma.github.io/Logging_2401/klagomålsmail/A 61644-2025 FSC-klagomål mail.docx", "A 61644-2025")</f>
        <v/>
      </c>
      <c r="AA58">
        <f>HYPERLINK("https://klasma.github.io/Logging_2401/tillsyn/A 61644-2025 tillsynsbegäran.docx", "A 61644-2025")</f>
        <v/>
      </c>
      <c r="AB58">
        <f>HYPERLINK("https://klasma.github.io/Logging_2401/tillsynsmail/A 61644-2025 tillsynsbegäran mail.docx", "A 61644-2025")</f>
        <v/>
      </c>
      <c r="AC58">
        <f>HYPERLINK("https://klasma.github.io/Logging_2401/fåglar/A 61644-2025 prioriterade fågelarter.docx", "A 61644-2025")</f>
        <v/>
      </c>
    </row>
    <row r="59" ht="15" customHeight="1">
      <c r="A59" t="inlineStr">
        <is>
          <t>A 61867-2024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45651</v>
      </c>
      <c r="E59" s="1" t="n">
        <v>46218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Tallticka</t>
        </is>
      </c>
      <c r="V59">
        <f>HYPERLINK("https://klasma.github.io/Logging_2401/artfynd/A 61867-2024 artfynd.xlsx", "A 61867-2024")</f>
        <v/>
      </c>
      <c r="W59">
        <f>HYPERLINK("https://klasma.github.io/Logging_2401/kartor/A 61867-2024 karta.png", "A 61867-2024")</f>
        <v/>
      </c>
      <c r="Y59">
        <f>HYPERLINK("https://klasma.github.io/Logging_2401/klagomål/A 61867-2024 FSC-klagomål.docx", "A 61867-2024")</f>
        <v/>
      </c>
      <c r="Z59">
        <f>HYPERLINK("https://klasma.github.io/Logging_2401/klagomålsmail/A 61867-2024 FSC-klagomål mail.docx", "A 61867-2024")</f>
        <v/>
      </c>
      <c r="AA59">
        <f>HYPERLINK("https://klasma.github.io/Logging_2401/tillsyn/A 61867-2024 tillsynsbegäran.docx", "A 61867-2024")</f>
        <v/>
      </c>
      <c r="AB59">
        <f>HYPERLINK("https://klasma.github.io/Logging_2401/tillsynsmail/A 61867-2024 tillsynsbegäran mail.docx", "A 61867-2024")</f>
        <v/>
      </c>
    </row>
    <row r="60" ht="15" customHeight="1">
      <c r="A60" t="inlineStr">
        <is>
          <t>A 9717-2026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46072</v>
      </c>
      <c r="E60" s="1" t="n">
        <v>46218</v>
      </c>
      <c r="F60" t="inlineStr">
        <is>
          <t>VÄSTERBOTTENS LÄN</t>
        </is>
      </c>
      <c r="G60" t="inlineStr">
        <is>
          <t>NORDMALING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Ullticka</t>
        </is>
      </c>
      <c r="V60">
        <f>HYPERLINK("https://klasma.github.io/Logging_2401/artfynd/A 9717-2026 artfynd.xlsx", "A 9717-2026")</f>
        <v/>
      </c>
      <c r="W60">
        <f>HYPERLINK("https://klasma.github.io/Logging_2401/kartor/A 9717-2026 karta.png", "A 9717-2026")</f>
        <v/>
      </c>
      <c r="Y60">
        <f>HYPERLINK("https://klasma.github.io/Logging_2401/klagomål/A 9717-2026 FSC-klagomål.docx", "A 9717-2026")</f>
        <v/>
      </c>
      <c r="Z60">
        <f>HYPERLINK("https://klasma.github.io/Logging_2401/klagomålsmail/A 9717-2026 FSC-klagomål mail.docx", "A 9717-2026")</f>
        <v/>
      </c>
      <c r="AA60">
        <f>HYPERLINK("https://klasma.github.io/Logging_2401/tillsyn/A 9717-2026 tillsynsbegäran.docx", "A 9717-2026")</f>
        <v/>
      </c>
      <c r="AB60">
        <f>HYPERLINK("https://klasma.github.io/Logging_2401/tillsynsmail/A 9717-2026 tillsynsbegäran mail.docx", "A 9717-2026")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46218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Lunglav</t>
        </is>
      </c>
      <c r="V61">
        <f>HYPERLINK("https://klasma.github.io/Logging_2401/artfynd/A 30921-2026 artfynd.xlsx", "A 30921-2026")</f>
        <v/>
      </c>
      <c r="W61">
        <f>HYPERLINK("https://klasma.github.io/Logging_2401/kartor/A 30921-2026 karta.png", "A 30921-2026")</f>
        <v/>
      </c>
      <c r="Y61">
        <f>HYPERLINK("https://klasma.github.io/Logging_2401/klagomål/A 30921-2026 FSC-klagomål.docx", "A 30921-2026")</f>
        <v/>
      </c>
      <c r="Z61">
        <f>HYPERLINK("https://klasma.github.io/Logging_2401/klagomålsmail/A 30921-2026 FSC-klagomål mail.docx", "A 30921-2026")</f>
        <v/>
      </c>
      <c r="AA61">
        <f>HYPERLINK("https://klasma.github.io/Logging_2401/tillsyn/A 30921-2026 tillsynsbegäran.docx", "A 30921-2026")</f>
        <v/>
      </c>
      <c r="AB61">
        <f>HYPERLINK("https://klasma.github.io/Logging_2401/tillsynsmail/A 30921-2026 tillsynsbegäran mail.docx", "A 30921-2026")</f>
        <v/>
      </c>
    </row>
    <row r="62" ht="15" customHeight="1">
      <c r="A62" t="inlineStr">
        <is>
          <t>A 18897-2026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46218</v>
      </c>
      <c r="F62" t="inlineStr">
        <is>
          <t>VÄSTERBOTTENS LÄN</t>
        </is>
      </c>
      <c r="G62" t="inlineStr">
        <is>
          <t>NORDMALING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Trana</t>
        </is>
      </c>
      <c r="V62">
        <f>HYPERLINK("https://klasma.github.io/Logging_2401/artfynd/A 18897-2026 artfynd.xlsx", "A 18897-2026")</f>
        <v/>
      </c>
      <c r="W62">
        <f>HYPERLINK("https://klasma.github.io/Logging_2401/kartor/A 18897-2026 karta.png", "A 18897-2026")</f>
        <v/>
      </c>
      <c r="Y62">
        <f>HYPERLINK("https://klasma.github.io/Logging_2401/klagomål/A 18897-2026 FSC-klagomål.docx", "A 18897-2026")</f>
        <v/>
      </c>
      <c r="Z62">
        <f>HYPERLINK("https://klasma.github.io/Logging_2401/klagomålsmail/A 18897-2026 FSC-klagomål mail.docx", "A 18897-2026")</f>
        <v/>
      </c>
      <c r="AA62">
        <f>HYPERLINK("https://klasma.github.io/Logging_2401/tillsyn/A 18897-2026 tillsynsbegäran.docx", "A 18897-2026")</f>
        <v/>
      </c>
      <c r="AB62">
        <f>HYPERLINK("https://klasma.github.io/Logging_2401/tillsynsmail/A 18897-2026 tillsynsbegäran mail.docx", "A 18897-2026")</f>
        <v/>
      </c>
      <c r="AC62">
        <f>HYPERLINK("https://klasma.github.io/Logging_2401/fåglar/A 18897-2026 prioriterade fågelarter.docx", "A 18897-2026")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46218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46218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46218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46218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46218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46218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46218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46218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46218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46218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46218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46218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46218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51356-2022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44866</v>
      </c>
      <c r="E76" s="1" t="n">
        <v>46218</v>
      </c>
      <c r="F76" t="inlineStr">
        <is>
          <t>VÄSTERBOTTENS LÄN</t>
        </is>
      </c>
      <c r="G76" t="inlineStr">
        <is>
          <t>NORDMALING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46218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51008-2022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44867</v>
      </c>
      <c r="E78" s="1" t="n">
        <v>46218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46218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46218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46218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46218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46218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46218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46218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58034-2021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46218</v>
      </c>
      <c r="F86" t="inlineStr">
        <is>
          <t>VÄSTERBOTTENS LÄN</t>
        </is>
      </c>
      <c r="G86" t="inlineStr">
        <is>
          <t>NORDMALING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14207-2022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44651</v>
      </c>
      <c r="E87" s="1" t="n">
        <v>46218</v>
      </c>
      <c r="F87" t="inlineStr">
        <is>
          <t>VÄSTERBOTTENS LÄN</t>
        </is>
      </c>
      <c r="G87" t="inlineStr">
        <is>
          <t>NORDMALING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46218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46218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46218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46218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46218</v>
      </c>
      <c r="F92" t="inlineStr">
        <is>
          <t>VÄSTERBOTTENS LÄN</t>
        </is>
      </c>
      <c r="G92" t="inlineStr">
        <is>
          <t>NORDMALING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42905-2022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44832</v>
      </c>
      <c r="E93" s="1" t="n">
        <v>46218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46218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46218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48949-2022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44859</v>
      </c>
      <c r="E96" s="1" t="n">
        <v>46218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37901-2021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44403</v>
      </c>
      <c r="E97" s="1" t="n">
        <v>46218</v>
      </c>
      <c r="F97" t="inlineStr">
        <is>
          <t>VÄSTERBOTTENS LÄN</t>
        </is>
      </c>
      <c r="G97" t="inlineStr">
        <is>
          <t>NORDMALING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46205-2021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44441</v>
      </c>
      <c r="E98" s="1" t="n">
        <v>46218</v>
      </c>
      <c r="F98" t="inlineStr">
        <is>
          <t>VÄSTERBOTTENS LÄN</t>
        </is>
      </c>
      <c r="G98" t="inlineStr">
        <is>
          <t>NORDMALING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46218</v>
      </c>
      <c r="F99" t="inlineStr">
        <is>
          <t>VÄSTERBOTTENS LÄN</t>
        </is>
      </c>
      <c r="G99" t="inlineStr">
        <is>
          <t>NORDMALING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46218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51323-2022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46218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46218</v>
      </c>
      <c r="F102" t="inlineStr">
        <is>
          <t>VÄSTERBOTTENS LÄN</t>
        </is>
      </c>
      <c r="G102" t="inlineStr">
        <is>
          <t>NORDMALING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46218</v>
      </c>
      <c r="F103" t="inlineStr">
        <is>
          <t>VÄSTERBOTTENS LÄN</t>
        </is>
      </c>
      <c r="G103" t="inlineStr">
        <is>
          <t>NORDMALING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49525-2022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44861</v>
      </c>
      <c r="E104" s="1" t="n">
        <v>46218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21622-2023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46218</v>
      </c>
      <c r="F105" t="inlineStr">
        <is>
          <t>VÄSTERBOTTENS LÄN</t>
        </is>
      </c>
      <c r="G105" t="inlineStr">
        <is>
          <t>NORDMALING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39816-2023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46218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44968</v>
      </c>
      <c r="E107" s="1" t="n">
        <v>46218</v>
      </c>
      <c r="F107" t="inlineStr">
        <is>
          <t>VÄSTERBOTTENS LÄN</t>
        </is>
      </c>
      <c r="G107" t="inlineStr">
        <is>
          <t>NORDMALING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30009-2022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46218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22618-2024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45447</v>
      </c>
      <c r="E109" s="1" t="n">
        <v>46218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Holmen skog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9993-2022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46218</v>
      </c>
      <c r="F110" t="inlineStr">
        <is>
          <t>VÄSTERBOTTENS LÄN</t>
        </is>
      </c>
      <c r="G110" t="inlineStr">
        <is>
          <t>NORDMALING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54872-2021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46218</v>
      </c>
      <c r="F111" t="inlineStr">
        <is>
          <t>VÄSTERBOTTENS LÄN</t>
        </is>
      </c>
      <c r="G111" t="inlineStr">
        <is>
          <t>NORDMALING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62159-2022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46218</v>
      </c>
      <c r="F112" t="inlineStr">
        <is>
          <t>VÄSTERBOTTENS LÄN</t>
        </is>
      </c>
      <c r="G112" t="inlineStr">
        <is>
          <t>NORDMALING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27370-2023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46218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34480-2024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46218</v>
      </c>
      <c r="F114" t="inlineStr">
        <is>
          <t>VÄSTERBOTTENS LÄN</t>
        </is>
      </c>
      <c r="G114" t="inlineStr">
        <is>
          <t>NORDMALING</t>
        </is>
      </c>
      <c r="I114" t="n">
        <v>12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34252-2024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46218</v>
      </c>
      <c r="F115" t="inlineStr">
        <is>
          <t>VÄSTERBOTTENS LÄN</t>
        </is>
      </c>
      <c r="G115" t="inlineStr">
        <is>
          <t>NORDMALING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45664</v>
      </c>
      <c r="E116" s="1" t="n">
        <v>46218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41025-2023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46218</v>
      </c>
      <c r="F117" t="inlineStr">
        <is>
          <t>VÄSTERBOTTENS LÄN</t>
        </is>
      </c>
      <c r="G117" t="inlineStr">
        <is>
          <t>NORDMALING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46218</v>
      </c>
      <c r="F118" t="inlineStr">
        <is>
          <t>VÄSTERBOTTENS LÄN</t>
        </is>
      </c>
      <c r="G118" t="inlineStr">
        <is>
          <t>NORDMALING</t>
        </is>
      </c>
      <c r="I118" t="n">
        <v>20.1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13506-2025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46218</v>
      </c>
      <c r="F119" t="inlineStr">
        <is>
          <t>VÄSTERBOTTENS LÄN</t>
        </is>
      </c>
      <c r="G119" t="inlineStr">
        <is>
          <t>NORDMALING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34901-2023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46218</v>
      </c>
      <c r="F120" t="inlineStr">
        <is>
          <t>VÄSTERBOTTENS LÄN</t>
        </is>
      </c>
      <c r="G120" t="inlineStr">
        <is>
          <t>NORDMALING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48932-2023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46218</v>
      </c>
      <c r="F121" t="inlineStr">
        <is>
          <t>VÄSTERBOTTENS LÄN</t>
        </is>
      </c>
      <c r="G121" t="inlineStr">
        <is>
          <t>NORDMALING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18639-2022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44687</v>
      </c>
      <c r="E122" s="1" t="n">
        <v>46218</v>
      </c>
      <c r="F122" t="inlineStr">
        <is>
          <t>VÄSTERBOTTENS LÄN</t>
        </is>
      </c>
      <c r="G122" t="inlineStr">
        <is>
          <t>NORDMALING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42320-2024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45562</v>
      </c>
      <c r="E123" s="1" t="n">
        <v>46218</v>
      </c>
      <c r="F123" t="inlineStr">
        <is>
          <t>VÄSTERBOTTENS LÄN</t>
        </is>
      </c>
      <c r="G123" t="inlineStr">
        <is>
          <t>NORDMALING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46218</v>
      </c>
      <c r="F124" t="inlineStr">
        <is>
          <t>VÄSTERBOTTENS LÄN</t>
        </is>
      </c>
      <c r="G124" t="inlineStr">
        <is>
          <t>NORDMALING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34184-2023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45126</v>
      </c>
      <c r="E125" s="1" t="n">
        <v>46218</v>
      </c>
      <c r="F125" t="inlineStr">
        <is>
          <t>VÄSTERBOTTENS LÄN</t>
        </is>
      </c>
      <c r="G125" t="inlineStr">
        <is>
          <t>NORDMALING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40053-2021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44418</v>
      </c>
      <c r="E126" s="1" t="n">
        <v>46218</v>
      </c>
      <c r="F126" t="inlineStr">
        <is>
          <t>VÄSTERBOTTENS LÄN</t>
        </is>
      </c>
      <c r="G126" t="inlineStr">
        <is>
          <t>NORDMALING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72841-2021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44547</v>
      </c>
      <c r="E127" s="1" t="n">
        <v>46218</v>
      </c>
      <c r="F127" t="inlineStr">
        <is>
          <t>VÄSTERBOTTENS LÄN</t>
        </is>
      </c>
      <c r="G127" t="inlineStr">
        <is>
          <t>NORDMALING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46218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59913-2022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46218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48946-2023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46218</v>
      </c>
      <c r="F130" t="inlineStr">
        <is>
          <t>VÄSTERBOTTENS LÄN</t>
        </is>
      </c>
      <c r="G130" t="inlineStr">
        <is>
          <t>NORDMALING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19516-2025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45770</v>
      </c>
      <c r="E131" s="1" t="n">
        <v>46218</v>
      </c>
      <c r="F131" t="inlineStr">
        <is>
          <t>VÄSTERBOTTENS LÄN</t>
        </is>
      </c>
      <c r="G131" t="inlineStr">
        <is>
          <t>NORDMALING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46218</v>
      </c>
      <c r="F132" t="inlineStr">
        <is>
          <t>VÄSTERBOTTENS LÄN</t>
        </is>
      </c>
      <c r="G132" t="inlineStr">
        <is>
          <t>NORDMALING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72018-2021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46218</v>
      </c>
      <c r="F133" t="inlineStr">
        <is>
          <t>VÄSTERBOTTENS LÄN</t>
        </is>
      </c>
      <c r="G133" t="inlineStr">
        <is>
          <t>NORDMALING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39874-2025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46218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46218</v>
      </c>
      <c r="F135" t="inlineStr">
        <is>
          <t>VÄSTERBOTTENS LÄN</t>
        </is>
      </c>
      <c r="G135" t="inlineStr">
        <is>
          <t>NORDMALING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25349-2024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46218</v>
      </c>
      <c r="F136" t="inlineStr">
        <is>
          <t>VÄSTERBOTTENS LÄN</t>
        </is>
      </c>
      <c r="G136" t="inlineStr">
        <is>
          <t>NORDMALING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34904-2023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45141</v>
      </c>
      <c r="E137" s="1" t="n">
        <v>46218</v>
      </c>
      <c r="F137" t="inlineStr">
        <is>
          <t>VÄSTERBOTTENS LÄN</t>
        </is>
      </c>
      <c r="G137" t="inlineStr">
        <is>
          <t>NORDMALING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57388-2023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46218</v>
      </c>
      <c r="F138" t="inlineStr">
        <is>
          <t>VÄSTERBOTTENS LÄN</t>
        </is>
      </c>
      <c r="G138" t="inlineStr">
        <is>
          <t>NORDMALING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20133-2023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46218</v>
      </c>
      <c r="F139" t="inlineStr">
        <is>
          <t>VÄSTERBOTTENS LÄN</t>
        </is>
      </c>
      <c r="G139" t="inlineStr">
        <is>
          <t>NORDMALING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45665</v>
      </c>
      <c r="E140" s="1" t="n">
        <v>46218</v>
      </c>
      <c r="F140" t="inlineStr">
        <is>
          <t>VÄSTERBOTTENS LÄN</t>
        </is>
      </c>
      <c r="G140" t="inlineStr">
        <is>
          <t>NORDMALING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24010-2022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46218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40062-2025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45894</v>
      </c>
      <c r="E142" s="1" t="n">
        <v>46218</v>
      </c>
      <c r="F142" t="inlineStr">
        <is>
          <t>VÄSTERBOTTENS LÄN</t>
        </is>
      </c>
      <c r="G142" t="inlineStr">
        <is>
          <t>NORDMALING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24037-2025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46218</v>
      </c>
      <c r="F143" t="inlineStr">
        <is>
          <t>VÄSTERBOTTENS LÄN</t>
        </is>
      </c>
      <c r="G143" t="inlineStr">
        <is>
          <t>NORDMALING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40608-2025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46218</v>
      </c>
      <c r="F144" t="inlineStr">
        <is>
          <t>VÄSTERBOTTENS LÄN</t>
        </is>
      </c>
      <c r="G144" t="inlineStr">
        <is>
          <t>NORDMALING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8759-2025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45712</v>
      </c>
      <c r="E145" s="1" t="n">
        <v>46218</v>
      </c>
      <c r="F145" t="inlineStr">
        <is>
          <t>VÄSTERBOTTENS LÄN</t>
        </is>
      </c>
      <c r="G145" t="inlineStr">
        <is>
          <t>NORDMALING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41573-2025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46218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41364-2025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45900</v>
      </c>
      <c r="E147" s="1" t="n">
        <v>46218</v>
      </c>
      <c r="F147" t="inlineStr">
        <is>
          <t>VÄSTERBOTTENS LÄN</t>
        </is>
      </c>
      <c r="G147" t="inlineStr">
        <is>
          <t>NORDMALING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9015-2025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46218</v>
      </c>
      <c r="F148" t="inlineStr">
        <is>
          <t>VÄSTERBOTTENS LÄN</t>
        </is>
      </c>
      <c r="G148" t="inlineStr">
        <is>
          <t>NORDMALING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32312-2025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46218</v>
      </c>
      <c r="F149" t="inlineStr">
        <is>
          <t>VÄSTERBOTTENS LÄN</t>
        </is>
      </c>
      <c r="G149" t="inlineStr">
        <is>
          <t>NORDMALING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41365-2025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45900</v>
      </c>
      <c r="E150" s="1" t="n">
        <v>46218</v>
      </c>
      <c r="F150" t="inlineStr">
        <is>
          <t>VÄSTERBOTTENS LÄN</t>
        </is>
      </c>
      <c r="G150" t="inlineStr">
        <is>
          <t>NORDMALING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7618-2024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46218</v>
      </c>
      <c r="F151" t="inlineStr">
        <is>
          <t>VÄSTERBOTTENS LÄN</t>
        </is>
      </c>
      <c r="G151" t="inlineStr">
        <is>
          <t>NORDMALING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27372-2023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46218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6974-2024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46218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Kommuner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47777-2022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44854</v>
      </c>
      <c r="E154" s="1" t="n">
        <v>46218</v>
      </c>
      <c r="F154" t="inlineStr">
        <is>
          <t>VÄSTERBOTTENS LÄN</t>
        </is>
      </c>
      <c r="G154" t="inlineStr">
        <is>
          <t>NORDMALING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34485-2023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46218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43541-2024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46218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41131-2025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46218</v>
      </c>
      <c r="F157" t="inlineStr">
        <is>
          <t>VÄSTERBOTTENS LÄN</t>
        </is>
      </c>
      <c r="G157" t="inlineStr">
        <is>
          <t>NORDMALING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49417-2022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46218</v>
      </c>
      <c r="F158" t="inlineStr">
        <is>
          <t>VÄSTERBOTTENS LÄN</t>
        </is>
      </c>
      <c r="G158" t="inlineStr">
        <is>
          <t>NORDMALING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11053-2023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46218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37548-2023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45158</v>
      </c>
      <c r="E160" s="1" t="n">
        <v>46218</v>
      </c>
      <c r="F160" t="inlineStr">
        <is>
          <t>VÄSTERBOTTENS LÄN</t>
        </is>
      </c>
      <c r="G160" t="inlineStr">
        <is>
          <t>NORDMALING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42054-2025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46218</v>
      </c>
      <c r="F161" t="inlineStr">
        <is>
          <t>VÄSTERBOTTENS LÄN</t>
        </is>
      </c>
      <c r="G161" t="inlineStr">
        <is>
          <t>NORDMALING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56277-2023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45241</v>
      </c>
      <c r="E162" s="1" t="n">
        <v>46218</v>
      </c>
      <c r="F162" t="inlineStr">
        <is>
          <t>VÄSTERBOTTENS LÄN</t>
        </is>
      </c>
      <c r="G162" t="inlineStr">
        <is>
          <t>NORDMALING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35650-2023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46218</v>
      </c>
      <c r="F163" t="inlineStr">
        <is>
          <t>VÄSTERBOTTENS LÄN</t>
        </is>
      </c>
      <c r="G163" t="inlineStr">
        <is>
          <t>NORDMALING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55198-2022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44886</v>
      </c>
      <c r="E164" s="1" t="n">
        <v>46218</v>
      </c>
      <c r="F164" t="inlineStr">
        <is>
          <t>VÄSTERBOTTENS LÄN</t>
        </is>
      </c>
      <c r="G164" t="inlineStr">
        <is>
          <t>NORDMALING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14689-2025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45742</v>
      </c>
      <c r="E165" s="1" t="n">
        <v>46218</v>
      </c>
      <c r="F165" t="inlineStr">
        <is>
          <t>VÄSTERBOTTENS LÄN</t>
        </is>
      </c>
      <c r="G165" t="inlineStr">
        <is>
          <t>NORDMALING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21862-2024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46218</v>
      </c>
      <c r="F166" t="inlineStr">
        <is>
          <t>VÄSTERBOTTENS LÄN</t>
        </is>
      </c>
      <c r="G166" t="inlineStr">
        <is>
          <t>NORDMALING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16455-2024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46218</v>
      </c>
      <c r="F167" t="inlineStr">
        <is>
          <t>VÄSTERBOTTENS LÄN</t>
        </is>
      </c>
      <c r="G167" t="inlineStr">
        <is>
          <t>NORDMALING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62119-2022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44921</v>
      </c>
      <c r="E168" s="1" t="n">
        <v>46218</v>
      </c>
      <c r="F168" t="inlineStr">
        <is>
          <t>VÄSTERBOTTENS LÄN</t>
        </is>
      </c>
      <c r="G168" t="inlineStr">
        <is>
          <t>NORDMALING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45061-2024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46218</v>
      </c>
      <c r="F169" t="inlineStr">
        <is>
          <t>VÄSTERBOTTENS LÄN</t>
        </is>
      </c>
      <c r="G169" t="inlineStr">
        <is>
          <t>NORDMALING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44834</v>
      </c>
      <c r="E170" s="1" t="n">
        <v>46218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Holmen skog AB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46218</v>
      </c>
      <c r="F171" t="inlineStr">
        <is>
          <t>VÄSTERBOTTENS LÄN</t>
        </is>
      </c>
      <c r="G171" t="inlineStr">
        <is>
          <t>NORDMALING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44735</v>
      </c>
      <c r="E172" s="1" t="n">
        <v>46218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59486-2024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46218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32183-2023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45119</v>
      </c>
      <c r="E174" s="1" t="n">
        <v>46218</v>
      </c>
      <c r="F174" t="inlineStr">
        <is>
          <t>VÄSTERBOTTENS LÄN</t>
        </is>
      </c>
      <c r="G174" t="inlineStr">
        <is>
          <t>NORDMALING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36429-2024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45536</v>
      </c>
      <c r="E175" s="1" t="n">
        <v>46218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15756-2023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46218</v>
      </c>
      <c r="F176" t="inlineStr">
        <is>
          <t>VÄSTERBOTTENS LÄN</t>
        </is>
      </c>
      <c r="G176" t="inlineStr">
        <is>
          <t>NORDMALING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21863-2024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46218</v>
      </c>
      <c r="F177" t="inlineStr">
        <is>
          <t>VÄSTERBOTTENS LÄN</t>
        </is>
      </c>
      <c r="G177" t="inlineStr">
        <is>
          <t>NORDMALING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46218</v>
      </c>
      <c r="F178" t="inlineStr">
        <is>
          <t>VÄSTERBOTTENS LÄN</t>
        </is>
      </c>
      <c r="G178" t="inlineStr">
        <is>
          <t>NORDMALING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30183-2024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45489</v>
      </c>
      <c r="E179" s="1" t="n">
        <v>46218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43538-2025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46218</v>
      </c>
      <c r="F180" t="inlineStr">
        <is>
          <t>VÄSTERBOTTENS LÄN</t>
        </is>
      </c>
      <c r="G180" t="inlineStr">
        <is>
          <t>NORDMALING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17496-2023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46218</v>
      </c>
      <c r="F181" t="inlineStr">
        <is>
          <t>VÄSTERBOTTENS LÄN</t>
        </is>
      </c>
      <c r="G181" t="inlineStr">
        <is>
          <t>NORDMALING</t>
        </is>
      </c>
      <c r="I181" t="n">
        <v>13.1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43940-2025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46218</v>
      </c>
      <c r="F182" t="inlineStr">
        <is>
          <t>VÄSTERBOTTENS LÄN</t>
        </is>
      </c>
      <c r="G182" t="inlineStr">
        <is>
          <t>NORDMALING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42823-2024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45566</v>
      </c>
      <c r="E183" s="1" t="n">
        <v>46218</v>
      </c>
      <c r="F183" t="inlineStr">
        <is>
          <t>VÄSTERBOTTENS LÄN</t>
        </is>
      </c>
      <c r="G183" t="inlineStr">
        <is>
          <t>NORDMALING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46218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46218</v>
      </c>
      <c r="F185" t="inlineStr">
        <is>
          <t>VÄSTERBOTTENS LÄN</t>
        </is>
      </c>
      <c r="G185" t="inlineStr">
        <is>
          <t>NORDMALING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38274-2022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46218</v>
      </c>
      <c r="F186" t="inlineStr">
        <is>
          <t>VÄSTERBOTTENS LÄN</t>
        </is>
      </c>
      <c r="G186" t="inlineStr">
        <is>
          <t>NORDMALING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58480-2023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46218</v>
      </c>
      <c r="F187" t="inlineStr">
        <is>
          <t>VÄSTERBOTTENS LÄN</t>
        </is>
      </c>
      <c r="G187" t="inlineStr">
        <is>
          <t>NORDMALING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69519-2021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46218</v>
      </c>
      <c r="F188" t="inlineStr">
        <is>
          <t>VÄSTERBOTTENS LÄN</t>
        </is>
      </c>
      <c r="G188" t="inlineStr">
        <is>
          <t>NORDMALING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34894-2023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45141</v>
      </c>
      <c r="E189" s="1" t="n">
        <v>46218</v>
      </c>
      <c r="F189" t="inlineStr">
        <is>
          <t>VÄSTERBOTTENS LÄN</t>
        </is>
      </c>
      <c r="G189" t="inlineStr">
        <is>
          <t>NORDMALING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46218</v>
      </c>
      <c r="F190" t="inlineStr">
        <is>
          <t>VÄSTERBOTTENS LÄN</t>
        </is>
      </c>
      <c r="G190" t="inlineStr">
        <is>
          <t>NORDMALING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46218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34176-2023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46218</v>
      </c>
      <c r="F192" t="inlineStr">
        <is>
          <t>VÄSTERBOTTENS LÄN</t>
        </is>
      </c>
      <c r="G192" t="inlineStr">
        <is>
          <t>NORDMALING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17502-2025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46218</v>
      </c>
      <c r="F193" t="inlineStr">
        <is>
          <t>VÄSTERBOTTENS LÄN</t>
        </is>
      </c>
      <c r="G193" t="inlineStr">
        <is>
          <t>NORDMALING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21079-2024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46218</v>
      </c>
      <c r="F194" t="inlineStr">
        <is>
          <t>VÄSTERBOTTENS LÄN</t>
        </is>
      </c>
      <c r="G194" t="inlineStr">
        <is>
          <t>NORDMALING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61795-2023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45265</v>
      </c>
      <c r="E195" s="1" t="n">
        <v>46218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19581-2024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46218</v>
      </c>
      <c r="F196" t="inlineStr">
        <is>
          <t>VÄSTERBOTTENS LÄN</t>
        </is>
      </c>
      <c r="G196" t="inlineStr">
        <is>
          <t>NORDMALING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44774-2025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46218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46218</v>
      </c>
      <c r="F198" t="inlineStr">
        <is>
          <t>VÄSTERBOTTENS LÄN</t>
        </is>
      </c>
      <c r="G198" t="inlineStr">
        <is>
          <t>NORDMALING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45326-2025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46218</v>
      </c>
      <c r="F199" t="inlineStr">
        <is>
          <t>VÄSTERBOTTENS LÄN</t>
        </is>
      </c>
      <c r="G199" t="inlineStr">
        <is>
          <t>NORDMALING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45678-2025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46218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46876-2025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46218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46878-2025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46218</v>
      </c>
      <c r="F202" t="inlineStr">
        <is>
          <t>VÄSTERBOTTENS LÄN</t>
        </is>
      </c>
      <c r="G202" t="inlineStr">
        <is>
          <t>NORDMALING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26627-2024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46218</v>
      </c>
      <c r="F203" t="inlineStr">
        <is>
          <t>VÄSTERBOTTENS LÄN</t>
        </is>
      </c>
      <c r="G203" t="inlineStr">
        <is>
          <t>NORDMALING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61793-2023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45265</v>
      </c>
      <c r="E204" s="1" t="n">
        <v>46218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28443-2023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45102</v>
      </c>
      <c r="E205" s="1" t="n">
        <v>46218</v>
      </c>
      <c r="F205" t="inlineStr">
        <is>
          <t>VÄSTERBOTTENS LÄN</t>
        </is>
      </c>
      <c r="G205" t="inlineStr">
        <is>
          <t>NORDMALING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46218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39104-2022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46218</v>
      </c>
      <c r="F207" t="inlineStr">
        <is>
          <t>VÄSTERBOTTENS LÄN</t>
        </is>
      </c>
      <c r="G207" t="inlineStr">
        <is>
          <t>NORDMALING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46548-2025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46218</v>
      </c>
      <c r="F208" t="inlineStr">
        <is>
          <t>VÄSTERBOTTENS LÄN</t>
        </is>
      </c>
      <c r="G208" t="inlineStr">
        <is>
          <t>NORDMALING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46877-2025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46218</v>
      </c>
      <c r="F209" t="inlineStr">
        <is>
          <t>VÄSTERBOTTENS LÄN</t>
        </is>
      </c>
      <c r="G209" t="inlineStr">
        <is>
          <t>NORDMALING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55634-2023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45238</v>
      </c>
      <c r="E210" s="1" t="n">
        <v>46218</v>
      </c>
      <c r="F210" t="inlineStr">
        <is>
          <t>VÄSTERBOTTENS LÄN</t>
        </is>
      </c>
      <c r="G210" t="inlineStr">
        <is>
          <t>NORDMALING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9860-2022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44620</v>
      </c>
      <c r="E211" s="1" t="n">
        <v>46218</v>
      </c>
      <c r="F211" t="inlineStr">
        <is>
          <t>VÄSTERBOTTENS LÄN</t>
        </is>
      </c>
      <c r="G211" t="inlineStr">
        <is>
          <t>NORDMALING</t>
        </is>
      </c>
      <c r="I211" t="n">
        <v>82.40000000000001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19029-2025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46218</v>
      </c>
      <c r="F212" t="inlineStr">
        <is>
          <t>VÄSTERBOTTENS LÄN</t>
        </is>
      </c>
      <c r="G212" t="inlineStr">
        <is>
          <t>NORDMALING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19038-2025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46218</v>
      </c>
      <c r="F213" t="inlineStr">
        <is>
          <t>VÄSTERBOTTENS LÄN</t>
        </is>
      </c>
      <c r="G213" t="inlineStr">
        <is>
          <t>NORDMALING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18232-2024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45420</v>
      </c>
      <c r="E214" s="1" t="n">
        <v>46218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46218</v>
      </c>
      <c r="F215" t="inlineStr">
        <is>
          <t>VÄSTERBOTTENS LÄN</t>
        </is>
      </c>
      <c r="G215" t="inlineStr">
        <is>
          <t>NORDMALING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43651-2023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45187</v>
      </c>
      <c r="E216" s="1" t="n">
        <v>46218</v>
      </c>
      <c r="F216" t="inlineStr">
        <is>
          <t>VÄSTERBOTTENS LÄN</t>
        </is>
      </c>
      <c r="G216" t="inlineStr">
        <is>
          <t>NORDMALING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55740-2023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46218</v>
      </c>
      <c r="F217" t="inlineStr">
        <is>
          <t>VÄSTERBOTTENS LÄN</t>
        </is>
      </c>
      <c r="G217" t="inlineStr">
        <is>
          <t>NORDMALING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46218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7007-2024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45343</v>
      </c>
      <c r="E219" s="1" t="n">
        <v>46218</v>
      </c>
      <c r="F219" t="inlineStr">
        <is>
          <t>VÄSTERBOTTENS LÄN</t>
        </is>
      </c>
      <c r="G219" t="inlineStr">
        <is>
          <t>NORDMALING</t>
        </is>
      </c>
      <c r="H219" t="inlineStr">
        <is>
          <t>Kommuner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30715-2022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44763</v>
      </c>
      <c r="E220" s="1" t="n">
        <v>46218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57590-2022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46218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30439-2024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45491</v>
      </c>
      <c r="E222" s="1" t="n">
        <v>46218</v>
      </c>
      <c r="F222" t="inlineStr">
        <is>
          <t>VÄSTERBOTTENS LÄN</t>
        </is>
      </c>
      <c r="G222" t="inlineStr">
        <is>
          <t>NORDMALING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34685-2023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46218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50520-2023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46218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55305-2023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46218</v>
      </c>
      <c r="F225" t="inlineStr">
        <is>
          <t>VÄSTERBOTTENS LÄN</t>
        </is>
      </c>
      <c r="G225" t="inlineStr">
        <is>
          <t>NORDMALING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35291-2023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45145</v>
      </c>
      <c r="E226" s="1" t="n">
        <v>46218</v>
      </c>
      <c r="F226" t="inlineStr">
        <is>
          <t>VÄSTERBOTTENS LÄN</t>
        </is>
      </c>
      <c r="G226" t="inlineStr">
        <is>
          <t>NORDMALING</t>
        </is>
      </c>
      <c r="H226" t="inlineStr">
        <is>
          <t>SCA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8484-2023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46218</v>
      </c>
      <c r="F227" t="inlineStr">
        <is>
          <t>VÄSTERBOTTENS LÄN</t>
        </is>
      </c>
      <c r="G227" t="inlineStr">
        <is>
          <t>NORDMALING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46218</v>
      </c>
      <c r="F228" t="inlineStr">
        <is>
          <t>VÄSTERBOTTENS LÄN</t>
        </is>
      </c>
      <c r="G228" t="inlineStr">
        <is>
          <t>NORDMALING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46218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69516-2021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46218</v>
      </c>
      <c r="F230" t="inlineStr">
        <is>
          <t>VÄSTERBOTTENS LÄN</t>
        </is>
      </c>
      <c r="G230" t="inlineStr">
        <is>
          <t>NORDMALING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35688-2023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45147</v>
      </c>
      <c r="E231" s="1" t="n">
        <v>46218</v>
      </c>
      <c r="F231" t="inlineStr">
        <is>
          <t>VÄSTERBOTTENS LÄN</t>
        </is>
      </c>
      <c r="G231" t="inlineStr">
        <is>
          <t>NORDMALING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9541-2023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44981</v>
      </c>
      <c r="E232" s="1" t="n">
        <v>46218</v>
      </c>
      <c r="F232" t="inlineStr">
        <is>
          <t>VÄSTERBOTTENS LÄN</t>
        </is>
      </c>
      <c r="G232" t="inlineStr">
        <is>
          <t>NORDMALING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48744-2025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45936</v>
      </c>
      <c r="E233" s="1" t="n">
        <v>46218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48632-2025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46218</v>
      </c>
      <c r="F234" t="inlineStr">
        <is>
          <t>VÄSTERBOTTENS LÄN</t>
        </is>
      </c>
      <c r="G234" t="inlineStr">
        <is>
          <t>NORDMALING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54138-2023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46218</v>
      </c>
      <c r="F235" t="inlineStr">
        <is>
          <t>VÄSTERBOTTENS LÄN</t>
        </is>
      </c>
      <c r="G235" t="inlineStr">
        <is>
          <t>NORDMALING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31486-2024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46218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49360-2025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46218</v>
      </c>
      <c r="F237" t="inlineStr">
        <is>
          <t>VÄSTERBOTTENS LÄN</t>
        </is>
      </c>
      <c r="G237" t="inlineStr">
        <is>
          <t>NORDMALING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45676</v>
      </c>
      <c r="E238" s="1" t="n">
        <v>46218</v>
      </c>
      <c r="F238" t="inlineStr">
        <is>
          <t>VÄSTERBOTTENS LÄN</t>
        </is>
      </c>
      <c r="G238" t="inlineStr">
        <is>
          <t>NORDMALING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56734-2022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46218</v>
      </c>
      <c r="F239" t="inlineStr">
        <is>
          <t>VÄSTERBOTTENS LÄN</t>
        </is>
      </c>
      <c r="G239" t="inlineStr">
        <is>
          <t>NORDMALING</t>
        </is>
      </c>
      <c r="H239" t="inlineStr">
        <is>
          <t>SCA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44950-2023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46218</v>
      </c>
      <c r="F240" t="inlineStr">
        <is>
          <t>VÄSTERBOTTENS LÄN</t>
        </is>
      </c>
      <c r="G240" t="inlineStr">
        <is>
          <t>NORDMALING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44952-2023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46218</v>
      </c>
      <c r="F241" t="inlineStr">
        <is>
          <t>VÄSTERBOTTENS LÄN</t>
        </is>
      </c>
      <c r="G241" t="inlineStr">
        <is>
          <t>NORDMALING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61283-2023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46218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24850-2023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45078</v>
      </c>
      <c r="E243" s="1" t="n">
        <v>46218</v>
      </c>
      <c r="F243" t="inlineStr">
        <is>
          <t>VÄSTERBOTTENS LÄN</t>
        </is>
      </c>
      <c r="G243" t="inlineStr">
        <is>
          <t>NORDMALING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49361-2025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46218</v>
      </c>
      <c r="F244" t="inlineStr">
        <is>
          <t>VÄSTERBOTTENS LÄN</t>
        </is>
      </c>
      <c r="G244" t="inlineStr">
        <is>
          <t>NORDMALING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49849-2025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46218</v>
      </c>
      <c r="F245" t="inlineStr">
        <is>
          <t>VÄSTERBOTTENS LÄN</t>
        </is>
      </c>
      <c r="G245" t="inlineStr">
        <is>
          <t>NORDMALING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49847-2025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46218</v>
      </c>
      <c r="F246" t="inlineStr">
        <is>
          <t>VÄSTERBOTTENS LÄN</t>
        </is>
      </c>
      <c r="G246" t="inlineStr">
        <is>
          <t>NORDMALING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45525</v>
      </c>
      <c r="E247" s="1" t="n">
        <v>46218</v>
      </c>
      <c r="F247" t="inlineStr">
        <is>
          <t>VÄSTERBOTTENS LÄN</t>
        </is>
      </c>
      <c r="G247" t="inlineStr">
        <is>
          <t>NORDMALING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15745-2023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46218</v>
      </c>
      <c r="F248" t="inlineStr">
        <is>
          <t>VÄSTERBOTTENS LÄN</t>
        </is>
      </c>
      <c r="G248" t="inlineStr">
        <is>
          <t>NORDMALING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27568-2023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46218</v>
      </c>
      <c r="F249" t="inlineStr">
        <is>
          <t>VÄSTERBOTTENS LÄN</t>
        </is>
      </c>
      <c r="G249" t="inlineStr">
        <is>
          <t>NORDMALING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50386-2025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46218</v>
      </c>
      <c r="F250" t="inlineStr">
        <is>
          <t>VÄSTERBOTTENS LÄN</t>
        </is>
      </c>
      <c r="G250" t="inlineStr">
        <is>
          <t>NORDMALING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6969-2024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46218</v>
      </c>
      <c r="F251" t="inlineStr">
        <is>
          <t>VÄSTERBOTTENS LÄN</t>
        </is>
      </c>
      <c r="G251" t="inlineStr">
        <is>
          <t>NORDMALING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47516-2024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45587</v>
      </c>
      <c r="E252" s="1" t="n">
        <v>46218</v>
      </c>
      <c r="F252" t="inlineStr">
        <is>
          <t>VÄSTERBOTTENS LÄN</t>
        </is>
      </c>
      <c r="G252" t="inlineStr">
        <is>
          <t>NORDMALING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50725-2025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46218</v>
      </c>
      <c r="F253" t="inlineStr">
        <is>
          <t>VÄSTERBOTTENS LÄN</t>
        </is>
      </c>
      <c r="G253" t="inlineStr">
        <is>
          <t>NORDMALING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50726-2025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46218</v>
      </c>
      <c r="F254" t="inlineStr">
        <is>
          <t>VÄSTERBOTTENS LÄN</t>
        </is>
      </c>
      <c r="G254" t="inlineStr">
        <is>
          <t>NORDMALING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50734-2025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46218</v>
      </c>
      <c r="F255" t="inlineStr">
        <is>
          <t>VÄSTERBOTTENS LÄN</t>
        </is>
      </c>
      <c r="G255" t="inlineStr">
        <is>
          <t>NORDMALING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46218</v>
      </c>
      <c r="F256" t="inlineStr">
        <is>
          <t>VÄSTERBOTTENS LÄN</t>
        </is>
      </c>
      <c r="G256" t="inlineStr">
        <is>
          <t>NORDMALING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44924-2023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45187</v>
      </c>
      <c r="E257" s="1" t="n">
        <v>46218</v>
      </c>
      <c r="F257" t="inlineStr">
        <is>
          <t>VÄSTERBOTTENS LÄN</t>
        </is>
      </c>
      <c r="G257" t="inlineStr">
        <is>
          <t>NORDMALING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30438-2024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45491</v>
      </c>
      <c r="E258" s="1" t="n">
        <v>46218</v>
      </c>
      <c r="F258" t="inlineStr">
        <is>
          <t>VÄSTERBOTTENS LÄN</t>
        </is>
      </c>
      <c r="G258" t="inlineStr">
        <is>
          <t>NORDMALING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45616</v>
      </c>
      <c r="E259" s="1" t="n">
        <v>46218</v>
      </c>
      <c r="F259" t="inlineStr">
        <is>
          <t>VÄSTERBOTTENS LÄN</t>
        </is>
      </c>
      <c r="G259" t="inlineStr">
        <is>
          <t>NORDMALING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51552-2025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46218</v>
      </c>
      <c r="F260" t="inlineStr">
        <is>
          <t>VÄSTERBOTTENS LÄN</t>
        </is>
      </c>
      <c r="G260" t="inlineStr">
        <is>
          <t>NORDMALING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51762-2025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45951</v>
      </c>
      <c r="E261" s="1" t="n">
        <v>46218</v>
      </c>
      <c r="F261" t="inlineStr">
        <is>
          <t>VÄSTERBOTTENS LÄN</t>
        </is>
      </c>
      <c r="G261" t="inlineStr">
        <is>
          <t>NORDMALING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46218</v>
      </c>
      <c r="F262" t="inlineStr">
        <is>
          <t>VÄSTERBOTTENS LÄN</t>
        </is>
      </c>
      <c r="G262" t="inlineStr">
        <is>
          <t>NORDMALING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59518-2024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46218</v>
      </c>
      <c r="F263" t="inlineStr">
        <is>
          <t>VÄSTERBOTTENS LÄN</t>
        </is>
      </c>
      <c r="G263" t="inlineStr">
        <is>
          <t>NORDMALING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51542-2025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45950</v>
      </c>
      <c r="E264" s="1" t="n">
        <v>46218</v>
      </c>
      <c r="F264" t="inlineStr">
        <is>
          <t>VÄSTERBOTTENS LÄN</t>
        </is>
      </c>
      <c r="G264" t="inlineStr">
        <is>
          <t>NORDMALING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46218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51511-2025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46218</v>
      </c>
      <c r="F266" t="inlineStr">
        <is>
          <t>VÄSTERBOTTENS LÄN</t>
        </is>
      </c>
      <c r="G266" t="inlineStr">
        <is>
          <t>NORDMALING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51736-2025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46218</v>
      </c>
      <c r="F267" t="inlineStr">
        <is>
          <t>VÄSTERBOTTENS LÄN</t>
        </is>
      </c>
      <c r="G267" t="inlineStr">
        <is>
          <t>NORDMALING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8641-2023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46218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51824-2024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46218</v>
      </c>
      <c r="F269" t="inlineStr">
        <is>
          <t>VÄSTERBOTTENS LÄN</t>
        </is>
      </c>
      <c r="G269" t="inlineStr">
        <is>
          <t>NORDMALING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51832-2024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46218</v>
      </c>
      <c r="F270" t="inlineStr">
        <is>
          <t>VÄSTERBOTTENS LÄN</t>
        </is>
      </c>
      <c r="G270" t="inlineStr">
        <is>
          <t>NORDMALING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16758-2023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45030</v>
      </c>
      <c r="E271" s="1" t="n">
        <v>46218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21733-2025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45783</v>
      </c>
      <c r="E272" s="1" t="n">
        <v>46218</v>
      </c>
      <c r="F272" t="inlineStr">
        <is>
          <t>VÄSTERBOTTENS LÄN</t>
        </is>
      </c>
      <c r="G272" t="inlineStr">
        <is>
          <t>NORDMALING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52201-2025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46218</v>
      </c>
      <c r="F273" t="inlineStr">
        <is>
          <t>VÄSTERBOTTENS LÄN</t>
        </is>
      </c>
      <c r="G273" t="inlineStr">
        <is>
          <t>NORDMALING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21736-2025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45783</v>
      </c>
      <c r="E274" s="1" t="n">
        <v>46218</v>
      </c>
      <c r="F274" t="inlineStr">
        <is>
          <t>VÄSTERBOTTENS LÄN</t>
        </is>
      </c>
      <c r="G274" t="inlineStr">
        <is>
          <t>NORDMALING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46218</v>
      </c>
      <c r="F275" t="inlineStr">
        <is>
          <t>VÄSTERBOTTENS LÄN</t>
        </is>
      </c>
      <c r="G275" t="inlineStr">
        <is>
          <t>NORDMALING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37549-2023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45158</v>
      </c>
      <c r="E276" s="1" t="n">
        <v>46218</v>
      </c>
      <c r="F276" t="inlineStr">
        <is>
          <t>VÄSTERBOTTENS LÄN</t>
        </is>
      </c>
      <c r="G276" t="inlineStr">
        <is>
          <t>NORDMALING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19865-2024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46218</v>
      </c>
      <c r="F277" t="inlineStr">
        <is>
          <t>VÄSTERBOTTENS LÄN</t>
        </is>
      </c>
      <c r="G277" t="inlineStr">
        <is>
          <t>NORDMALING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40008-2023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46218</v>
      </c>
      <c r="F278" t="inlineStr">
        <is>
          <t>VÄSTERBOTTENS LÄN</t>
        </is>
      </c>
      <c r="G278" t="inlineStr">
        <is>
          <t>NORDMALING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12375-2024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45378</v>
      </c>
      <c r="E279" s="1" t="n">
        <v>46218</v>
      </c>
      <c r="F279" t="inlineStr">
        <is>
          <t>VÄSTERBOTTENS LÄN</t>
        </is>
      </c>
      <c r="G279" t="inlineStr">
        <is>
          <t>NORDMALING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50969-2024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46218</v>
      </c>
      <c r="F280" t="inlineStr">
        <is>
          <t>VÄSTERBOTTENS LÄN</t>
        </is>
      </c>
      <c r="G280" t="inlineStr">
        <is>
          <t>NORDMALING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53456-2025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46218</v>
      </c>
      <c r="F281" t="inlineStr">
        <is>
          <t>VÄSTERBOTTENS LÄN</t>
        </is>
      </c>
      <c r="G281" t="inlineStr">
        <is>
          <t>NORDMALING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48940-2022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44859</v>
      </c>
      <c r="E282" s="1" t="n">
        <v>46218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61616-2023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45261</v>
      </c>
      <c r="E283" s="1" t="n">
        <v>46218</v>
      </c>
      <c r="F283" t="inlineStr">
        <is>
          <t>VÄSTERBOTTENS LÄN</t>
        </is>
      </c>
      <c r="G283" t="inlineStr">
        <is>
          <t>NORDMALING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44942-2023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45187</v>
      </c>
      <c r="E284" s="1" t="n">
        <v>46218</v>
      </c>
      <c r="F284" t="inlineStr">
        <is>
          <t>VÄSTERBOTTENS LÄN</t>
        </is>
      </c>
      <c r="G284" t="inlineStr">
        <is>
          <t>NORDMALING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22739-2025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45789</v>
      </c>
      <c r="E285" s="1" t="n">
        <v>46218</v>
      </c>
      <c r="F285" t="inlineStr">
        <is>
          <t>VÄSTERBOTTENS LÄN</t>
        </is>
      </c>
      <c r="G285" t="inlineStr">
        <is>
          <t>NORDMALING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29547-2022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44753</v>
      </c>
      <c r="E286" s="1" t="n">
        <v>46218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20328-2024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46218</v>
      </c>
      <c r="F287" t="inlineStr">
        <is>
          <t>VÄSTERBOTTENS LÄN</t>
        </is>
      </c>
      <c r="G287" t="inlineStr">
        <is>
          <t>NORDMALING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57251-2023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46218</v>
      </c>
      <c r="F288" t="inlineStr">
        <is>
          <t>VÄSTERBOTTENS LÄN</t>
        </is>
      </c>
      <c r="G288" t="inlineStr">
        <is>
          <t>NORDMALING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22955-2025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46218</v>
      </c>
      <c r="F289" t="inlineStr">
        <is>
          <t>VÄSTERBOTTENS LÄN</t>
        </is>
      </c>
      <c r="G289" t="inlineStr">
        <is>
          <t>NORDMALING</t>
        </is>
      </c>
      <c r="I289" t="n">
        <v>20.3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2260-2025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46218</v>
      </c>
      <c r="F290" t="inlineStr">
        <is>
          <t>VÄSTERBOTTENS LÄN</t>
        </is>
      </c>
      <c r="G290" t="inlineStr">
        <is>
          <t>NORDMALING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23029-2025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46218</v>
      </c>
      <c r="F291" t="inlineStr">
        <is>
          <t>VÄSTERBOTTENS LÄN</t>
        </is>
      </c>
      <c r="G291" t="inlineStr">
        <is>
          <t>NORDMALING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23041-2025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46218</v>
      </c>
      <c r="F292" t="inlineStr">
        <is>
          <t>VÄSTERBOTTENS LÄN</t>
        </is>
      </c>
      <c r="G292" t="inlineStr">
        <is>
          <t>NORDMALING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53969-2025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45961</v>
      </c>
      <c r="E293" s="1" t="n">
        <v>46218</v>
      </c>
      <c r="F293" t="inlineStr">
        <is>
          <t>VÄSTERBOTTENS LÄN</t>
        </is>
      </c>
      <c r="G293" t="inlineStr">
        <is>
          <t>NORDMALING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23037-2025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46218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53777-2025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46218</v>
      </c>
      <c r="F295" t="inlineStr">
        <is>
          <t>VÄSTERBOTTENS LÄN</t>
        </is>
      </c>
      <c r="G295" t="inlineStr">
        <is>
          <t>NORDMALING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53776-2025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46218</v>
      </c>
      <c r="F296" t="inlineStr">
        <is>
          <t>VÄSTERBOTTENS LÄN</t>
        </is>
      </c>
      <c r="G296" t="inlineStr">
        <is>
          <t>NORDMALING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17711-2023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46218</v>
      </c>
      <c r="F297" t="inlineStr">
        <is>
          <t>VÄSTERBOTTENS LÄN</t>
        </is>
      </c>
      <c r="G297" t="inlineStr">
        <is>
          <t>NORDMALING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54105-2025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45964</v>
      </c>
      <c r="E298" s="1" t="n">
        <v>46218</v>
      </c>
      <c r="F298" t="inlineStr">
        <is>
          <t>VÄSTERBOTTENS LÄN</t>
        </is>
      </c>
      <c r="G298" t="inlineStr">
        <is>
          <t>NORDMALING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54030-2025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45962</v>
      </c>
      <c r="E299" s="1" t="n">
        <v>46218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45707</v>
      </c>
      <c r="E300" s="1" t="n">
        <v>46218</v>
      </c>
      <c r="F300" t="inlineStr">
        <is>
          <t>VÄSTERBOTTENS LÄN</t>
        </is>
      </c>
      <c r="G300" t="inlineStr">
        <is>
          <t>NORDMALING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54473-2025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46218</v>
      </c>
      <c r="F301" t="inlineStr">
        <is>
          <t>VÄSTERBOTTENS LÄN</t>
        </is>
      </c>
      <c r="G301" t="inlineStr">
        <is>
          <t>NORDMALING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54078-2025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45964</v>
      </c>
      <c r="E302" s="1" t="n">
        <v>46218</v>
      </c>
      <c r="F302" t="inlineStr">
        <is>
          <t>VÄSTERBOTTENS LÄN</t>
        </is>
      </c>
      <c r="G302" t="inlineStr">
        <is>
          <t>NORDMALING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44977</v>
      </c>
      <c r="E303" s="1" t="n">
        <v>46218</v>
      </c>
      <c r="F303" t="inlineStr">
        <is>
          <t>VÄSTERBOTTENS LÄN</t>
        </is>
      </c>
      <c r="G303" t="inlineStr">
        <is>
          <t>NORDMALING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59348-2024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46218</v>
      </c>
      <c r="F304" t="inlineStr">
        <is>
          <t>VÄSTERBOTTENS LÄN</t>
        </is>
      </c>
      <c r="G304" t="inlineStr">
        <is>
          <t>NORDMALING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54438-2025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46218</v>
      </c>
      <c r="F305" t="inlineStr">
        <is>
          <t>VÄSTERBOTTENS LÄN</t>
        </is>
      </c>
      <c r="G305" t="inlineStr">
        <is>
          <t>NORDMALING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36814-2024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45538</v>
      </c>
      <c r="E306" s="1" t="n">
        <v>46218</v>
      </c>
      <c r="F306" t="inlineStr">
        <is>
          <t>VÄSTERBOTTENS LÄN</t>
        </is>
      </c>
      <c r="G306" t="inlineStr">
        <is>
          <t>NORDMALING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11369-2023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46218</v>
      </c>
      <c r="F307" t="inlineStr">
        <is>
          <t>VÄSTERBOTTENS LÄN</t>
        </is>
      </c>
      <c r="G307" t="inlineStr">
        <is>
          <t>NORDMALING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3449-2023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46218</v>
      </c>
      <c r="F308" t="inlineStr">
        <is>
          <t>VÄSTERBOTTENS LÄN</t>
        </is>
      </c>
      <c r="G308" t="inlineStr">
        <is>
          <t>NORDMALING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54474-2025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46218</v>
      </c>
      <c r="F309" t="inlineStr">
        <is>
          <t>VÄSTERBOTTENS LÄN</t>
        </is>
      </c>
      <c r="G309" t="inlineStr">
        <is>
          <t>NORDMALING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7254-2024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45344</v>
      </c>
      <c r="E310" s="1" t="n">
        <v>46218</v>
      </c>
      <c r="F310" t="inlineStr">
        <is>
          <t>VÄSTERBOTTENS LÄN</t>
        </is>
      </c>
      <c r="G310" t="inlineStr">
        <is>
          <t>NORDMALING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45419</v>
      </c>
      <c r="E311" s="1" t="n">
        <v>46218</v>
      </c>
      <c r="F311" t="inlineStr">
        <is>
          <t>VÄSTERBOTTENS LÄN</t>
        </is>
      </c>
      <c r="G311" t="inlineStr">
        <is>
          <t>NORDMALING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58655-2023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46218</v>
      </c>
      <c r="F312" t="inlineStr">
        <is>
          <t>VÄSTERBOTTENS LÄN</t>
        </is>
      </c>
      <c r="G312" t="inlineStr">
        <is>
          <t>NORDMALING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24045-2025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46218</v>
      </c>
      <c r="F313" t="inlineStr">
        <is>
          <t>VÄSTERBOTTENS LÄN</t>
        </is>
      </c>
      <c r="G313" t="inlineStr">
        <is>
          <t>NORDMALING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48178-2024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46218</v>
      </c>
      <c r="F314" t="inlineStr">
        <is>
          <t>VÄSTERBOTTENS LÄN</t>
        </is>
      </c>
      <c r="G314" t="inlineStr">
        <is>
          <t>NORDMALING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53986-2022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46218</v>
      </c>
      <c r="F315" t="inlineStr">
        <is>
          <t>VÄSTERBOTTENS LÄN</t>
        </is>
      </c>
      <c r="G315" t="inlineStr">
        <is>
          <t>NORDMALING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54800-2025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46218</v>
      </c>
      <c r="F316" t="inlineStr">
        <is>
          <t>VÄSTERBOTTENS LÄN</t>
        </is>
      </c>
      <c r="G316" t="inlineStr">
        <is>
          <t>NORDMALING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6402-2025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45699</v>
      </c>
      <c r="E317" s="1" t="n">
        <v>46218</v>
      </c>
      <c r="F317" t="inlineStr">
        <is>
          <t>VÄSTERBOTTENS LÄN</t>
        </is>
      </c>
      <c r="G317" t="inlineStr">
        <is>
          <t>NORDMALING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54784-2021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44473</v>
      </c>
      <c r="E318" s="1" t="n">
        <v>46218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59389-2022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44905</v>
      </c>
      <c r="E319" s="1" t="n">
        <v>46218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17890-2024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45419</v>
      </c>
      <c r="E320" s="1" t="n">
        <v>46218</v>
      </c>
      <c r="F320" t="inlineStr">
        <is>
          <t>VÄSTERBOTTENS LÄN</t>
        </is>
      </c>
      <c r="G320" t="inlineStr">
        <is>
          <t>NORDMALING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16690-2025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46218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31258-2024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45503</v>
      </c>
      <c r="E322" s="1" t="n">
        <v>46218</v>
      </c>
      <c r="F322" t="inlineStr">
        <is>
          <t>VÄSTERBOTTENS LÄN</t>
        </is>
      </c>
      <c r="G322" t="inlineStr">
        <is>
          <t>NORDMALING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22004-2024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46218</v>
      </c>
      <c r="F323" t="inlineStr">
        <is>
          <t>VÄSTERBOTTENS LÄN</t>
        </is>
      </c>
      <c r="G323" t="inlineStr">
        <is>
          <t>NORDMALING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47063-2024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46218</v>
      </c>
      <c r="F324" t="inlineStr">
        <is>
          <t>VÄSTERBOTTENS LÄN</t>
        </is>
      </c>
      <c r="G324" t="inlineStr">
        <is>
          <t>NORDMALING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25074-2025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46218</v>
      </c>
      <c r="F325" t="inlineStr">
        <is>
          <t>VÄSTERBOTTENS LÄN</t>
        </is>
      </c>
      <c r="G325" t="inlineStr">
        <is>
          <t>NORDMALING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61657-2022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44916</v>
      </c>
      <c r="E326" s="1" t="n">
        <v>46218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15750-2023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45021</v>
      </c>
      <c r="E327" s="1" t="n">
        <v>46218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17462-2023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46218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64498-2023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45280</v>
      </c>
      <c r="E329" s="1" t="n">
        <v>46218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65688-2021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44515</v>
      </c>
      <c r="E330" s="1" t="n">
        <v>46218</v>
      </c>
      <c r="F330" t="inlineStr">
        <is>
          <t>VÄSTERBOTTENS LÄN</t>
        </is>
      </c>
      <c r="G330" t="inlineStr">
        <is>
          <t>NORDMALING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55627-2023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46218</v>
      </c>
      <c r="F331" t="inlineStr">
        <is>
          <t>VÄSTERBOTTENS LÄN</t>
        </is>
      </c>
      <c r="G331" t="inlineStr">
        <is>
          <t>NORDMALING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51695-2024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46218</v>
      </c>
      <c r="F332" t="inlineStr">
        <is>
          <t>VÄSTERBOTTENS LÄN</t>
        </is>
      </c>
      <c r="G332" t="inlineStr">
        <is>
          <t>NORDMALING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52149-2024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45608</v>
      </c>
      <c r="E333" s="1" t="n">
        <v>46218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SCA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45688</v>
      </c>
      <c r="E334" s="1" t="n">
        <v>46218</v>
      </c>
      <c r="F334" t="inlineStr">
        <is>
          <t>VÄSTERBOTTENS LÄN</t>
        </is>
      </c>
      <c r="G334" t="inlineStr">
        <is>
          <t>NORDMALING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24415-2024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45457</v>
      </c>
      <c r="E335" s="1" t="n">
        <v>46218</v>
      </c>
      <c r="F335" t="inlineStr">
        <is>
          <t>VÄSTERBOTTENS LÄN</t>
        </is>
      </c>
      <c r="G335" t="inlineStr">
        <is>
          <t>NORDMALING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27378-2023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46218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46218</v>
      </c>
      <c r="F337" t="inlineStr">
        <is>
          <t>VÄSTERBOTTENS LÄN</t>
        </is>
      </c>
      <c r="G337" t="inlineStr">
        <is>
          <t>NORDMALING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19300-2023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45049</v>
      </c>
      <c r="E338" s="1" t="n">
        <v>46218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Kyrkan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55786-2025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46218</v>
      </c>
      <c r="F339" t="inlineStr">
        <is>
          <t>VÄSTERBOTTENS LÄN</t>
        </is>
      </c>
      <c r="G339" t="inlineStr">
        <is>
          <t>NORDMALING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55792-2025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46218</v>
      </c>
      <c r="F340" t="inlineStr">
        <is>
          <t>VÄSTERBOTTENS LÄN</t>
        </is>
      </c>
      <c r="G340" t="inlineStr">
        <is>
          <t>NORDMALING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62203-2022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46218</v>
      </c>
      <c r="F341" t="inlineStr">
        <is>
          <t>VÄSTERBOTTENS LÄN</t>
        </is>
      </c>
      <c r="G341" t="inlineStr">
        <is>
          <t>NORDMALING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45327</v>
      </c>
      <c r="E342" s="1" t="n">
        <v>46218</v>
      </c>
      <c r="F342" t="inlineStr">
        <is>
          <t>VÄSTERBOTTENS LÄN</t>
        </is>
      </c>
      <c r="G342" t="inlineStr">
        <is>
          <t>NORDMALING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26930-2024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45470</v>
      </c>
      <c r="E343" s="1" t="n">
        <v>46218</v>
      </c>
      <c r="F343" t="inlineStr">
        <is>
          <t>VÄSTERBOTTENS LÄN</t>
        </is>
      </c>
      <c r="G343" t="inlineStr">
        <is>
          <t>NORDMALING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56247-2025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46218</v>
      </c>
      <c r="F344" t="inlineStr">
        <is>
          <t>VÄSTERBOTTENS LÄN</t>
        </is>
      </c>
      <c r="G344" t="inlineStr">
        <is>
          <t>NORDMALING</t>
        </is>
      </c>
      <c r="I344" t="n">
        <v>10.4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53889-2024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46218</v>
      </c>
      <c r="F345" t="inlineStr">
        <is>
          <t>VÄSTERBOTTENS LÄN</t>
        </is>
      </c>
      <c r="G345" t="inlineStr">
        <is>
          <t>NORDMALING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57146-2025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46218</v>
      </c>
      <c r="F346" t="inlineStr">
        <is>
          <t>VÄSTERBOTTENS LÄN</t>
        </is>
      </c>
      <c r="G346" t="inlineStr">
        <is>
          <t>NORDMALING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57065-2025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46218</v>
      </c>
      <c r="F347" t="inlineStr">
        <is>
          <t>VÄSTERBOTTENS LÄN</t>
        </is>
      </c>
      <c r="G347" t="inlineStr">
        <is>
          <t>NORDMALING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46218</v>
      </c>
      <c r="F348" t="inlineStr">
        <is>
          <t>VÄSTERBOTTENS LÄN</t>
        </is>
      </c>
      <c r="G348" t="inlineStr">
        <is>
          <t>NORDMALING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15986-2023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45022</v>
      </c>
      <c r="E349" s="1" t="n">
        <v>46218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57899-2025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46218</v>
      </c>
      <c r="F350" t="inlineStr">
        <is>
          <t>VÄSTERBOTTENS LÄN</t>
        </is>
      </c>
      <c r="G350" t="inlineStr">
        <is>
          <t>NORDMALING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57901-2025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46218</v>
      </c>
      <c r="F351" t="inlineStr">
        <is>
          <t>VÄSTERBOTTENS LÄN</t>
        </is>
      </c>
      <c r="G351" t="inlineStr">
        <is>
          <t>NORDMALING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57548-2025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46218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57898-2025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46218</v>
      </c>
      <c r="F353" t="inlineStr">
        <is>
          <t>VÄSTERBOTTENS LÄN</t>
        </is>
      </c>
      <c r="G353" t="inlineStr">
        <is>
          <t>NORDMALING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29569-2025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46218</v>
      </c>
      <c r="F354" t="inlineStr">
        <is>
          <t>VÄSTERBOTTENS LÄN</t>
        </is>
      </c>
      <c r="G354" t="inlineStr">
        <is>
          <t>NORDMALING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29573-2025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45825</v>
      </c>
      <c r="E355" s="1" t="n">
        <v>46218</v>
      </c>
      <c r="F355" t="inlineStr">
        <is>
          <t>VÄSTERBOTTENS LÄN</t>
        </is>
      </c>
      <c r="G355" t="inlineStr">
        <is>
          <t>NORDMALING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5258-2024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45330</v>
      </c>
      <c r="E356" s="1" t="n">
        <v>46218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29576-2025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46218</v>
      </c>
      <c r="F357" t="inlineStr">
        <is>
          <t>VÄSTERBOTTENS LÄN</t>
        </is>
      </c>
      <c r="G357" t="inlineStr">
        <is>
          <t>NORDMALING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29606-2025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45825</v>
      </c>
      <c r="E358" s="1" t="n">
        <v>46218</v>
      </c>
      <c r="F358" t="inlineStr">
        <is>
          <t>VÄSTERBOTTENS LÄN</t>
        </is>
      </c>
      <c r="G358" t="inlineStr">
        <is>
          <t>NORDMALING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48945-2022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44859</v>
      </c>
      <c r="E359" s="1" t="n">
        <v>46218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46218</v>
      </c>
      <c r="F360" t="inlineStr">
        <is>
          <t>VÄSTERBOTTENS LÄN</t>
        </is>
      </c>
      <c r="G360" t="inlineStr">
        <is>
          <t>NORDMALING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46218</v>
      </c>
      <c r="F361" t="inlineStr">
        <is>
          <t>VÄSTERBOTTENS LÄN</t>
        </is>
      </c>
      <c r="G361" t="inlineStr">
        <is>
          <t>NORDMALING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58075-2025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46218</v>
      </c>
      <c r="F362" t="inlineStr">
        <is>
          <t>VÄSTERBOTTENS LÄN</t>
        </is>
      </c>
      <c r="G362" t="inlineStr">
        <is>
          <t>NORDMALING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57897-2025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46218</v>
      </c>
      <c r="F363" t="inlineStr">
        <is>
          <t>VÄSTERBOTTENS LÄN</t>
        </is>
      </c>
      <c r="G363" t="inlineStr">
        <is>
          <t>NORDMALING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45800</v>
      </c>
      <c r="E364" s="1" t="n">
        <v>46218</v>
      </c>
      <c r="F364" t="inlineStr">
        <is>
          <t>VÄSTERBOTTENS LÄN</t>
        </is>
      </c>
      <c r="G364" t="inlineStr">
        <is>
          <t>NORDMALING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8173-2022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44609</v>
      </c>
      <c r="E365" s="1" t="n">
        <v>46218</v>
      </c>
      <c r="F365" t="inlineStr">
        <is>
          <t>VÄSTERBOTTENS LÄN</t>
        </is>
      </c>
      <c r="G365" t="inlineStr">
        <is>
          <t>NORDMALING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20162-2026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46218</v>
      </c>
      <c r="F366" t="inlineStr">
        <is>
          <t>VÄSTERBOTTENS LÄN</t>
        </is>
      </c>
      <c r="G366" t="inlineStr">
        <is>
          <t>NORDMALING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39776-2024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45552</v>
      </c>
      <c r="E367" s="1" t="n">
        <v>46218</v>
      </c>
      <c r="F367" t="inlineStr">
        <is>
          <t>VÄSTERBOTTENS LÄN</t>
        </is>
      </c>
      <c r="G367" t="inlineStr">
        <is>
          <t>NORDMALING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58579-2025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46218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60669-2025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45996</v>
      </c>
      <c r="E369" s="1" t="n">
        <v>46218</v>
      </c>
      <c r="F369" t="inlineStr">
        <is>
          <t>VÄSTERBOTTENS LÄN</t>
        </is>
      </c>
      <c r="G369" t="inlineStr">
        <is>
          <t>NORDMALING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31966-2025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46218</v>
      </c>
      <c r="F370" t="inlineStr">
        <is>
          <t>VÄSTERBOTTENS LÄN</t>
        </is>
      </c>
      <c r="G370" t="inlineStr">
        <is>
          <t>NORDMALING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25018-2025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45799</v>
      </c>
      <c r="E371" s="1" t="n">
        <v>46218</v>
      </c>
      <c r="F371" t="inlineStr">
        <is>
          <t>VÄSTERBOTTENS LÄN</t>
        </is>
      </c>
      <c r="G371" t="inlineStr">
        <is>
          <t>NORDMALING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25906-2026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46218</v>
      </c>
      <c r="F372" t="inlineStr">
        <is>
          <t>VÄSTERBOTTENS LÄN</t>
        </is>
      </c>
      <c r="G372" t="inlineStr">
        <is>
          <t>NORDMALING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32575-2025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46218</v>
      </c>
      <c r="F373" t="inlineStr">
        <is>
          <t>VÄSTERBOTTENS LÄN</t>
        </is>
      </c>
      <c r="G373" t="inlineStr">
        <is>
          <t>NORDMALING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20479-2025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45775</v>
      </c>
      <c r="E374" s="1" t="n">
        <v>46218</v>
      </c>
      <c r="F374" t="inlineStr">
        <is>
          <t>VÄSTERBOTTENS LÄN</t>
        </is>
      </c>
      <c r="G374" t="inlineStr">
        <is>
          <t>NORDMALING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20481-2025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46218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58621-2025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45986</v>
      </c>
      <c r="E376" s="1" t="n">
        <v>46218</v>
      </c>
      <c r="F376" t="inlineStr">
        <is>
          <t>VÄSTERBOTTENS LÄN</t>
        </is>
      </c>
      <c r="G376" t="inlineStr">
        <is>
          <t>NORDMALING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46593-2025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46218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58620-2025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45986</v>
      </c>
      <c r="E378" s="1" t="n">
        <v>46218</v>
      </c>
      <c r="F378" t="inlineStr">
        <is>
          <t>VÄSTERBOTTENS LÄN</t>
        </is>
      </c>
      <c r="G378" t="inlineStr">
        <is>
          <t>NORDMALING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33599-2025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46218</v>
      </c>
      <c r="F379" t="inlineStr">
        <is>
          <t>VÄSTERBOTTENS LÄN</t>
        </is>
      </c>
      <c r="G379" t="inlineStr">
        <is>
          <t>NORDMALING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46218</v>
      </c>
      <c r="F380" t="inlineStr">
        <is>
          <t>VÄSTERBOTTENS LÄN</t>
        </is>
      </c>
      <c r="G380" t="inlineStr">
        <is>
          <t>NORDMALING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33938-2025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46218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SCA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38285-2022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44812</v>
      </c>
      <c r="E382" s="1" t="n">
        <v>46218</v>
      </c>
      <c r="F382" t="inlineStr">
        <is>
          <t>VÄSTERBOTTENS LÄN</t>
        </is>
      </c>
      <c r="G382" t="inlineStr">
        <is>
          <t>NORDMALING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23565-2024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46218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46218</v>
      </c>
      <c r="F384" t="inlineStr">
        <is>
          <t>VÄSTERBOTTENS LÄN</t>
        </is>
      </c>
      <c r="G384" t="inlineStr">
        <is>
          <t>NORDMALING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34601-2025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46218</v>
      </c>
      <c r="F385" t="inlineStr">
        <is>
          <t>VÄSTERBOTTENS LÄN</t>
        </is>
      </c>
      <c r="G385" t="inlineStr">
        <is>
          <t>NORDMALING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58619-2025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46218</v>
      </c>
      <c r="F386" t="inlineStr">
        <is>
          <t>VÄSTERBOTTENS LÄN</t>
        </is>
      </c>
      <c r="G386" t="inlineStr">
        <is>
          <t>NORDMALING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34804-2025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45849</v>
      </c>
      <c r="E387" s="1" t="n">
        <v>46218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35057-2025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45852</v>
      </c>
      <c r="E388" s="1" t="n">
        <v>46218</v>
      </c>
      <c r="F388" t="inlineStr">
        <is>
          <t>VÄSTERBOTTENS LÄN</t>
        </is>
      </c>
      <c r="G388" t="inlineStr">
        <is>
          <t>NORDMALING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59071-2025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46218</v>
      </c>
      <c r="F389" t="inlineStr">
        <is>
          <t>VÄSTERBOTTENS LÄN</t>
        </is>
      </c>
      <c r="G389" t="inlineStr">
        <is>
          <t>NORDMALING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46218</v>
      </c>
      <c r="F390" t="inlineStr">
        <is>
          <t>VÄSTERBOTTENS LÄN</t>
        </is>
      </c>
      <c r="G390" t="inlineStr">
        <is>
          <t>NORDMALING</t>
        </is>
      </c>
      <c r="I390" t="n">
        <v>16.1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46136</v>
      </c>
      <c r="E391" s="1" t="n">
        <v>46218</v>
      </c>
      <c r="F391" t="inlineStr">
        <is>
          <t>VÄSTERBOTTENS LÄN</t>
        </is>
      </c>
      <c r="G391" t="inlineStr">
        <is>
          <t>NORDMALING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43491-2024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46218</v>
      </c>
      <c r="F392" t="inlineStr">
        <is>
          <t>VÄSTERBOTTENS LÄN</t>
        </is>
      </c>
      <c r="G392" t="inlineStr">
        <is>
          <t>NORDMALING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43492-2024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46218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26927-2024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45470</v>
      </c>
      <c r="E394" s="1" t="n">
        <v>46218</v>
      </c>
      <c r="F394" t="inlineStr">
        <is>
          <t>VÄSTERBOTTENS LÄN</t>
        </is>
      </c>
      <c r="G394" t="inlineStr">
        <is>
          <t>NORDMALING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36281-2025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46218</v>
      </c>
      <c r="F395" t="inlineStr">
        <is>
          <t>VÄSTERBOTTENS LÄN</t>
        </is>
      </c>
      <c r="G395" t="inlineStr">
        <is>
          <t>NORDMALING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36077-2025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45866</v>
      </c>
      <c r="E396" s="1" t="n">
        <v>46218</v>
      </c>
      <c r="F396" t="inlineStr">
        <is>
          <t>VÄSTERBOTTENS LÄN</t>
        </is>
      </c>
      <c r="G396" t="inlineStr">
        <is>
          <t>NORDMALING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33612-2022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44789</v>
      </c>
      <c r="E397" s="1" t="n">
        <v>46218</v>
      </c>
      <c r="F397" t="inlineStr">
        <is>
          <t>VÄSTERBOTTENS LÄN</t>
        </is>
      </c>
      <c r="G397" t="inlineStr">
        <is>
          <t>NORDMALING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59945-2025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46218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59169-2025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46218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59160-2025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46218</v>
      </c>
      <c r="F400" t="inlineStr">
        <is>
          <t>VÄSTERBOTTENS LÄN</t>
        </is>
      </c>
      <c r="G400" t="inlineStr">
        <is>
          <t>NORDMALING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45139</v>
      </c>
      <c r="E401" s="1" t="n">
        <v>46218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44387-2023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46218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60064-2025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46218</v>
      </c>
      <c r="F403" t="inlineStr">
        <is>
          <t>VÄSTERBOTTENS LÄN</t>
        </is>
      </c>
      <c r="G403" t="inlineStr">
        <is>
          <t>NORDMALING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7251-2024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45344</v>
      </c>
      <c r="E404" s="1" t="n">
        <v>46218</v>
      </c>
      <c r="F404" t="inlineStr">
        <is>
          <t>VÄSTERBOTTENS LÄN</t>
        </is>
      </c>
      <c r="G404" t="inlineStr">
        <is>
          <t>NORDMALING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59157-2025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46218</v>
      </c>
      <c r="F405" t="inlineStr">
        <is>
          <t>VÄSTERBOTTENS LÄN</t>
        </is>
      </c>
      <c r="G405" t="inlineStr">
        <is>
          <t>NORDMALING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48515-2024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46218</v>
      </c>
      <c r="F406" t="inlineStr">
        <is>
          <t>VÄSTERBOTTENS LÄN</t>
        </is>
      </c>
      <c r="G406" t="inlineStr">
        <is>
          <t>NORDMALING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20721-2026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46218</v>
      </c>
      <c r="F407" t="inlineStr">
        <is>
          <t>VÄSTERBOTTENS LÄN</t>
        </is>
      </c>
      <c r="G407" t="inlineStr">
        <is>
          <t>NORDMALING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59133-2025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46218</v>
      </c>
      <c r="F408" t="inlineStr">
        <is>
          <t>VÄSTERBOTTENS LÄN</t>
        </is>
      </c>
      <c r="G408" t="inlineStr">
        <is>
          <t>NORDMALING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70028-2021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44533</v>
      </c>
      <c r="E409" s="1" t="n">
        <v>46218</v>
      </c>
      <c r="F409" t="inlineStr">
        <is>
          <t>VÄSTERBOTTENS LÄN</t>
        </is>
      </c>
      <c r="G409" t="inlineStr">
        <is>
          <t>NORDMALING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38271-2022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44812</v>
      </c>
      <c r="E410" s="1" t="n">
        <v>46218</v>
      </c>
      <c r="F410" t="inlineStr">
        <is>
          <t>VÄSTERBOTTENS LÄN</t>
        </is>
      </c>
      <c r="G410" t="inlineStr">
        <is>
          <t>NORDMALING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60113-2025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45994</v>
      </c>
      <c r="E411" s="1" t="n">
        <v>46218</v>
      </c>
      <c r="F411" t="inlineStr">
        <is>
          <t>VÄSTERBOTTENS LÄN</t>
        </is>
      </c>
      <c r="G411" t="inlineStr">
        <is>
          <t>NORDMALING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60111-2025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46218</v>
      </c>
      <c r="F412" t="inlineStr">
        <is>
          <t>VÄSTERBOTTENS LÄN</t>
        </is>
      </c>
      <c r="G412" t="inlineStr">
        <is>
          <t>NORDMALING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20733-2026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46218</v>
      </c>
      <c r="F413" t="inlineStr">
        <is>
          <t>VÄSTERBOTTENS LÄN</t>
        </is>
      </c>
      <c r="G413" t="inlineStr">
        <is>
          <t>NORDMALING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54368-2025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46218</v>
      </c>
      <c r="F414" t="inlineStr">
        <is>
          <t>VÄSTERBOTTENS LÄN</t>
        </is>
      </c>
      <c r="G414" t="inlineStr">
        <is>
          <t>NORDMALING</t>
        </is>
      </c>
      <c r="I414" t="n">
        <v>14.8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34489-2024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45525</v>
      </c>
      <c r="E415" s="1" t="n">
        <v>46218</v>
      </c>
      <c r="F415" t="inlineStr">
        <is>
          <t>VÄSTERBOTTENS LÄN</t>
        </is>
      </c>
      <c r="G415" t="inlineStr">
        <is>
          <t>NORDMALING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20471-2025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45775</v>
      </c>
      <c r="E416" s="1" t="n">
        <v>46218</v>
      </c>
      <c r="F416" t="inlineStr">
        <is>
          <t>VÄSTERBOTTENS LÄN</t>
        </is>
      </c>
      <c r="G416" t="inlineStr">
        <is>
          <t>NORDMALING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24712-2023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45075</v>
      </c>
      <c r="E417" s="1" t="n">
        <v>46218</v>
      </c>
      <c r="F417" t="inlineStr">
        <is>
          <t>VÄSTERBOTTENS LÄN</t>
        </is>
      </c>
      <c r="G417" t="inlineStr">
        <is>
          <t>NORDMALING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60780-2025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46218</v>
      </c>
      <c r="F418" t="inlineStr">
        <is>
          <t>VÄSTERBOTTENS LÄN</t>
        </is>
      </c>
      <c r="G418" t="inlineStr">
        <is>
          <t>NORDMALING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34246-2024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45524</v>
      </c>
      <c r="E419" s="1" t="n">
        <v>46218</v>
      </c>
      <c r="F419" t="inlineStr">
        <is>
          <t>VÄSTERBOTTENS LÄN</t>
        </is>
      </c>
      <c r="G419" t="inlineStr">
        <is>
          <t>NORDMALING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8425-2023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46218</v>
      </c>
      <c r="F420" t="inlineStr">
        <is>
          <t>VÄSTERBOTTENS LÄN</t>
        </is>
      </c>
      <c r="G420" t="inlineStr">
        <is>
          <t>NORDMALING</t>
        </is>
      </c>
      <c r="H420" t="inlineStr">
        <is>
          <t>Holmen skog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29150-2024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45482</v>
      </c>
      <c r="E421" s="1" t="n">
        <v>46218</v>
      </c>
      <c r="F421" t="inlineStr">
        <is>
          <t>VÄSTERBOTTENS LÄN</t>
        </is>
      </c>
      <c r="G421" t="inlineStr">
        <is>
          <t>NORDMALING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38365-2025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46218</v>
      </c>
      <c r="F422" t="inlineStr">
        <is>
          <t>VÄSTERBOTTENS LÄN</t>
        </is>
      </c>
      <c r="G422" t="inlineStr">
        <is>
          <t>NORDMALING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61090-2025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46218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61167-2025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46218</v>
      </c>
      <c r="F424" t="inlineStr">
        <is>
          <t>VÄSTERBOTTENS LÄN</t>
        </is>
      </c>
      <c r="G424" t="inlineStr">
        <is>
          <t>NORDMALING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38367-2025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46218</v>
      </c>
      <c r="F425" t="inlineStr">
        <is>
          <t>VÄSTERBOTTENS LÄN</t>
        </is>
      </c>
      <c r="G425" t="inlineStr">
        <is>
          <t>NORDMALING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38260-2025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45883</v>
      </c>
      <c r="E426" s="1" t="n">
        <v>46218</v>
      </c>
      <c r="F426" t="inlineStr">
        <is>
          <t>VÄSTERBOTTENS LÄN</t>
        </is>
      </c>
      <c r="G426" t="inlineStr">
        <is>
          <t>NORDMALING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53976-2025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46218</v>
      </c>
      <c r="F427" t="inlineStr">
        <is>
          <t>VÄSTERBOTTENS LÄN</t>
        </is>
      </c>
      <c r="G427" t="inlineStr">
        <is>
          <t>NORDMALING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61138-2025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46218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61881-2025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46218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61900-2025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46218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47070-2024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45586</v>
      </c>
      <c r="E431" s="1" t="n">
        <v>46218</v>
      </c>
      <c r="F431" t="inlineStr">
        <is>
          <t>VÄSTERBOTTENS LÄN</t>
        </is>
      </c>
      <c r="G431" t="inlineStr">
        <is>
          <t>NORDMALING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26796-2026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46185</v>
      </c>
      <c r="E432" s="1" t="n">
        <v>46218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59605-2022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44907</v>
      </c>
      <c r="E433" s="1" t="n">
        <v>46218</v>
      </c>
      <c r="F433" t="inlineStr">
        <is>
          <t>VÄSTERBOTTENS LÄN</t>
        </is>
      </c>
      <c r="G433" t="inlineStr">
        <is>
          <t>NORDMALING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46218</v>
      </c>
      <c r="F434" t="inlineStr">
        <is>
          <t>VÄSTERBOTTENS LÄN</t>
        </is>
      </c>
      <c r="G434" t="inlineStr">
        <is>
          <t>NORDMALING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62219-2025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46218</v>
      </c>
      <c r="F435" t="inlineStr">
        <is>
          <t>VÄSTERBOTTENS LÄN</t>
        </is>
      </c>
      <c r="G435" t="inlineStr">
        <is>
          <t>NORDMALING</t>
        </is>
      </c>
      <c r="I435" t="n">
        <v>6.4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62061-2025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46006</v>
      </c>
      <c r="E436" s="1" t="n">
        <v>46218</v>
      </c>
      <c r="F436" t="inlineStr">
        <is>
          <t>VÄSTERBOTTENS LÄN</t>
        </is>
      </c>
      <c r="G436" t="inlineStr">
        <is>
          <t>NORDMALING</t>
        </is>
      </c>
      <c r="I436" t="n">
        <v>11.3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62151-2025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46218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62157-2025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46218</v>
      </c>
      <c r="F438" t="inlineStr">
        <is>
          <t>VÄSTERBOTTENS LÄN</t>
        </is>
      </c>
      <c r="G438" t="inlineStr">
        <is>
          <t>NORDMALING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62058-2025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46218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62078-2025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46218</v>
      </c>
      <c r="F440" t="inlineStr">
        <is>
          <t>VÄSTERBOTTENS LÄN</t>
        </is>
      </c>
      <c r="G440" t="inlineStr">
        <is>
          <t>NORDMALING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62165-2025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46218</v>
      </c>
      <c r="F441" t="inlineStr">
        <is>
          <t>VÄSTERBOTTENS LÄN</t>
        </is>
      </c>
      <c r="G441" t="inlineStr">
        <is>
          <t>NORDMALING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62928-2025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46218</v>
      </c>
      <c r="F442" t="inlineStr">
        <is>
          <t>VÄSTERBOTTENS LÄN</t>
        </is>
      </c>
      <c r="G442" t="inlineStr">
        <is>
          <t>NORDMALING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63037-2025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46218</v>
      </c>
      <c r="F443" t="inlineStr">
        <is>
          <t>VÄSTERBOTTENS LÄN</t>
        </is>
      </c>
      <c r="G443" t="inlineStr">
        <is>
          <t>NORDMALING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27125-2026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46218</v>
      </c>
      <c r="F444" t="inlineStr">
        <is>
          <t>VÄSTERBOTTENS LÄN</t>
        </is>
      </c>
      <c r="G444" t="inlineStr">
        <is>
          <t>NORDMALING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63007-2025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46218</v>
      </c>
      <c r="F445" t="inlineStr">
        <is>
          <t>VÄSTERBOTTENS LÄN</t>
        </is>
      </c>
      <c r="G445" t="inlineStr">
        <is>
          <t>NORDMALING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35786-2023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45147</v>
      </c>
      <c r="E446" s="1" t="n">
        <v>46218</v>
      </c>
      <c r="F446" t="inlineStr">
        <is>
          <t>VÄSTERBOTTENS LÄN</t>
        </is>
      </c>
      <c r="G446" t="inlineStr">
        <is>
          <t>NORDMALING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35801-2023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45147</v>
      </c>
      <c r="E447" s="1" t="n">
        <v>46218</v>
      </c>
      <c r="F447" t="inlineStr">
        <is>
          <t>VÄSTERBOTTENS LÄN</t>
        </is>
      </c>
      <c r="G447" t="inlineStr">
        <is>
          <t>NORDMALING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56674-2021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44480</v>
      </c>
      <c r="E448" s="1" t="n">
        <v>46218</v>
      </c>
      <c r="F448" t="inlineStr">
        <is>
          <t>VÄSTERBOTTENS LÄN</t>
        </is>
      </c>
      <c r="G448" t="inlineStr">
        <is>
          <t>NORDMALING</t>
        </is>
      </c>
      <c r="I448" t="n">
        <v>12.5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35792-2023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45147</v>
      </c>
      <c r="E449" s="1" t="n">
        <v>46218</v>
      </c>
      <c r="F449" t="inlineStr">
        <is>
          <t>VÄSTERBOTTENS LÄN</t>
        </is>
      </c>
      <c r="G449" t="inlineStr">
        <is>
          <t>NORDMALING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35797-2023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45147</v>
      </c>
      <c r="E450" s="1" t="n">
        <v>46218</v>
      </c>
      <c r="F450" t="inlineStr">
        <is>
          <t>VÄSTERBOTTENS LÄN</t>
        </is>
      </c>
      <c r="G450" t="inlineStr">
        <is>
          <t>NORDMALING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63253-2025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46218</v>
      </c>
      <c r="F451" t="inlineStr">
        <is>
          <t>VÄSTERBOTTENS LÄN</t>
        </is>
      </c>
      <c r="G451" t="inlineStr">
        <is>
          <t>NORDMALING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63256-2025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46218</v>
      </c>
      <c r="F452" t="inlineStr">
        <is>
          <t>VÄSTERBOTTENS LÄN</t>
        </is>
      </c>
      <c r="G452" t="inlineStr">
        <is>
          <t>NORDMALING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63266-2025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46218</v>
      </c>
      <c r="F453" t="inlineStr">
        <is>
          <t>VÄSTERBOTTENS LÄN</t>
        </is>
      </c>
      <c r="G453" t="inlineStr">
        <is>
          <t>NORDMALING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35803-2023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45147</v>
      </c>
      <c r="E454" s="1" t="n">
        <v>46218</v>
      </c>
      <c r="F454" t="inlineStr">
        <is>
          <t>VÄSTERBOTTENS LÄN</t>
        </is>
      </c>
      <c r="G454" t="inlineStr">
        <is>
          <t>NORDMALING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63813-2025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46020</v>
      </c>
      <c r="E455" s="1" t="n">
        <v>46218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63756-2025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46018</v>
      </c>
      <c r="E456" s="1" t="n">
        <v>46218</v>
      </c>
      <c r="F456" t="inlineStr">
        <is>
          <t>VÄSTERBOTTENS LÄN</t>
        </is>
      </c>
      <c r="G456" t="inlineStr">
        <is>
          <t>NORDMALING</t>
        </is>
      </c>
      <c r="I456" t="n">
        <v>12.8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58613-2022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44902</v>
      </c>
      <c r="E457" s="1" t="n">
        <v>46218</v>
      </c>
      <c r="F457" t="inlineStr">
        <is>
          <t>VÄSTERBOTTENS LÄN</t>
        </is>
      </c>
      <c r="G457" t="inlineStr">
        <is>
          <t>NORDMALING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63922-2025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46020</v>
      </c>
      <c r="E458" s="1" t="n">
        <v>46218</v>
      </c>
      <c r="F458" t="inlineStr">
        <is>
          <t>VÄSTERBOTTENS LÄN</t>
        </is>
      </c>
      <c r="G458" t="inlineStr">
        <is>
          <t>NORDMALING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63754-2025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46018</v>
      </c>
      <c r="E459" s="1" t="n">
        <v>46218</v>
      </c>
      <c r="F459" t="inlineStr">
        <is>
          <t>VÄSTERBOTTENS LÄN</t>
        </is>
      </c>
      <c r="G459" t="inlineStr">
        <is>
          <t>NORDMALING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63755-2025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46018</v>
      </c>
      <c r="E460" s="1" t="n">
        <v>46218</v>
      </c>
      <c r="F460" t="inlineStr">
        <is>
          <t>VÄSTERBOTTENS LÄN</t>
        </is>
      </c>
      <c r="G460" t="inlineStr">
        <is>
          <t>NORDMALING</t>
        </is>
      </c>
      <c r="I460" t="n">
        <v>16.2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64158-2025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46022</v>
      </c>
      <c r="E461" s="1" t="n">
        <v>46218</v>
      </c>
      <c r="F461" t="inlineStr">
        <is>
          <t>VÄSTERBOTTENS LÄN</t>
        </is>
      </c>
      <c r="G461" t="inlineStr">
        <is>
          <t>NORDMALING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53775-2023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45231</v>
      </c>
      <c r="E462" s="1" t="n">
        <v>46218</v>
      </c>
      <c r="F462" t="inlineStr">
        <is>
          <t>VÄSTERBOTTENS LÄN</t>
        </is>
      </c>
      <c r="G462" t="inlineStr">
        <is>
          <t>NORDMALING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60175-2022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44909</v>
      </c>
      <c r="E463" s="1" t="n">
        <v>46218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29344-2023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45105</v>
      </c>
      <c r="E464" s="1" t="n">
        <v>46218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46218</v>
      </c>
      <c r="F465" t="inlineStr">
        <is>
          <t>VÄSTERBOTTENS LÄN</t>
        </is>
      </c>
      <c r="G465" t="inlineStr">
        <is>
          <t>NORDMALING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27964-2026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46218</v>
      </c>
      <c r="F466" t="inlineStr">
        <is>
          <t>VÄSTERBOTTENS LÄN</t>
        </is>
      </c>
      <c r="G466" t="inlineStr">
        <is>
          <t>NORDMALING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27504-2022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44742</v>
      </c>
      <c r="E467" s="1" t="n">
        <v>46218</v>
      </c>
      <c r="F467" t="inlineStr">
        <is>
          <t>VÄSTERBOTTENS LÄN</t>
        </is>
      </c>
      <c r="G467" t="inlineStr">
        <is>
          <t>NORDMALING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46028</v>
      </c>
      <c r="E468" s="1" t="n">
        <v>46218</v>
      </c>
      <c r="F468" t="inlineStr">
        <is>
          <t>VÄSTERBOTTENS LÄN</t>
        </is>
      </c>
      <c r="G468" t="inlineStr">
        <is>
          <t>NORDMALING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36667-2021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44392</v>
      </c>
      <c r="E469" s="1" t="n">
        <v>46218</v>
      </c>
      <c r="F469" t="inlineStr">
        <is>
          <t>VÄSTERBOTTENS LÄN</t>
        </is>
      </c>
      <c r="G469" t="inlineStr">
        <is>
          <t>NORDMALING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46218</v>
      </c>
      <c r="F470" t="inlineStr">
        <is>
          <t>VÄSTERBOTTENS LÄN</t>
        </is>
      </c>
      <c r="G470" t="inlineStr">
        <is>
          <t>NORDMALING</t>
        </is>
      </c>
      <c r="I470" t="n">
        <v>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21952-2026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46151</v>
      </c>
      <c r="E471" s="1" t="n">
        <v>46218</v>
      </c>
      <c r="F471" t="inlineStr">
        <is>
          <t>VÄSTERBOTTENS LÄN</t>
        </is>
      </c>
      <c r="G471" t="inlineStr">
        <is>
          <t>NORDMALING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28025-2026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46218</v>
      </c>
      <c r="F472" t="inlineStr">
        <is>
          <t>VÄSTERBOTTENS LÄN</t>
        </is>
      </c>
      <c r="G472" t="inlineStr">
        <is>
          <t>NORDMALING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21947-2026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46151</v>
      </c>
      <c r="E473" s="1" t="n">
        <v>46218</v>
      </c>
      <c r="F473" t="inlineStr">
        <is>
          <t>VÄSTERBOTTENS LÄN</t>
        </is>
      </c>
      <c r="G473" t="inlineStr">
        <is>
          <t>NORDMALING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32965-2024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45517</v>
      </c>
      <c r="E474" s="1" t="n">
        <v>46218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Holmen skog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28445-2026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46218</v>
      </c>
      <c r="F475" t="inlineStr">
        <is>
          <t>VÄSTERBOTTENS LÄN</t>
        </is>
      </c>
      <c r="G475" t="inlineStr">
        <is>
          <t>NORDMALING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22581-2026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46218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43602-2024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46218</v>
      </c>
      <c r="F477" t="inlineStr">
        <is>
          <t>VÄSTERBOTTENS LÄN</t>
        </is>
      </c>
      <c r="G477" t="inlineStr">
        <is>
          <t>NORDMALING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46032</v>
      </c>
      <c r="E478" s="1" t="n">
        <v>46218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46218</v>
      </c>
      <c r="F479" t="inlineStr">
        <is>
          <t>VÄSTERBOTTENS LÄN</t>
        </is>
      </c>
      <c r="G479" t="inlineStr">
        <is>
          <t>NORDMALING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22669-2026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46218</v>
      </c>
      <c r="F480" t="inlineStr">
        <is>
          <t>VÄSTERBOTTENS LÄN</t>
        </is>
      </c>
      <c r="G480" t="inlineStr">
        <is>
          <t>NORDMALING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43735-2021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44433</v>
      </c>
      <c r="E481" s="1" t="n">
        <v>46218</v>
      </c>
      <c r="F481" t="inlineStr">
        <is>
          <t>VÄSTERBOTTENS LÄN</t>
        </is>
      </c>
      <c r="G481" t="inlineStr">
        <is>
          <t>NORDMALING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44475-2024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46218</v>
      </c>
      <c r="F482" t="inlineStr">
        <is>
          <t>VÄSTERBOTTENS LÄN</t>
        </is>
      </c>
      <c r="G482" t="inlineStr">
        <is>
          <t>NORDMALING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55810-2022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44888</v>
      </c>
      <c r="E483" s="1" t="n">
        <v>46218</v>
      </c>
      <c r="F483" t="inlineStr">
        <is>
          <t>VÄSTERBOTTENS LÄN</t>
        </is>
      </c>
      <c r="G483" t="inlineStr">
        <is>
          <t>NORDMALING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3104-2026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46218</v>
      </c>
      <c r="F484" t="inlineStr">
        <is>
          <t>VÄSTERBOTTENS LÄN</t>
        </is>
      </c>
      <c r="G484" t="inlineStr">
        <is>
          <t>NORDMALING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2724-2026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46218</v>
      </c>
      <c r="F485" t="inlineStr">
        <is>
          <t>VÄSTERBOTTENS LÄN</t>
        </is>
      </c>
      <c r="G485" t="inlineStr">
        <is>
          <t>NORDMALING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46218</v>
      </c>
      <c r="F486" t="inlineStr">
        <is>
          <t>VÄSTERBOTTENS LÄN</t>
        </is>
      </c>
      <c r="G486" t="inlineStr">
        <is>
          <t>NORDMALING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46218</v>
      </c>
      <c r="F487" t="inlineStr">
        <is>
          <t>VÄSTERBOTTENS LÄN</t>
        </is>
      </c>
      <c r="G487" t="inlineStr">
        <is>
          <t>NORDMALING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28957-2026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46218</v>
      </c>
      <c r="F488" t="inlineStr">
        <is>
          <t>VÄSTERBOTTENS LÄN</t>
        </is>
      </c>
      <c r="G488" t="inlineStr">
        <is>
          <t>NORDMALING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46218</v>
      </c>
      <c r="F489" t="inlineStr">
        <is>
          <t>VÄSTERBOTTENS LÄN</t>
        </is>
      </c>
      <c r="G489" t="inlineStr">
        <is>
          <t>NORDMALING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12374-2024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45378</v>
      </c>
      <c r="E490" s="1" t="n">
        <v>46218</v>
      </c>
      <c r="F490" t="inlineStr">
        <is>
          <t>VÄSTERBOTTENS LÄN</t>
        </is>
      </c>
      <c r="G490" t="inlineStr">
        <is>
          <t>NORDMALING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21607-2022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44706</v>
      </c>
      <c r="E491" s="1" t="n">
        <v>46218</v>
      </c>
      <c r="F491" t="inlineStr">
        <is>
          <t>VÄSTERBOTTENS LÄN</t>
        </is>
      </c>
      <c r="G491" t="inlineStr">
        <is>
          <t>NORDMALING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3931-2026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46218</v>
      </c>
      <c r="F492" t="inlineStr">
        <is>
          <t>VÄSTERBOTTENS LÄN</t>
        </is>
      </c>
      <c r="G492" t="inlineStr">
        <is>
          <t>NORDMALING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16212-2023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45028</v>
      </c>
      <c r="E493" s="1" t="n">
        <v>46218</v>
      </c>
      <c r="F493" t="inlineStr">
        <is>
          <t>VÄSTERBOTTENS LÄN</t>
        </is>
      </c>
      <c r="G493" t="inlineStr">
        <is>
          <t>NORDMALING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28314-2026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46218</v>
      </c>
      <c r="F494" t="inlineStr">
        <is>
          <t>VÄSTERBOTTENS LÄN</t>
        </is>
      </c>
      <c r="G494" t="inlineStr">
        <is>
          <t>NORDMALING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4332-2026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46218</v>
      </c>
      <c r="F495" t="inlineStr">
        <is>
          <t>VÄSTERBOTTENS LÄN</t>
        </is>
      </c>
      <c r="G495" t="inlineStr">
        <is>
          <t>NORDMALING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23056-2026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46218</v>
      </c>
      <c r="F496" t="inlineStr">
        <is>
          <t>VÄSTERBOTTENS LÄN</t>
        </is>
      </c>
      <c r="G496" t="inlineStr">
        <is>
          <t>NORDMALING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33343-2022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44788</v>
      </c>
      <c r="E497" s="1" t="n">
        <v>46218</v>
      </c>
      <c r="F497" t="inlineStr">
        <is>
          <t>VÄSTERBOTTENS LÄN</t>
        </is>
      </c>
      <c r="G497" t="inlineStr">
        <is>
          <t>NORDMALING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23005-2026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46160</v>
      </c>
      <c r="E498" s="1" t="n">
        <v>46218</v>
      </c>
      <c r="F498" t="inlineStr">
        <is>
          <t>VÄSTERBOTTENS LÄN</t>
        </is>
      </c>
      <c r="G498" t="inlineStr">
        <is>
          <t>NORDMALING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23006-2026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46160</v>
      </c>
      <c r="E499" s="1" t="n">
        <v>46218</v>
      </c>
      <c r="F499" t="inlineStr">
        <is>
          <t>VÄSTERBOTTENS LÄN</t>
        </is>
      </c>
      <c r="G499" t="inlineStr">
        <is>
          <t>NORDMALING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51746-2021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44462</v>
      </c>
      <c r="E500" s="1" t="n">
        <v>46218</v>
      </c>
      <c r="F500" t="inlineStr">
        <is>
          <t>VÄSTERBOTTENS LÄN</t>
        </is>
      </c>
      <c r="G500" t="inlineStr">
        <is>
          <t>NORDMALING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4898-2026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46048</v>
      </c>
      <c r="E501" s="1" t="n">
        <v>46218</v>
      </c>
      <c r="F501" t="inlineStr">
        <is>
          <t>VÄSTERBOTTENS LÄN</t>
        </is>
      </c>
      <c r="G501" t="inlineStr">
        <is>
          <t>NORDMALING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23022-2026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46218</v>
      </c>
      <c r="F502" t="inlineStr">
        <is>
          <t>VÄSTERBOTTENS LÄN</t>
        </is>
      </c>
      <c r="G502" t="inlineStr">
        <is>
          <t>NORDMALING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23017-2026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46218</v>
      </c>
      <c r="F503" t="inlineStr">
        <is>
          <t>VÄSTERBOTTENS LÄN</t>
        </is>
      </c>
      <c r="G503" t="inlineStr">
        <is>
          <t>NORDMALING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46218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5507-2026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46218</v>
      </c>
      <c r="F505" t="inlineStr">
        <is>
          <t>VÄSTERBOTTENS LÄN</t>
        </is>
      </c>
      <c r="G505" t="inlineStr">
        <is>
          <t>NORDMALING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46218</v>
      </c>
      <c r="F506" t="inlineStr">
        <is>
          <t>VÄSTERBOTTENS LÄN</t>
        </is>
      </c>
      <c r="G506" t="inlineStr">
        <is>
          <t>NORDMALING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23047-2026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46218</v>
      </c>
      <c r="F507" t="inlineStr">
        <is>
          <t>VÄSTERBOTTENS LÄN</t>
        </is>
      </c>
      <c r="G507" t="inlineStr">
        <is>
          <t>NORDMALING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46218</v>
      </c>
      <c r="F508" t="inlineStr">
        <is>
          <t>VÄSTERBOTTENS LÄN</t>
        </is>
      </c>
      <c r="G508" t="inlineStr">
        <is>
          <t>NORDMALING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29140-2026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46218</v>
      </c>
      <c r="F509" t="inlineStr">
        <is>
          <t>VÄSTERBOTTENS LÄN</t>
        </is>
      </c>
      <c r="G509" t="inlineStr">
        <is>
          <t>NORDMALING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23216-2026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46218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6624-2026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46218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7122-2026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46218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7123-2026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46058</v>
      </c>
      <c r="E513" s="1" t="n">
        <v>46218</v>
      </c>
      <c r="F513" t="inlineStr">
        <is>
          <t>VÄSTERBOTTENS LÄN</t>
        </is>
      </c>
      <c r="G513" t="inlineStr">
        <is>
          <t>NORDMALING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7159-2026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46218</v>
      </c>
      <c r="F514" t="inlineStr">
        <is>
          <t>VÄSTERBOTTENS LÄN</t>
        </is>
      </c>
      <c r="G514" t="inlineStr">
        <is>
          <t>NORDMALING</t>
        </is>
      </c>
      <c r="I514" t="n">
        <v>19.1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7732-2026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46218</v>
      </c>
      <c r="F515" t="inlineStr">
        <is>
          <t>VÄSTERBOTTENS LÄN</t>
        </is>
      </c>
      <c r="G515" t="inlineStr">
        <is>
          <t>NORDMALING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8535-2026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46218</v>
      </c>
      <c r="F516" t="inlineStr">
        <is>
          <t>VÄSTERBOTTENS LÄN</t>
        </is>
      </c>
      <c r="G516" t="inlineStr">
        <is>
          <t>NORDMALING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8534-2026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46218</v>
      </c>
      <c r="F517" t="inlineStr">
        <is>
          <t>VÄSTERBOTTENS LÄN</t>
        </is>
      </c>
      <c r="G517" t="inlineStr">
        <is>
          <t>NORDMALING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8694-2026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46218</v>
      </c>
      <c r="F518" t="inlineStr">
        <is>
          <t>VÄSTERBOTTENS LÄN</t>
        </is>
      </c>
      <c r="G518" t="inlineStr">
        <is>
          <t>NORDMALING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45691</v>
      </c>
      <c r="E519" s="1" t="n">
        <v>46218</v>
      </c>
      <c r="F519" t="inlineStr">
        <is>
          <t>VÄSTERBOTTENS LÄN</t>
        </is>
      </c>
      <c r="G519" t="inlineStr">
        <is>
          <t>NORDMALING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9863-2026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46218</v>
      </c>
      <c r="F520" t="inlineStr">
        <is>
          <t>VÄSTERBOTTENS LÄN</t>
        </is>
      </c>
      <c r="G520" t="inlineStr">
        <is>
          <t>NORDMALING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9869-2026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46218</v>
      </c>
      <c r="F521" t="inlineStr">
        <is>
          <t>VÄSTERBOTTENS LÄN</t>
        </is>
      </c>
      <c r="G521" t="inlineStr">
        <is>
          <t>NORDMALING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9692-2026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46218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10300-2026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46218</v>
      </c>
      <c r="F523" t="inlineStr">
        <is>
          <t>VÄSTERBOTTENS LÄN</t>
        </is>
      </c>
      <c r="G523" t="inlineStr">
        <is>
          <t>NORDMALING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24324-2026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46218</v>
      </c>
      <c r="F524" t="inlineStr">
        <is>
          <t>VÄSTERBOTTENS LÄN</t>
        </is>
      </c>
      <c r="G524" t="inlineStr">
        <is>
          <t>NORDMALING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30938-2026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46218</v>
      </c>
      <c r="F525" t="inlineStr">
        <is>
          <t>VÄSTERBOTTENS LÄN</t>
        </is>
      </c>
      <c r="G525" t="inlineStr">
        <is>
          <t>NORDMALING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30942-2026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46218</v>
      </c>
      <c r="F526" t="inlineStr">
        <is>
          <t>VÄSTERBOTTENS LÄN</t>
        </is>
      </c>
      <c r="G526" t="inlineStr">
        <is>
          <t>NORDMALING</t>
        </is>
      </c>
      <c r="I526" t="n">
        <v>6.1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30944-2026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46218</v>
      </c>
      <c r="F527" t="inlineStr">
        <is>
          <t>VÄSTERBOTTENS LÄN</t>
        </is>
      </c>
      <c r="G527" t="inlineStr">
        <is>
          <t>NORDMALING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46218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30918-2026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46218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25214-2026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46171</v>
      </c>
      <c r="E530" s="1" t="n">
        <v>46218</v>
      </c>
      <c r="F530" t="inlineStr">
        <is>
          <t>VÄSTERBOTTENS LÄN</t>
        </is>
      </c>
      <c r="G530" t="inlineStr">
        <is>
          <t>NORDMALING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30927-2026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46218</v>
      </c>
      <c r="F531" t="inlineStr">
        <is>
          <t>VÄSTERBOTTENS LÄN</t>
        </is>
      </c>
      <c r="G531" t="inlineStr">
        <is>
          <t>NORDMALING</t>
        </is>
      </c>
      <c r="I531" t="n">
        <v>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30778-2026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46218</v>
      </c>
      <c r="F532" t="inlineStr">
        <is>
          <t>VÄSTERBOTTENS LÄN</t>
        </is>
      </c>
      <c r="G532" t="inlineStr">
        <is>
          <t>NORDMALING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9867-2026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46218</v>
      </c>
      <c r="F533" t="inlineStr">
        <is>
          <t>VÄSTERBOTTENS LÄN</t>
        </is>
      </c>
      <c r="G533" t="inlineStr">
        <is>
          <t>NORDMALING</t>
        </is>
      </c>
      <c r="I533" t="n">
        <v>11.6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24901-2026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46218</v>
      </c>
      <c r="F534" t="inlineStr">
        <is>
          <t>VÄSTERBOTTENS LÄN</t>
        </is>
      </c>
      <c r="G534" t="inlineStr">
        <is>
          <t>NORDMALING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24929-2026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46218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13496-2026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46218</v>
      </c>
      <c r="F536" t="inlineStr">
        <is>
          <t>VÄSTERBOTTENS LÄN</t>
        </is>
      </c>
      <c r="G536" t="inlineStr">
        <is>
          <t>NORDMALING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24706-2026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46218</v>
      </c>
      <c r="F537" t="inlineStr">
        <is>
          <t>VÄSTERBOTTENS LÄN</t>
        </is>
      </c>
      <c r="G537" t="inlineStr">
        <is>
          <t>NORDMALING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24909-2026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46218</v>
      </c>
      <c r="F538" t="inlineStr">
        <is>
          <t>VÄSTERBOTTENS LÄN</t>
        </is>
      </c>
      <c r="G538" t="inlineStr">
        <is>
          <t>NORDMALING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13566-2026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46218</v>
      </c>
      <c r="F539" t="inlineStr">
        <is>
          <t>VÄSTERBOTTENS LÄN</t>
        </is>
      </c>
      <c r="G539" t="inlineStr">
        <is>
          <t>NORDMALING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13559-2026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46218</v>
      </c>
      <c r="F540" t="inlineStr">
        <is>
          <t>VÄSTERBOTTENS LÄN</t>
        </is>
      </c>
      <c r="G540" t="inlineStr">
        <is>
          <t>NORDMALING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15970-2026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46108</v>
      </c>
      <c r="E541" s="1" t="n">
        <v>46218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46218</v>
      </c>
      <c r="F542" t="inlineStr">
        <is>
          <t>VÄSTERBOTTENS LÄN</t>
        </is>
      </c>
      <c r="G542" t="inlineStr">
        <is>
          <t>NORDMALING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16392-2026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46218</v>
      </c>
      <c r="F543" t="inlineStr">
        <is>
          <t>VÄSTERBOTTENS LÄN</t>
        </is>
      </c>
      <c r="G543" t="inlineStr">
        <is>
          <t>NORDMALING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16713-2026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46218</v>
      </c>
      <c r="F544" t="inlineStr">
        <is>
          <t>VÄSTERBOTTENS LÄN</t>
        </is>
      </c>
      <c r="G544" t="inlineStr">
        <is>
          <t>NORDMALING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16932-2026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46218</v>
      </c>
      <c r="F545" t="inlineStr">
        <is>
          <t>VÄSTERBOTTENS LÄN</t>
        </is>
      </c>
      <c r="G545" t="inlineStr">
        <is>
          <t>NORDMALING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17451-2026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46116</v>
      </c>
      <c r="E546" s="1" t="n">
        <v>46218</v>
      </c>
      <c r="F546" t="inlineStr">
        <is>
          <t>VÄSTERBOTTENS LÄN</t>
        </is>
      </c>
      <c r="G546" t="inlineStr">
        <is>
          <t>NORDMALING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18039-2026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46218</v>
      </c>
      <c r="F547" t="inlineStr">
        <is>
          <t>VÄSTERBOTTENS LÄN</t>
        </is>
      </c>
      <c r="G547" t="inlineStr">
        <is>
          <t>NORDMALING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18042-2026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46218</v>
      </c>
      <c r="F548" t="inlineStr">
        <is>
          <t>VÄSTERBOTTENS LÄN</t>
        </is>
      </c>
      <c r="G548" t="inlineStr">
        <is>
          <t>NORDMALING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18589-2026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46218</v>
      </c>
      <c r="F549" t="inlineStr">
        <is>
          <t>VÄSTERBOTTENS LÄN</t>
        </is>
      </c>
      <c r="G549" t="inlineStr">
        <is>
          <t>NORDMALING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18894-2026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46129</v>
      </c>
      <c r="E550" s="1" t="n">
        <v>46218</v>
      </c>
      <c r="F550" t="inlineStr">
        <is>
          <t>VÄSTERBOTTENS LÄN</t>
        </is>
      </c>
      <c r="G550" t="inlineStr">
        <is>
          <t>NORDMALING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18881-2026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46129</v>
      </c>
      <c r="E551" s="1" t="n">
        <v>46218</v>
      </c>
      <c r="F551" t="inlineStr">
        <is>
          <t>VÄSTERBOTTENS LÄN</t>
        </is>
      </c>
      <c r="G551" t="inlineStr">
        <is>
          <t>NORDMALING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18786-2026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46218</v>
      </c>
      <c r="F552" t="inlineStr">
        <is>
          <t>VÄSTERBOTTENS LÄN</t>
        </is>
      </c>
      <c r="G552" t="inlineStr">
        <is>
          <t>NORDMALING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18788-2026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46218</v>
      </c>
      <c r="F553" t="inlineStr">
        <is>
          <t>VÄSTERBOTTENS LÄN</t>
        </is>
      </c>
      <c r="G553" t="inlineStr">
        <is>
          <t>NORDMALING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9853-2026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46218</v>
      </c>
      <c r="F554" t="inlineStr">
        <is>
          <t>VÄSTERBOTTENS LÄN</t>
        </is>
      </c>
      <c r="G554" t="inlineStr">
        <is>
          <t>NORDMALING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18839-2026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46129</v>
      </c>
      <c r="E555" s="1" t="n">
        <v>46218</v>
      </c>
      <c r="F555" t="inlineStr">
        <is>
          <t>VÄSTERBOTTENS LÄN</t>
        </is>
      </c>
      <c r="G555" t="inlineStr">
        <is>
          <t>NORDMALING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19143-2026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46132</v>
      </c>
      <c r="E556" s="1" t="n">
        <v>46218</v>
      </c>
      <c r="F556" t="inlineStr">
        <is>
          <t>VÄSTERBOTTENS LÄN</t>
        </is>
      </c>
      <c r="G556" t="inlineStr">
        <is>
          <t>NORDMALING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19158-2026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46218</v>
      </c>
      <c r="F557" t="inlineStr">
        <is>
          <t>VÄSTERBOTTENS LÄN</t>
        </is>
      </c>
      <c r="G557" t="inlineStr">
        <is>
          <t>NORDMALING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19154-2026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46132</v>
      </c>
      <c r="E558" s="1" t="n">
        <v>46218</v>
      </c>
      <c r="F558" t="inlineStr">
        <is>
          <t>VÄSTERBOTTENS LÄN</t>
        </is>
      </c>
      <c r="G558" t="inlineStr">
        <is>
          <t>NORDMALING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19147-2026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46218</v>
      </c>
      <c r="F559" t="inlineStr">
        <is>
          <t>VÄSTERBOTTENS LÄN</t>
        </is>
      </c>
      <c r="G559" t="inlineStr">
        <is>
          <t>NORDMALING</t>
        </is>
      </c>
      <c r="I559" t="n">
        <v>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19797-2026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46135</v>
      </c>
      <c r="E560" s="1" t="n">
        <v>46218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SCA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19565-2026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46218</v>
      </c>
      <c r="F561" t="inlineStr">
        <is>
          <t>VÄSTERBOTTENS LÄN</t>
        </is>
      </c>
      <c r="G561" t="inlineStr">
        <is>
          <t>NORDMALING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25272-2026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46218</v>
      </c>
      <c r="F562" t="inlineStr">
        <is>
          <t>VÄSTERBOTTENS LÄN</t>
        </is>
      </c>
      <c r="G562" t="inlineStr">
        <is>
          <t>NORDMALING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19731-2026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46135</v>
      </c>
      <c r="E563" s="1" t="n">
        <v>46218</v>
      </c>
      <c r="F563" t="inlineStr">
        <is>
          <t>VÄSTERBOTTENS LÄN</t>
        </is>
      </c>
      <c r="G563" t="inlineStr">
        <is>
          <t>NORDMALING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46218</v>
      </c>
      <c r="F564" t="inlineStr">
        <is>
          <t>VÄSTERBOTTENS LÄN</t>
        </is>
      </c>
      <c r="G564" t="inlineStr">
        <is>
          <t>NORDMALING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54837-2024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45618</v>
      </c>
      <c r="E565" s="1" t="n">
        <v>46218</v>
      </c>
      <c r="F565" t="inlineStr">
        <is>
          <t>VÄSTERBOTTENS LÄN</t>
        </is>
      </c>
      <c r="G565" t="inlineStr">
        <is>
          <t>NORDMALING</t>
        </is>
      </c>
      <c r="I565" t="n">
        <v>10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25996-2026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46218</v>
      </c>
      <c r="F566" t="inlineStr">
        <is>
          <t>VÄSTERBOTTENS LÄN</t>
        </is>
      </c>
      <c r="G566" t="inlineStr">
        <is>
          <t>NORDMALING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45877</v>
      </c>
      <c r="E567" s="1" t="n">
        <v>46218</v>
      </c>
      <c r="F567" t="inlineStr">
        <is>
          <t>VÄSTERBOTTENS LÄN</t>
        </is>
      </c>
      <c r="G567" t="inlineStr">
        <is>
          <t>NORDMALING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39573-2025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45890</v>
      </c>
      <c r="E568" s="1" t="n">
        <v>46218</v>
      </c>
      <c r="F568" t="inlineStr">
        <is>
          <t>VÄSTERBOTTENS LÄN</t>
        </is>
      </c>
      <c r="G568" t="inlineStr">
        <is>
          <t>NORDMALING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36129-2025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45866</v>
      </c>
      <c r="E569" s="1" t="n">
        <v>46218</v>
      </c>
      <c r="F569" t="inlineStr">
        <is>
          <t>VÄSTERBOTTENS LÄN</t>
        </is>
      </c>
      <c r="G569" t="inlineStr">
        <is>
          <t>NORDMALING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830-2022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44603</v>
      </c>
      <c r="E570" s="1" t="n">
        <v>46218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183.1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46218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46218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44559</v>
      </c>
      <c r="E573" s="1" t="n">
        <v>46218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Holmen skog AB</t>
        </is>
      </c>
      <c r="I573" t="n">
        <v>18.8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73-2025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45667</v>
      </c>
      <c r="E574" s="1" t="n">
        <v>46218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9259-2021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44517</v>
      </c>
      <c r="E575" s="1" t="n">
        <v>46218</v>
      </c>
      <c r="F575" t="inlineStr">
        <is>
          <t>VÄSTERBOTTENS LÄN</t>
        </is>
      </c>
      <c r="G575" t="inlineStr">
        <is>
          <t>NORDMALING</t>
        </is>
      </c>
      <c r="I575" t="n">
        <v>17.8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4194-2023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45250</v>
      </c>
      <c r="E576" s="1" t="n">
        <v>46218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Holmen skog AB</t>
        </is>
      </c>
      <c r="I576" t="n">
        <v>27.6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5071-2024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45638</v>
      </c>
      <c r="E577" s="1" t="n">
        <v>46218</v>
      </c>
      <c r="F577" t="inlineStr">
        <is>
          <t>VÄSTERBOTTENS LÄN</t>
        </is>
      </c>
      <c r="G577" t="inlineStr">
        <is>
          <t>NORDMALING</t>
        </is>
      </c>
      <c r="I577" t="n">
        <v>19.9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1247-2025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46218</v>
      </c>
      <c r="F578" t="inlineStr">
        <is>
          <t>VÄSTERBOTTENS LÄN</t>
        </is>
      </c>
      <c r="G578" t="inlineStr">
        <is>
          <t>NORDMALING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1248-2025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45762</v>
      </c>
      <c r="E579" s="1" t="n">
        <v>46218</v>
      </c>
      <c r="F579" t="inlineStr">
        <is>
          <t>VÄSTERBOTTENS LÄN</t>
        </is>
      </c>
      <c r="G579" t="inlineStr">
        <is>
          <t>NORDMALING</t>
        </is>
      </c>
      <c r="I579" t="n">
        <v>9.4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445-2026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46218</v>
      </c>
      <c r="F580" t="inlineStr">
        <is>
          <t>VÄSTERBOTTENS LÄN</t>
        </is>
      </c>
      <c r="G580" t="inlineStr">
        <is>
          <t>NORDMALING</t>
        </is>
      </c>
      <c r="I580" t="n">
        <v>13.4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440-2026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46070</v>
      </c>
      <c r="E581" s="1" t="n">
        <v>46218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Holmen skog AB</t>
        </is>
      </c>
      <c r="I581" t="n">
        <v>73.59999999999999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46218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443-2026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46071</v>
      </c>
      <c r="E583" s="1" t="n">
        <v>46218</v>
      </c>
      <c r="F583" t="inlineStr">
        <is>
          <t>VÄSTERBOTTENS LÄN</t>
        </is>
      </c>
      <c r="G583" t="inlineStr">
        <is>
          <t>NORDMALING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1170-2026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46135</v>
      </c>
      <c r="E584" s="1" t="n">
        <v>46218</v>
      </c>
      <c r="F584" t="inlineStr">
        <is>
          <t>VÄSTERBOTTENS LÄN</t>
        </is>
      </c>
      <c r="G584" t="inlineStr">
        <is>
          <t>NORDMALING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>
      <c r="A585" t="inlineStr">
        <is>
          <t>S 1299-2026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46148</v>
      </c>
      <c r="E585" s="1" t="n">
        <v>46218</v>
      </c>
      <c r="F585" t="inlineStr">
        <is>
          <t>VÄSTERBOTTENS LÄN</t>
        </is>
      </c>
      <c r="G585" t="inlineStr">
        <is>
          <t>NORDMALING</t>
        </is>
      </c>
      <c r="I585" t="n">
        <v>17.6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2026-07-15T01:24:53Z</dcterms:created>
  <dcterms:modified xmlns:dcterms="http://purl.org/dc/terms/" xmlns:xsi="http://www.w3.org/2001/XMLSchema-instance" xsi:type="dcterms:W3CDTF">2026-07-15T01:24:54Z</dcterms:modified>
</cp:coreProperties>
</file>