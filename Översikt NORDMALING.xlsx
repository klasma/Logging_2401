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46227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46227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46227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46227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46227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46227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46227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46227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46227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46227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24944-2022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46227</v>
      </c>
      <c r="F17" t="inlineStr">
        <is>
          <t>VÄSTERBOTTENS LÄN</t>
        </is>
      </c>
      <c r="G17" t="inlineStr">
        <is>
          <t>NORDMALING</t>
        </is>
      </c>
      <c r="I17" t="n">
        <v>1.2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Knärot
Jättesvampmal
Vanlig groda
Fläcknycklar</t>
        </is>
      </c>
      <c r="W17">
        <f>HYPERLINK("https://klasma.github.io/Logging_2401/artfynd/A 24944-2022 artfynd.xlsx", "A 24944-2022")</f>
        <v/>
      </c>
      <c r="X17">
        <f>HYPERLINK("https://klasma.github.io/Logging_2401/kartor/A 24944-2022 karta.png", "A 24944-2022")</f>
        <v/>
      </c>
      <c r="Y17">
        <f>HYPERLINK("https://klasma.github.io/Logging_2401/kartor_geotiff/A 24944-2022 georefererad karta.tif", "A 24944-2022")</f>
        <v/>
      </c>
      <c r="Z17">
        <f>HYPERLINK("https://klasma.github.io/Logging_2401/knärot/A 24944-2022 karta knärot.png", "A 24944-2022")</f>
        <v/>
      </c>
      <c r="AA17">
        <f>HYPERLINK("https://klasma.github.io/Logging_2401/klagomål/A 24944-2022 FSC-klagomål.docx", "A 24944-2022")</f>
        <v/>
      </c>
      <c r="AB17">
        <f>HYPERLINK("https://klasma.github.io/Logging_2401/klagomålsmail/A 24944-2022 FSC-klagomål mail.docx", "A 24944-2022")</f>
        <v/>
      </c>
      <c r="AC17">
        <f>HYPERLINK("https://klasma.github.io/Logging_2401/tillsyn/A 24944-2022 tillsynsbegäran.docx", "A 24944-2022")</f>
        <v/>
      </c>
      <c r="AD17">
        <f>HYPERLINK("https://klasma.github.io/Logging_2401/tillsynsmail/A 24944-2022 tillsynsbegäran mail.docx", "A 24944-2022")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46227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46227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37133-2022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44806</v>
      </c>
      <c r="E20" s="1" t="n">
        <v>46227</v>
      </c>
      <c r="F20" t="inlineStr">
        <is>
          <t>VÄSTERBOTTENS LÄN</t>
        </is>
      </c>
      <c r="G20" t="inlineStr">
        <is>
          <t>NORDMALING</t>
        </is>
      </c>
      <c r="I20" t="n">
        <v>17.3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Garnlav
Violettgrå tagellav
Bronshjon
Vedticka</t>
        </is>
      </c>
      <c r="W20">
        <f>HYPERLINK("https://klasma.github.io/Logging_2401/artfynd/A 37133-2022 artfynd.xlsx", "A 37133-2022")</f>
        <v/>
      </c>
      <c r="X20">
        <f>HYPERLINK("https://klasma.github.io/Logging_2401/kartor/A 37133-2022 karta.png", "A 37133-2022")</f>
        <v/>
      </c>
      <c r="Y20">
        <f>HYPERLINK("https://klasma.github.io/Logging_2401/kartor_geotiff/A 37133-2022 georefererad karta.tif", "A 37133-2022")</f>
        <v/>
      </c>
      <c r="AA20">
        <f>HYPERLINK("https://klasma.github.io/Logging_2401/klagomål/A 37133-2022 FSC-klagomål.docx", "A 37133-2022")</f>
        <v/>
      </c>
      <c r="AB20">
        <f>HYPERLINK("https://klasma.github.io/Logging_2401/klagomålsmail/A 37133-2022 FSC-klagomål mail.docx", "A 37133-2022")</f>
        <v/>
      </c>
      <c r="AC20">
        <f>HYPERLINK("https://klasma.github.io/Logging_2401/tillsyn/A 37133-2022 tillsynsbegäran.docx", "A 37133-2022")</f>
        <v/>
      </c>
      <c r="AD20">
        <f>HYPERLINK("https://klasma.github.io/Logging_2401/tillsynsmail/A 37133-2022 tillsynsbegäran mail.docx", "A 37133-2022")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46227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46227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46227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46227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46227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46227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46227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46227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Björktrast
Tjäder
Ärtsångare</t>
        </is>
      </c>
      <c r="W28">
        <f>HYPERLINK("https://klasma.github.io/Logging_2401/artfynd/A 6225-2023 artfynd.xlsx", "A 6225-2023")</f>
        <v/>
      </c>
      <c r="X28">
        <f>HYPERLINK("https://klasma.github.io/Logging_2401/kartor/A 6225-2023 karta.png", "A 6225-2023")</f>
        <v/>
      </c>
      <c r="Y28">
        <f>HYPERLINK("https://klasma.github.io/Logging_2401/kartor_geotiff/A 6225-2023 georefererad karta.tif", "A 6225-2023")</f>
        <v/>
      </c>
      <c r="AA28">
        <f>HYPERLINK("https://klasma.github.io/Logging_2401/klagomål/A 6225-2023 FSC-klagomål.docx", "A 6225-2023")</f>
        <v/>
      </c>
      <c r="AB28">
        <f>HYPERLINK("https://klasma.github.io/Logging_2401/klagomålsmail/A 6225-2023 FSC-klagomål mail.docx", "A 6225-2023")</f>
        <v/>
      </c>
      <c r="AC28">
        <f>HYPERLINK("https://klasma.github.io/Logging_2401/tillsyn/A 6225-2023 tillsynsbegäran.docx", "A 6225-2023")</f>
        <v/>
      </c>
      <c r="AD28">
        <f>HYPERLINK("https://klasma.github.io/Logging_2401/tillsynsmail/A 6225-2023 tillsynsbegäran mail.docx", "A 6225-2023")</f>
        <v/>
      </c>
      <c r="AE28">
        <f>HYPERLINK("https://klasma.github.io/Logging_2401/fåglar/A 6225-2023 prioriterade fågelarter.docx", "A 6225-2023")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46227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46227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46227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46227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46227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46227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46227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46227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46227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6993-2024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45343</v>
      </c>
      <c r="E43" s="1" t="n">
        <v>46227</v>
      </c>
      <c r="F43" t="inlineStr">
        <is>
          <t>VÄSTERBOTTENS LÄN</t>
        </is>
      </c>
      <c r="G43" t="inlineStr">
        <is>
          <t>NORDMALING</t>
        </is>
      </c>
      <c r="H43" t="inlineStr">
        <is>
          <t>Kommuner</t>
        </is>
      </c>
      <c r="I43" t="n">
        <v>23.2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HYPERLINK("https://klasma.github.io/Logging_2401/artfynd/A 6993-2024 artfynd.xlsx", "A 6993-2024")</f>
        <v/>
      </c>
      <c r="X43">
        <f>HYPERLINK("https://klasma.github.io/Logging_2401/kartor/A 6993-2024 karta.png", "A 6993-2024")</f>
        <v/>
      </c>
      <c r="Y43">
        <f>HYPERLINK("https://klasma.github.io/Logging_2401/kartor_geotiff/A 6993-2024 georefererad karta.tif", "A 6993-2024")</f>
        <v/>
      </c>
      <c r="AA43">
        <f>HYPERLINK("https://klasma.github.io/Logging_2401/klagomål/A 6993-2024 FSC-klagomål.docx", "A 6993-2024")</f>
        <v/>
      </c>
      <c r="AB43">
        <f>HYPERLINK("https://klasma.github.io/Logging_2401/klagomålsmail/A 6993-2024 FSC-klagomål mail.docx", "A 6993-2024")</f>
        <v/>
      </c>
      <c r="AC43">
        <f>HYPERLINK("https://klasma.github.io/Logging_2401/tillsyn/A 6993-2024 tillsynsbegäran.docx", "A 6993-2024")</f>
        <v/>
      </c>
      <c r="AD43">
        <f>HYPERLINK("https://klasma.github.io/Logging_2401/tillsynsmail/A 6993-2024 tillsynsbegäran mail.docx", "A 6993-2024")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46227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46227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46227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46227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46227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46227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46227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23496-2022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44721</v>
      </c>
      <c r="E51" s="1" t="n">
        <v>46227</v>
      </c>
      <c r="F51" t="inlineStr">
        <is>
          <t>VÄSTERBOTTENS LÄN</t>
        </is>
      </c>
      <c r="G51" t="inlineStr">
        <is>
          <t>NORDMALING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23496-2022 artfynd.xlsx", "A 23496-2022")</f>
        <v/>
      </c>
      <c r="X51">
        <f>HYPERLINK("https://klasma.github.io/Logging_2401/kartor/A 23496-2022 karta.png", "A 23496-2022")</f>
        <v/>
      </c>
      <c r="Y51">
        <f>HYPERLINK("https://klasma.github.io/Logging_2401/kartor_geotiff/A 23496-2022 georefererad karta.tif", "A 23496-2022")</f>
        <v/>
      </c>
      <c r="AA51">
        <f>HYPERLINK("https://klasma.github.io/Logging_2401/klagomål/A 23496-2022 FSC-klagomål.docx", "A 23496-2022")</f>
        <v/>
      </c>
      <c r="AB51">
        <f>HYPERLINK("https://klasma.github.io/Logging_2401/klagomålsmail/A 23496-2022 FSC-klagomål mail.docx", "A 23496-2022")</f>
        <v/>
      </c>
      <c r="AC51">
        <f>HYPERLINK("https://klasma.github.io/Logging_2401/tillsyn/A 23496-2022 tillsynsbegäran.docx", "A 23496-2022")</f>
        <v/>
      </c>
      <c r="AD51">
        <f>HYPERLINK("https://klasma.github.io/Logging_2401/tillsynsmail/A 23496-2022 tillsynsbegäran mail.docx", "A 23496-2022")</f>
        <v/>
      </c>
      <c r="AE51">
        <f>HYPERLINK("https://klasma.github.io/Logging_2401/fåglar/A 23496-2022 prioriterade fågelarter.docx", "A 23496-2022")</f>
        <v/>
      </c>
    </row>
    <row r="52" ht="15" customHeight="1">
      <c r="A52" t="inlineStr">
        <is>
          <t>A 48999-2025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45937</v>
      </c>
      <c r="E52" s="1" t="n">
        <v>46227</v>
      </c>
      <c r="F52" t="inlineStr">
        <is>
          <t>VÄSTERBOTTENS LÄN</t>
        </is>
      </c>
      <c r="G52" t="inlineStr">
        <is>
          <t>NORDMALING</t>
        </is>
      </c>
      <c r="I52" t="n">
        <v>5.1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HYPERLINK("https://klasma.github.io/Logging_2401/artfynd/A 48999-2025 artfynd.xlsx", "A 48999-2025")</f>
        <v/>
      </c>
      <c r="X52">
        <f>HYPERLINK("https://klasma.github.io/Logging_2401/kartor/A 48999-2025 karta.png", "A 48999-2025")</f>
        <v/>
      </c>
      <c r="Y52">
        <f>HYPERLINK("https://klasma.github.io/Logging_2401/kartor_geotiff/A 48999-2025 georefererad karta.tif", "A 48999-2025")</f>
        <v/>
      </c>
      <c r="AA52">
        <f>HYPERLINK("https://klasma.github.io/Logging_2401/klagomål/A 48999-2025 FSC-klagomål.docx", "A 48999-2025")</f>
        <v/>
      </c>
      <c r="AB52">
        <f>HYPERLINK("https://klasma.github.io/Logging_2401/klagomålsmail/A 48999-2025 FSC-klagomål mail.docx", "A 48999-2025")</f>
        <v/>
      </c>
      <c r="AC52">
        <f>HYPERLINK("https://klasma.github.io/Logging_2401/tillsyn/A 48999-2025 tillsynsbegäran.docx", "A 48999-2025")</f>
        <v/>
      </c>
      <c r="AD52">
        <f>HYPERLINK("https://klasma.github.io/Logging_2401/tillsynsmail/A 48999-2025 tillsynsbegäran mail.docx", "A 48999-2025")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46227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HYPERLINK("https://klasma.github.io/Logging_2401/artfynd/A 61867-2024 artfynd.xlsx", "A 61867-2024")</f>
        <v/>
      </c>
      <c r="X53">
        <f>HYPERLINK("https://klasma.github.io/Logging_2401/kartor/A 61867-2024 karta.png", "A 61867-2024")</f>
        <v/>
      </c>
      <c r="Y53">
        <f>HYPERLINK("https://klasma.github.io/Logging_2401/kartor_geotiff/A 61867-2024 georefererad karta.tif", "A 61867-2024")</f>
        <v/>
      </c>
      <c r="AA53">
        <f>HYPERLINK("https://klasma.github.io/Logging_2401/klagomål/A 61867-2024 FSC-klagomål.docx", "A 61867-2024")</f>
        <v/>
      </c>
      <c r="AB53">
        <f>HYPERLINK("https://klasma.github.io/Logging_2401/klagomålsmail/A 61867-2024 FSC-klagomål mail.docx", "A 61867-2024")</f>
        <v/>
      </c>
      <c r="AC53">
        <f>HYPERLINK("https://klasma.github.io/Logging_2401/tillsyn/A 61867-2024 tillsynsbegäran.docx", "A 61867-2024")</f>
        <v/>
      </c>
      <c r="AD53">
        <f>HYPERLINK("https://klasma.github.io/Logging_2401/tillsynsmail/A 61867-2024 tillsynsbegäran mail.docx", "A 61867-2024")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46227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63779-2023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45275</v>
      </c>
      <c r="E55" s="1" t="n">
        <v>46227</v>
      </c>
      <c r="F55" t="inlineStr">
        <is>
          <t>VÄSTERBOTTENS LÄN</t>
        </is>
      </c>
      <c r="G55" t="inlineStr">
        <is>
          <t>NORDMALING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63779-2023 artfynd.xlsx", "A 63779-2023")</f>
        <v/>
      </c>
      <c r="X55">
        <f>HYPERLINK("https://klasma.github.io/Logging_2401/kartor/A 63779-2023 karta.png", "A 63779-2023")</f>
        <v/>
      </c>
      <c r="Y55">
        <f>HYPERLINK("https://klasma.github.io/Logging_2401/kartor_geotiff/A 63779-2023 georefererad karta.tif", "A 63779-2023")</f>
        <v/>
      </c>
      <c r="AA55">
        <f>HYPERLINK("https://klasma.github.io/Logging_2401/klagomål/A 63779-2023 FSC-klagomål.docx", "A 63779-2023")</f>
        <v/>
      </c>
      <c r="AB55">
        <f>HYPERLINK("https://klasma.github.io/Logging_2401/klagomålsmail/A 63779-2023 FSC-klagomål mail.docx", "A 63779-2023")</f>
        <v/>
      </c>
      <c r="AC55">
        <f>HYPERLINK("https://klasma.github.io/Logging_2401/tillsyn/A 63779-2023 tillsynsbegäran.docx", "A 63779-2023")</f>
        <v/>
      </c>
      <c r="AD55">
        <f>HYPERLINK("https://klasma.github.io/Logging_2401/tillsynsmail/A 63779-2023 tillsynsbegäran mail.docx", "A 63779-2023")</f>
        <v/>
      </c>
      <c r="AE55">
        <f>HYPERLINK("https://klasma.github.io/Logging_2401/fåglar/A 63779-2023 prioriterade fågelarter.docx", "A 63779-2023")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46227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18897-2026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46129</v>
      </c>
      <c r="E57" s="1" t="n">
        <v>46227</v>
      </c>
      <c r="F57" t="inlineStr">
        <is>
          <t>VÄSTERBOTTENS LÄN</t>
        </is>
      </c>
      <c r="G57" t="inlineStr">
        <is>
          <t>NORDMALING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Trana</t>
        </is>
      </c>
      <c r="W57">
        <f>HYPERLINK("https://klasma.github.io/Logging_2401/artfynd/A 18897-2026 artfynd.xlsx", "A 18897-2026")</f>
        <v/>
      </c>
      <c r="X57">
        <f>HYPERLINK("https://klasma.github.io/Logging_2401/kartor/A 18897-2026 karta.png", "A 18897-2026")</f>
        <v/>
      </c>
      <c r="Y57">
        <f>HYPERLINK("https://klasma.github.io/Logging_2401/kartor_geotiff/A 18897-2026 georefererad karta.tif", "A 18897-2026")</f>
        <v/>
      </c>
      <c r="AA57">
        <f>HYPERLINK("https://klasma.github.io/Logging_2401/klagomål/A 18897-2026 FSC-klagomål.docx", "A 18897-2026")</f>
        <v/>
      </c>
      <c r="AB57">
        <f>HYPERLINK("https://klasma.github.io/Logging_2401/klagomålsmail/A 18897-2026 FSC-klagomål mail.docx", "A 18897-2026")</f>
        <v/>
      </c>
      <c r="AC57">
        <f>HYPERLINK("https://klasma.github.io/Logging_2401/tillsyn/A 18897-2026 tillsynsbegäran.docx", "A 18897-2026")</f>
        <v/>
      </c>
      <c r="AD57">
        <f>HYPERLINK("https://klasma.github.io/Logging_2401/tillsynsmail/A 18897-2026 tillsynsbegäran mail.docx", "A 18897-2026")</f>
        <v/>
      </c>
      <c r="AE57">
        <f>HYPERLINK("https://klasma.github.io/Logging_2401/fåglar/A 18897-2026 prioriterade fågelarter.docx", "A 18897-2026")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46227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37546-2023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45158</v>
      </c>
      <c r="E59" s="1" t="n">
        <v>46227</v>
      </c>
      <c r="F59" t="inlineStr">
        <is>
          <t>VÄSTERBOTTENS LÄN</t>
        </is>
      </c>
      <c r="G59" t="inlineStr">
        <is>
          <t>NORDMALING</t>
        </is>
      </c>
      <c r="I59" t="n">
        <v>4.7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HYPERLINK("https://klasma.github.io/Logging_2401/artfynd/A 37546-2023 artfynd.xlsx", "A 37546-2023")</f>
        <v/>
      </c>
      <c r="X59">
        <f>HYPERLINK("https://klasma.github.io/Logging_2401/kartor/A 37546-2023 karta.png", "A 37546-2023")</f>
        <v/>
      </c>
      <c r="Y59">
        <f>HYPERLINK("https://klasma.github.io/Logging_2401/kartor_geotiff/A 37546-2023 georefererad karta.tif", "A 37546-2023")</f>
        <v/>
      </c>
      <c r="AA59">
        <f>HYPERLINK("https://klasma.github.io/Logging_2401/klagomål/A 37546-2023 FSC-klagomål.docx", "A 37546-2023")</f>
        <v/>
      </c>
      <c r="AB59">
        <f>HYPERLINK("https://klasma.github.io/Logging_2401/klagomålsmail/A 37546-2023 FSC-klagomål mail.docx", "A 37546-2023")</f>
        <v/>
      </c>
      <c r="AC59">
        <f>HYPERLINK("https://klasma.github.io/Logging_2401/tillsyn/A 37546-2023 tillsynsbegäran.docx", "A 37546-2023")</f>
        <v/>
      </c>
      <c r="AD59">
        <f>HYPERLINK("https://klasma.github.io/Logging_2401/tillsynsmail/A 37546-2023 tillsynsbegäran mail.docx", "A 37546-2023")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46227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46227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HYPERLINK("https://klasma.github.io/Logging_2401/artfynd/A 30921-2026 artfynd.xlsx", "A 30921-2026")</f>
        <v/>
      </c>
      <c r="X61">
        <f>HYPERLINK("https://klasma.github.io/Logging_2401/kartor/A 30921-2026 karta.png", "A 30921-2026")</f>
        <v/>
      </c>
      <c r="Y61">
        <f>HYPERLINK("https://klasma.github.io/Logging_2401/kartor_geotiff/A 30921-2026 georefererad karta.tif", "A 30921-2026")</f>
        <v/>
      </c>
      <c r="AA61">
        <f>HYPERLINK("https://klasma.github.io/Logging_2401/klagomål/A 30921-2026 FSC-klagomål.docx", "A 30921-2026")</f>
        <v/>
      </c>
      <c r="AB61">
        <f>HYPERLINK("https://klasma.github.io/Logging_2401/klagomålsmail/A 30921-2026 FSC-klagomål mail.docx", "A 30921-2026")</f>
        <v/>
      </c>
      <c r="AC61">
        <f>HYPERLINK("https://klasma.github.io/Logging_2401/tillsyn/A 30921-2026 tillsynsbegäran.docx", "A 30921-2026")</f>
        <v/>
      </c>
      <c r="AD61">
        <f>HYPERLINK("https://klasma.github.io/Logging_2401/tillsynsmail/A 30921-2026 tillsynsbegäran mail.docx", "A 30921-2026")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46227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46227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46227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46227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46227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46227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46227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46227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46227</v>
      </c>
      <c r="F70" t="inlineStr">
        <is>
          <t>VÄSTERBOTTENS LÄN</t>
        </is>
      </c>
      <c r="G70" t="inlineStr">
        <is>
          <t>NORDMALING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46227</v>
      </c>
      <c r="F71" t="inlineStr">
        <is>
          <t>VÄSTERBOTTENS LÄN</t>
        </is>
      </c>
      <c r="G71" t="inlineStr">
        <is>
          <t>NORDMALING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46227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46227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46227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46227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46227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46227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46227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46227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46227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46227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46227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46227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46227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46227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46227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46227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46227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46227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46227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46227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46227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46227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46227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30715-2022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44763</v>
      </c>
      <c r="E105" s="1" t="n">
        <v>46227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46227</v>
      </c>
      <c r="F106" t="inlineStr">
        <is>
          <t>VÄSTERBOTTENS LÄN</t>
        </is>
      </c>
      <c r="G106" t="inlineStr">
        <is>
          <t>NORDMALING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46227</v>
      </c>
      <c r="F107" t="inlineStr">
        <is>
          <t>VÄSTERBOTTENS LÄN</t>
        </is>
      </c>
      <c r="G107" t="inlineStr">
        <is>
          <t>NORDMALING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46227</v>
      </c>
      <c r="F108" t="inlineStr">
        <is>
          <t>VÄSTERBOTTENS LÄN</t>
        </is>
      </c>
      <c r="G108" t="inlineStr">
        <is>
          <t>NORDMALING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34176-2023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46227</v>
      </c>
      <c r="F109" t="inlineStr">
        <is>
          <t>VÄSTERBOTTENS LÄN</t>
        </is>
      </c>
      <c r="G109" t="inlineStr">
        <is>
          <t>NORDMALING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46227</v>
      </c>
      <c r="F110" t="inlineStr">
        <is>
          <t>VÄSTERBOTTENS LÄN</t>
        </is>
      </c>
      <c r="G110" t="inlineStr">
        <is>
          <t>NORDMALING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46227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45664</v>
      </c>
      <c r="E112" s="1" t="n">
        <v>46227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46227</v>
      </c>
      <c r="F113" t="inlineStr">
        <is>
          <t>VÄSTERBOTTENS LÄN</t>
        </is>
      </c>
      <c r="G113" t="inlineStr">
        <is>
          <t>NORDMALING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46227</v>
      </c>
      <c r="F114" t="inlineStr">
        <is>
          <t>VÄSTERBOTTENS LÄN</t>
        </is>
      </c>
      <c r="G114" t="inlineStr">
        <is>
          <t>NORDMALING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46227</v>
      </c>
      <c r="F115" t="inlineStr">
        <is>
          <t>VÄSTERBOTTENS LÄN</t>
        </is>
      </c>
      <c r="G115" t="inlineStr">
        <is>
          <t>NORDMALING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46227</v>
      </c>
      <c r="F116" t="inlineStr">
        <is>
          <t>VÄSTERBOTTENS LÄN</t>
        </is>
      </c>
      <c r="G116" t="inlineStr">
        <is>
          <t>NORDMALING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44886</v>
      </c>
      <c r="E117" s="1" t="n">
        <v>46227</v>
      </c>
      <c r="F117" t="inlineStr">
        <is>
          <t>VÄSTERBOTTENS LÄN</t>
        </is>
      </c>
      <c r="G117" t="inlineStr">
        <is>
          <t>NORDMALING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46227</v>
      </c>
      <c r="F118" t="inlineStr">
        <is>
          <t>VÄSTERBOTTENS LÄN</t>
        </is>
      </c>
      <c r="G118" t="inlineStr">
        <is>
          <t>NORDMALING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46227</v>
      </c>
      <c r="F119" t="inlineStr">
        <is>
          <t>VÄSTERBOTTENS LÄN</t>
        </is>
      </c>
      <c r="G119" t="inlineStr">
        <is>
          <t>NORDMALING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45951</v>
      </c>
      <c r="E120" s="1" t="n">
        <v>46227</v>
      </c>
      <c r="F120" t="inlineStr">
        <is>
          <t>VÄSTERBOTTENS LÄN</t>
        </is>
      </c>
      <c r="G120" t="inlineStr">
        <is>
          <t>NORDMALING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45883</v>
      </c>
      <c r="E121" s="1" t="n">
        <v>46227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46227</v>
      </c>
      <c r="F122" t="inlineStr">
        <is>
          <t>VÄSTERBOTTENS LÄN</t>
        </is>
      </c>
      <c r="G122" t="inlineStr">
        <is>
          <t>NORDMALING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44480</v>
      </c>
      <c r="E123" s="1" t="n">
        <v>46227</v>
      </c>
      <c r="F123" t="inlineStr">
        <is>
          <t>VÄSTERBOTTENS LÄN</t>
        </is>
      </c>
      <c r="G123" t="inlineStr">
        <is>
          <t>NORDMALING</t>
        </is>
      </c>
      <c r="I123" t="n">
        <v>12.5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46227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45030</v>
      </c>
      <c r="E125" s="1" t="n">
        <v>46227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46227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46227</v>
      </c>
      <c r="F127" t="inlineStr">
        <is>
          <t>VÄSTERBOTTENS LÄN</t>
        </is>
      </c>
      <c r="G127" t="inlineStr">
        <is>
          <t>NORDMALING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45783</v>
      </c>
      <c r="E128" s="1" t="n">
        <v>46227</v>
      </c>
      <c r="F128" t="inlineStr">
        <is>
          <t>VÄSTERBOTTENS LÄN</t>
        </is>
      </c>
      <c r="G128" t="inlineStr">
        <is>
          <t>NORDMALING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45783</v>
      </c>
      <c r="E129" s="1" t="n">
        <v>46227</v>
      </c>
      <c r="F129" t="inlineStr">
        <is>
          <t>VÄSTERBOTTENS LÄN</t>
        </is>
      </c>
      <c r="G129" t="inlineStr">
        <is>
          <t>NORDMALING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46227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44433</v>
      </c>
      <c r="E131" s="1" t="n">
        <v>46227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46227</v>
      </c>
      <c r="F132" t="inlineStr">
        <is>
          <t>VÄSTERBOTTENS LÄN</t>
        </is>
      </c>
      <c r="G132" t="inlineStr">
        <is>
          <t>NORDMALING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46227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45261</v>
      </c>
      <c r="E134" s="1" t="n">
        <v>46227</v>
      </c>
      <c r="F134" t="inlineStr">
        <is>
          <t>VÄSTERBOTTENS LÄN</t>
        </is>
      </c>
      <c r="G134" t="inlineStr">
        <is>
          <t>NORDMALING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61793-2023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45265</v>
      </c>
      <c r="E135" s="1" t="n">
        <v>46227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46227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46227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46227</v>
      </c>
      <c r="F138" t="inlineStr">
        <is>
          <t>VÄSTERBOTTENS LÄN</t>
        </is>
      </c>
      <c r="G138" t="inlineStr">
        <is>
          <t>NORDMALING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46227</v>
      </c>
      <c r="F139" t="inlineStr">
        <is>
          <t>VÄSTERBOTTENS LÄN</t>
        </is>
      </c>
      <c r="G139" t="inlineStr">
        <is>
          <t>NORDMALING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46227</v>
      </c>
      <c r="F140" t="inlineStr">
        <is>
          <t>VÄSTERBOTTENS LÄN</t>
        </is>
      </c>
      <c r="G140" t="inlineStr">
        <is>
          <t>NORDMALING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45789</v>
      </c>
      <c r="E141" s="1" t="n">
        <v>46227</v>
      </c>
      <c r="F141" t="inlineStr">
        <is>
          <t>VÄSTERBOTTENS LÄN</t>
        </is>
      </c>
      <c r="G141" t="inlineStr">
        <is>
          <t>NORDMALING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45790</v>
      </c>
      <c r="E142" s="1" t="n">
        <v>46227</v>
      </c>
      <c r="F142" t="inlineStr">
        <is>
          <t>VÄSTERBOTTENS LÄN</t>
        </is>
      </c>
      <c r="G142" t="inlineStr">
        <is>
          <t>NORDMALING</t>
        </is>
      </c>
      <c r="I142" t="n">
        <v>20.3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46227</v>
      </c>
      <c r="F143" t="inlineStr">
        <is>
          <t>VÄSTERBOTTENS LÄN</t>
        </is>
      </c>
      <c r="G143" t="inlineStr">
        <is>
          <t>NORDMALING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46227</v>
      </c>
      <c r="F144" t="inlineStr">
        <is>
          <t>VÄSTERBOTTENS LÄN</t>
        </is>
      </c>
      <c r="G144" t="inlineStr">
        <is>
          <t>NORDMALING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45960</v>
      </c>
      <c r="E145" s="1" t="n">
        <v>46227</v>
      </c>
      <c r="F145" t="inlineStr">
        <is>
          <t>VÄSTERBOTTENS LÄN</t>
        </is>
      </c>
      <c r="G145" t="inlineStr">
        <is>
          <t>NORDMALING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45525</v>
      </c>
      <c r="E146" s="1" t="n">
        <v>46227</v>
      </c>
      <c r="F146" t="inlineStr">
        <is>
          <t>VÄSTERBOTTENS LÄN</t>
        </is>
      </c>
      <c r="G146" t="inlineStr">
        <is>
          <t>NORDMALING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46227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46227</v>
      </c>
      <c r="F148" t="inlineStr">
        <is>
          <t>VÄSTERBOTTENS LÄN</t>
        </is>
      </c>
      <c r="G148" t="inlineStr">
        <is>
          <t>NORDMALING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45021</v>
      </c>
      <c r="E149" s="1" t="n">
        <v>46227</v>
      </c>
      <c r="F149" t="inlineStr">
        <is>
          <t>VÄSTERBOTTENS LÄN</t>
        </is>
      </c>
      <c r="G149" t="inlineStr">
        <is>
          <t>NORDMALING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46227</v>
      </c>
      <c r="F150" t="inlineStr">
        <is>
          <t>VÄSTERBOTTENS LÄN</t>
        </is>
      </c>
      <c r="G150" t="inlineStr">
        <is>
          <t>NORDMALING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46227</v>
      </c>
      <c r="F151" t="inlineStr">
        <is>
          <t>VÄSTERBOTTENS LÄN</t>
        </is>
      </c>
      <c r="G151" t="inlineStr">
        <is>
          <t>NORDMALING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46227</v>
      </c>
      <c r="F152" t="inlineStr">
        <is>
          <t>VÄSTERBOTTENS LÄN</t>
        </is>
      </c>
      <c r="G152" t="inlineStr">
        <is>
          <t>NORDMALING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46227</v>
      </c>
      <c r="F153" t="inlineStr">
        <is>
          <t>VÄSTERBOTTENS LÄN</t>
        </is>
      </c>
      <c r="G153" t="inlineStr">
        <is>
          <t>NORDMALING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44515</v>
      </c>
      <c r="E154" s="1" t="n">
        <v>46227</v>
      </c>
      <c r="F154" t="inlineStr">
        <is>
          <t>VÄSTERBOTTENS LÄN</t>
        </is>
      </c>
      <c r="G154" t="inlineStr">
        <is>
          <t>NORDMALING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45962</v>
      </c>
      <c r="E155" s="1" t="n">
        <v>46227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46227</v>
      </c>
      <c r="F156" t="inlineStr">
        <is>
          <t>VÄSTERBOTTENS LÄN</t>
        </is>
      </c>
      <c r="G156" t="inlineStr">
        <is>
          <t>NORDMALING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46227</v>
      </c>
      <c r="F157" t="inlineStr">
        <is>
          <t>VÄSTERBOTTENS LÄN</t>
        </is>
      </c>
      <c r="G157" t="inlineStr">
        <is>
          <t>NORDMALING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46227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44921</v>
      </c>
      <c r="E159" s="1" t="n">
        <v>46227</v>
      </c>
      <c r="F159" t="inlineStr">
        <is>
          <t>VÄSTERBOTTENS LÄN</t>
        </is>
      </c>
      <c r="G159" t="inlineStr">
        <is>
          <t>NORDMALING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46227</v>
      </c>
      <c r="F160" t="inlineStr">
        <is>
          <t>VÄSTERBOTTENS LÄN</t>
        </is>
      </c>
      <c r="G160" t="inlineStr">
        <is>
          <t>NORDMALING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44922</v>
      </c>
      <c r="E161" s="1" t="n">
        <v>46227</v>
      </c>
      <c r="F161" t="inlineStr">
        <is>
          <t>VÄSTERBOTTENS LÄN</t>
        </is>
      </c>
      <c r="G161" t="inlineStr">
        <is>
          <t>NORDMALING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46227</v>
      </c>
      <c r="F162" t="inlineStr">
        <is>
          <t>VÄSTERBOTTENS LÄN</t>
        </is>
      </c>
      <c r="G162" t="inlineStr">
        <is>
          <t>NORDMALING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46227</v>
      </c>
      <c r="F163" t="inlineStr">
        <is>
          <t>VÄSTERBOTTENS LÄN</t>
        </is>
      </c>
      <c r="G163" t="inlineStr">
        <is>
          <t>NORDMALING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46227</v>
      </c>
      <c r="F164" t="inlineStr">
        <is>
          <t>VÄSTERBOTTENS LÄN</t>
        </is>
      </c>
      <c r="G164" t="inlineStr">
        <is>
          <t>NORDMALING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46227</v>
      </c>
      <c r="F165" t="inlineStr">
        <is>
          <t>VÄSTERBOTTENS LÄN</t>
        </is>
      </c>
      <c r="G165" t="inlineStr">
        <is>
          <t>NORDMALING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46227</v>
      </c>
      <c r="F166" t="inlineStr">
        <is>
          <t>VÄSTERBOTTENS LÄN</t>
        </is>
      </c>
      <c r="G166" t="inlineStr">
        <is>
          <t>NORDMALING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46227</v>
      </c>
      <c r="F167" t="inlineStr">
        <is>
          <t>VÄSTERBOTTENS LÄN</t>
        </is>
      </c>
      <c r="G167" t="inlineStr">
        <is>
          <t>NORDMALING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46227</v>
      </c>
      <c r="F168" t="inlineStr">
        <is>
          <t>VÄSTERBOTTENS LÄN</t>
        </is>
      </c>
      <c r="G168" t="inlineStr">
        <is>
          <t>NORDMALING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46227</v>
      </c>
      <c r="F169" t="inlineStr">
        <is>
          <t>VÄSTERBOTTENS LÄN</t>
        </is>
      </c>
      <c r="G169" t="inlineStr">
        <is>
          <t>NORDMALING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46227</v>
      </c>
      <c r="F170" t="inlineStr">
        <is>
          <t>VÄSTERBOTTENS LÄN</t>
        </is>
      </c>
      <c r="G170" t="inlineStr">
        <is>
          <t>NORDMALING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46227</v>
      </c>
      <c r="F171" t="inlineStr">
        <is>
          <t>VÄSTERBOTTENS LÄN</t>
        </is>
      </c>
      <c r="G171" t="inlineStr">
        <is>
          <t>NORDMALING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45327</v>
      </c>
      <c r="E172" s="1" t="n">
        <v>46227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46227</v>
      </c>
      <c r="F173" t="inlineStr">
        <is>
          <t>VÄSTERBOTTENS LÄN</t>
        </is>
      </c>
      <c r="G173" t="inlineStr">
        <is>
          <t>NORDMALING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46227</v>
      </c>
      <c r="F174" t="inlineStr">
        <is>
          <t>VÄSTERBOTTENS LÄN</t>
        </is>
      </c>
      <c r="G174" t="inlineStr">
        <is>
          <t>NORDMALING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46227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36814-2024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45538</v>
      </c>
      <c r="E176" s="1" t="n">
        <v>46227</v>
      </c>
      <c r="F176" t="inlineStr">
        <is>
          <t>VÄSTERBOTTENS LÄN</t>
        </is>
      </c>
      <c r="G176" t="inlineStr">
        <is>
          <t>NORDMALING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46227</v>
      </c>
      <c r="F177" t="inlineStr">
        <is>
          <t>VÄSTERBOTTENS LÄN</t>
        </is>
      </c>
      <c r="G177" t="inlineStr">
        <is>
          <t>NORDMALING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46227</v>
      </c>
      <c r="F178" t="inlineStr">
        <is>
          <t>VÄSTERBOTTENS LÄN</t>
        </is>
      </c>
      <c r="G178" t="inlineStr">
        <is>
          <t>NORDMALING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34184-2023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45126</v>
      </c>
      <c r="E179" s="1" t="n">
        <v>46227</v>
      </c>
      <c r="F179" t="inlineStr">
        <is>
          <t>VÄSTERBOTTENS LÄN</t>
        </is>
      </c>
      <c r="G179" t="inlineStr">
        <is>
          <t>NORDMALING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45688</v>
      </c>
      <c r="E180" s="1" t="n">
        <v>46227</v>
      </c>
      <c r="F180" t="inlineStr">
        <is>
          <t>VÄSTERBOTTENS LÄN</t>
        </is>
      </c>
      <c r="G180" t="inlineStr">
        <is>
          <t>NORDMALING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45607</v>
      </c>
      <c r="E181" s="1" t="n">
        <v>46227</v>
      </c>
      <c r="F181" t="inlineStr">
        <is>
          <t>VÄSTERBOTTENS LÄN</t>
        </is>
      </c>
      <c r="G181" t="inlineStr">
        <is>
          <t>NORDMALING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46227</v>
      </c>
      <c r="F182" t="inlineStr">
        <is>
          <t>VÄSTERBOTTENS LÄN</t>
        </is>
      </c>
      <c r="G182" t="inlineStr">
        <is>
          <t>NORDMALING</t>
        </is>
      </c>
      <c r="I182" t="n">
        <v>12.5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45491</v>
      </c>
      <c r="E183" s="1" t="n">
        <v>46227</v>
      </c>
      <c r="F183" t="inlineStr">
        <is>
          <t>VÄSTERBOTTENS LÄN</t>
        </is>
      </c>
      <c r="G183" t="inlineStr">
        <is>
          <t>NORDMALING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46227</v>
      </c>
      <c r="F184" t="inlineStr">
        <is>
          <t>VÄSTERBOTTENS LÄN</t>
        </is>
      </c>
      <c r="G184" t="inlineStr">
        <is>
          <t>NORDMALING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46227</v>
      </c>
      <c r="F185" t="inlineStr">
        <is>
          <t>VÄSTERBOTTENS LÄN</t>
        </is>
      </c>
      <c r="G185" t="inlineStr">
        <is>
          <t>NORDMALING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45901</v>
      </c>
      <c r="E186" s="1" t="n">
        <v>46227</v>
      </c>
      <c r="F186" t="inlineStr">
        <is>
          <t>VÄSTERBOTTENS LÄN</t>
        </is>
      </c>
      <c r="G186" t="inlineStr">
        <is>
          <t>NORDMALING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45900</v>
      </c>
      <c r="E187" s="1" t="n">
        <v>46227</v>
      </c>
      <c r="F187" t="inlineStr">
        <is>
          <t>VÄSTERBOTTENS LÄN</t>
        </is>
      </c>
      <c r="G187" t="inlineStr">
        <is>
          <t>NORDMALING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46227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45349</v>
      </c>
      <c r="E189" s="1" t="n">
        <v>46227</v>
      </c>
      <c r="F189" t="inlineStr">
        <is>
          <t>VÄSTERBOTTENS LÄN</t>
        </is>
      </c>
      <c r="G189" t="inlineStr">
        <is>
          <t>NORDMALING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46227</v>
      </c>
      <c r="F190" t="inlineStr">
        <is>
          <t>VÄSTERBOTTENS LÄN</t>
        </is>
      </c>
      <c r="G190" t="inlineStr">
        <is>
          <t>NORDMALING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46227</v>
      </c>
      <c r="F191" t="inlineStr">
        <is>
          <t>VÄSTERBOTTENS LÄN</t>
        </is>
      </c>
      <c r="G191" t="inlineStr">
        <is>
          <t>NORDMALING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45900</v>
      </c>
      <c r="E192" s="1" t="n">
        <v>46227</v>
      </c>
      <c r="F192" t="inlineStr">
        <is>
          <t>VÄSTERBOTTENS LÄN</t>
        </is>
      </c>
      <c r="G192" t="inlineStr">
        <is>
          <t>NORDMALING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46227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46227</v>
      </c>
      <c r="F194" t="inlineStr">
        <is>
          <t>VÄSTERBOTTENS LÄN</t>
        </is>
      </c>
      <c r="G194" t="inlineStr">
        <is>
          <t>NORDMALING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46227</v>
      </c>
      <c r="F195" t="inlineStr">
        <is>
          <t>VÄSTERBOTTENS LÄN</t>
        </is>
      </c>
      <c r="G195" t="inlineStr">
        <is>
          <t>NORDMALING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29606-2025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45825</v>
      </c>
      <c r="E196" s="1" t="n">
        <v>46227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46227</v>
      </c>
      <c r="F197" t="inlineStr">
        <is>
          <t>VÄSTERBOTTENS LÄN</t>
        </is>
      </c>
      <c r="G197" t="inlineStr">
        <is>
          <t>NORDMALING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46227</v>
      </c>
      <c r="F198" t="inlineStr">
        <is>
          <t>VÄSTERBOTTENS LÄN</t>
        </is>
      </c>
      <c r="G198" t="inlineStr">
        <is>
          <t>NORDMALING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46227</v>
      </c>
      <c r="F199" t="inlineStr">
        <is>
          <t>VÄSTERBOTTENS LÄN</t>
        </is>
      </c>
      <c r="G199" t="inlineStr">
        <is>
          <t>NORDMALING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46227</v>
      </c>
      <c r="F200" t="inlineStr">
        <is>
          <t>VÄSTERBOTTENS LÄN</t>
        </is>
      </c>
      <c r="G200" t="inlineStr">
        <is>
          <t>NORDMALING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46227</v>
      </c>
      <c r="F201" t="inlineStr">
        <is>
          <t>VÄSTERBOTTENS LÄN</t>
        </is>
      </c>
      <c r="G201" t="inlineStr">
        <is>
          <t>NORDMALING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44609</v>
      </c>
      <c r="E202" s="1" t="n">
        <v>46227</v>
      </c>
      <c r="F202" t="inlineStr">
        <is>
          <t>VÄSTERBOTTENS LÄN</t>
        </is>
      </c>
      <c r="G202" t="inlineStr">
        <is>
          <t>NORDMALING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46227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46227</v>
      </c>
      <c r="F204" t="inlineStr">
        <is>
          <t>VÄSTERBOTTENS LÄN</t>
        </is>
      </c>
      <c r="G204" t="inlineStr">
        <is>
          <t>NORDMALING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46227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54138-2023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45232</v>
      </c>
      <c r="E206" s="1" t="n">
        <v>46227</v>
      </c>
      <c r="F206" t="inlineStr">
        <is>
          <t>VÄSTERBOTTENS LÄN</t>
        </is>
      </c>
      <c r="G206" t="inlineStr">
        <is>
          <t>NORDMALING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46227</v>
      </c>
      <c r="F207" t="inlineStr">
        <is>
          <t>VÄSTERBOTTENS LÄN</t>
        </is>
      </c>
      <c r="G207" t="inlineStr">
        <is>
          <t>NORDMALING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46227</v>
      </c>
      <c r="F208" t="inlineStr">
        <is>
          <t>VÄSTERBOTTENS LÄN</t>
        </is>
      </c>
      <c r="G208" t="inlineStr">
        <is>
          <t>NORDMALING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46227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46227</v>
      </c>
      <c r="F210" t="inlineStr">
        <is>
          <t>VÄSTERBOTTENS LÄN</t>
        </is>
      </c>
      <c r="G210" t="inlineStr">
        <is>
          <t>NORDMALING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46227</v>
      </c>
      <c r="F211" t="inlineStr">
        <is>
          <t>VÄSTERBOTTENS LÄN</t>
        </is>
      </c>
      <c r="G211" t="inlineStr">
        <is>
          <t>NORDMALING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46227</v>
      </c>
      <c r="F212" t="inlineStr">
        <is>
          <t>VÄSTERBOTTENS LÄN</t>
        </is>
      </c>
      <c r="G212" t="inlineStr">
        <is>
          <t>NORDMALING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46227</v>
      </c>
      <c r="F213" t="inlineStr">
        <is>
          <t>VÄSTERBOTTENS LÄN</t>
        </is>
      </c>
      <c r="G213" t="inlineStr">
        <is>
          <t>NORDMALING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46227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46227</v>
      </c>
      <c r="F215" t="inlineStr">
        <is>
          <t>VÄSTERBOTTENS LÄN</t>
        </is>
      </c>
      <c r="G215" t="inlineStr">
        <is>
          <t>NORDMALING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46227</v>
      </c>
      <c r="F216" t="inlineStr">
        <is>
          <t>VÄSTERBOTTENS LÄN</t>
        </is>
      </c>
      <c r="G216" t="inlineStr">
        <is>
          <t>NORDMALING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54784-2021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46227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46227</v>
      </c>
      <c r="F218" t="inlineStr">
        <is>
          <t>VÄSTERBOTTENS LÄN</t>
        </is>
      </c>
      <c r="G218" t="inlineStr">
        <is>
          <t>NORDMALING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46227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46227</v>
      </c>
      <c r="F220" t="inlineStr">
        <is>
          <t>VÄSTERBOTTENS LÄN</t>
        </is>
      </c>
      <c r="G220" t="inlineStr">
        <is>
          <t>NORDMALING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46227</v>
      </c>
      <c r="F221" t="inlineStr">
        <is>
          <t>VÄSTERBOTTENS LÄN</t>
        </is>
      </c>
      <c r="G221" t="inlineStr">
        <is>
          <t>NORDMALING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46227</v>
      </c>
      <c r="F222" t="inlineStr">
        <is>
          <t>VÄSTERBOTTENS LÄN</t>
        </is>
      </c>
      <c r="G222" t="inlineStr">
        <is>
          <t>NORDMALING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44905</v>
      </c>
      <c r="E223" s="1" t="n">
        <v>46227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46227</v>
      </c>
      <c r="F224" t="inlineStr">
        <is>
          <t>VÄSTERBOTTENS LÄN</t>
        </is>
      </c>
      <c r="G224" t="inlineStr">
        <is>
          <t>NORDMALING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46227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46227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46227</v>
      </c>
      <c r="F227" t="inlineStr">
        <is>
          <t>VÄSTERBOTTENS LÄN</t>
        </is>
      </c>
      <c r="G227" t="inlineStr">
        <is>
          <t>NORDMALING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44977</v>
      </c>
      <c r="E228" s="1" t="n">
        <v>46227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45141</v>
      </c>
      <c r="E229" s="1" t="n">
        <v>46227</v>
      </c>
      <c r="F229" t="inlineStr">
        <is>
          <t>VÄSTERBOTTENS LÄN</t>
        </is>
      </c>
      <c r="G229" t="inlineStr">
        <is>
          <t>NORDMALING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46227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46227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45993</v>
      </c>
      <c r="E232" s="1" t="n">
        <v>46227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46227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46227</v>
      </c>
      <c r="F234" t="inlineStr">
        <is>
          <t>VÄSTERBOTTENS LÄN</t>
        </is>
      </c>
      <c r="G234" t="inlineStr">
        <is>
          <t>NORDMALING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46227</v>
      </c>
      <c r="F235" t="inlineStr">
        <is>
          <t>VÄSTERBOTTENS LÄN</t>
        </is>
      </c>
      <c r="G235" t="inlineStr">
        <is>
          <t>NORDMALING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46227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46227</v>
      </c>
      <c r="F237" t="inlineStr">
        <is>
          <t>VÄSTERBOTTENS LÄN</t>
        </is>
      </c>
      <c r="G237" t="inlineStr">
        <is>
          <t>NORDMALING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19300-2023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45049</v>
      </c>
      <c r="E238" s="1" t="n">
        <v>46227</v>
      </c>
      <c r="F238" t="inlineStr">
        <is>
          <t>VÄSTERBOTTENS LÄN</t>
        </is>
      </c>
      <c r="G238" t="inlineStr">
        <is>
          <t>NORDMALING</t>
        </is>
      </c>
      <c r="H238" t="inlineStr">
        <is>
          <t>Kyrkan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46227</v>
      </c>
      <c r="F239" t="inlineStr">
        <is>
          <t>VÄSTERBOTTENS LÄN</t>
        </is>
      </c>
      <c r="G239" t="inlineStr">
        <is>
          <t>NORDMALING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46227</v>
      </c>
      <c r="F240" t="inlineStr">
        <is>
          <t>VÄSTERBOTTENS LÄN</t>
        </is>
      </c>
      <c r="G240" t="inlineStr">
        <is>
          <t>NORDMALING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44722</v>
      </c>
      <c r="E241" s="1" t="n">
        <v>46227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46227</v>
      </c>
      <c r="F242" t="inlineStr">
        <is>
          <t>VÄSTERBOTTENS LÄN</t>
        </is>
      </c>
      <c r="G242" t="inlineStr">
        <is>
          <t>NORDMALING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46227</v>
      </c>
      <c r="F243" t="inlineStr">
        <is>
          <t>VÄSTERBOTTENS LÄN</t>
        </is>
      </c>
      <c r="G243" t="inlineStr">
        <is>
          <t>NORDMALING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60113-2025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45994</v>
      </c>
      <c r="E244" s="1" t="n">
        <v>46227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46227</v>
      </c>
      <c r="F245" t="inlineStr">
        <is>
          <t>VÄSTERBOTTENS LÄN</t>
        </is>
      </c>
      <c r="G245" t="inlineStr">
        <is>
          <t>NORDMALING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46227</v>
      </c>
      <c r="F246" t="inlineStr">
        <is>
          <t>VÄSTERBOTTENS LÄN</t>
        </is>
      </c>
      <c r="G246" t="inlineStr">
        <is>
          <t>NORDMALING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46227</v>
      </c>
      <c r="F247" t="inlineStr">
        <is>
          <t>VÄSTERBOTTENS LÄN</t>
        </is>
      </c>
      <c r="G247" t="inlineStr">
        <is>
          <t>NORDMALING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46227</v>
      </c>
      <c r="F248" t="inlineStr">
        <is>
          <t>VÄSTERBOTTENS LÄN</t>
        </is>
      </c>
      <c r="G248" t="inlineStr">
        <is>
          <t>NORDMALING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46227</v>
      </c>
      <c r="F249" t="inlineStr">
        <is>
          <t>VÄSTERBOTTENS LÄN</t>
        </is>
      </c>
      <c r="G249" t="inlineStr">
        <is>
          <t>NORDMALING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45866</v>
      </c>
      <c r="E250" s="1" t="n">
        <v>46227</v>
      </c>
      <c r="F250" t="inlineStr">
        <is>
          <t>VÄSTERBOTTENS LÄN</t>
        </is>
      </c>
      <c r="G250" t="inlineStr">
        <is>
          <t>NORDMALING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46227</v>
      </c>
      <c r="F251" t="inlineStr">
        <is>
          <t>VÄSTERBOTTENS LÄN</t>
        </is>
      </c>
      <c r="G251" t="inlineStr">
        <is>
          <t>NORDMALING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45867</v>
      </c>
      <c r="E252" s="1" t="n">
        <v>46227</v>
      </c>
      <c r="F252" t="inlineStr">
        <is>
          <t>VÄSTERBOTTENS LÄN</t>
        </is>
      </c>
      <c r="G252" t="inlineStr">
        <is>
          <t>NORDMALING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46227</v>
      </c>
      <c r="F253" t="inlineStr">
        <is>
          <t>VÄSTERBOTTENS LÄN</t>
        </is>
      </c>
      <c r="G253" t="inlineStr">
        <is>
          <t>NORDMALING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46227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46227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46227</v>
      </c>
      <c r="F256" t="inlineStr">
        <is>
          <t>VÄSTERBOTTENS LÄN</t>
        </is>
      </c>
      <c r="G256" t="inlineStr">
        <is>
          <t>NORDMALING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44812</v>
      </c>
      <c r="E257" s="1" t="n">
        <v>46227</v>
      </c>
      <c r="F257" t="inlineStr">
        <is>
          <t>VÄSTERBOTTENS LÄN</t>
        </is>
      </c>
      <c r="G257" t="inlineStr">
        <is>
          <t>NORDMALING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46227</v>
      </c>
      <c r="F258" t="inlineStr">
        <is>
          <t>VÄSTERBOTTENS LÄN</t>
        </is>
      </c>
      <c r="G258" t="inlineStr">
        <is>
          <t>NORDMALING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46227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46227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46227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Holmen skog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46227</v>
      </c>
      <c r="F262" t="inlineStr">
        <is>
          <t>VÄSTERBOTTENS LÄN</t>
        </is>
      </c>
      <c r="G262" t="inlineStr">
        <is>
          <t>NORDMALING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46227</v>
      </c>
      <c r="F263" t="inlineStr">
        <is>
          <t>VÄSTERBOTTENS LÄN</t>
        </is>
      </c>
      <c r="G263" t="inlineStr">
        <is>
          <t>NORDMALING</t>
        </is>
      </c>
      <c r="I263" t="n">
        <v>11.6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44462</v>
      </c>
      <c r="E264" s="1" t="n">
        <v>46227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46227</v>
      </c>
      <c r="F265" t="inlineStr">
        <is>
          <t>VÄSTERBOTTENS LÄN</t>
        </is>
      </c>
      <c r="G265" t="inlineStr">
        <is>
          <t>NORDMALING</t>
        </is>
      </c>
      <c r="I265" t="n">
        <v>11.3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46227</v>
      </c>
      <c r="F266" t="inlineStr">
        <is>
          <t>VÄSTERBOTTENS LÄN</t>
        </is>
      </c>
      <c r="G266" t="inlineStr">
        <is>
          <t>NORDMALING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46227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46227</v>
      </c>
      <c r="F268" t="inlineStr">
        <is>
          <t>VÄSTERBOTTENS LÄN</t>
        </is>
      </c>
      <c r="G268" t="inlineStr">
        <is>
          <t>NORDMALING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46227</v>
      </c>
      <c r="F269" t="inlineStr">
        <is>
          <t>VÄSTERBOTTENS LÄN</t>
        </is>
      </c>
      <c r="G269" t="inlineStr">
        <is>
          <t>NORDMALING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45034</v>
      </c>
      <c r="E270" s="1" t="n">
        <v>46227</v>
      </c>
      <c r="F270" t="inlineStr">
        <is>
          <t>VÄSTERBOTTENS LÄN</t>
        </is>
      </c>
      <c r="G270" t="inlineStr">
        <is>
          <t>NORDMALING</t>
        </is>
      </c>
      <c r="I270" t="n">
        <v>13.1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46227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45525</v>
      </c>
      <c r="E272" s="1" t="n">
        <v>46227</v>
      </c>
      <c r="F272" t="inlineStr">
        <is>
          <t>VÄSTERBOTTENS LÄN</t>
        </is>
      </c>
      <c r="G272" t="inlineStr">
        <is>
          <t>NORDMALING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46227</v>
      </c>
      <c r="F273" t="inlineStr">
        <is>
          <t>VÄSTERBOTTENS LÄN</t>
        </is>
      </c>
      <c r="G273" t="inlineStr">
        <is>
          <t>NORDMALING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46227</v>
      </c>
      <c r="F274" t="inlineStr">
        <is>
          <t>VÄSTERBOTTENS LÄN</t>
        </is>
      </c>
      <c r="G274" t="inlineStr">
        <is>
          <t>NORDMALING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46227</v>
      </c>
      <c r="F275" t="inlineStr">
        <is>
          <t>VÄSTERBOTTENS LÄN</t>
        </is>
      </c>
      <c r="G275" t="inlineStr">
        <is>
          <t>NORDMALING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35803-2023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45147</v>
      </c>
      <c r="E276" s="1" t="n">
        <v>46227</v>
      </c>
      <c r="F276" t="inlineStr">
        <is>
          <t>VÄSTERBOTTENS LÄN</t>
        </is>
      </c>
      <c r="G276" t="inlineStr">
        <is>
          <t>NORDMALING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46227</v>
      </c>
      <c r="F277" t="inlineStr">
        <is>
          <t>VÄSTERBOTTENS LÄN</t>
        </is>
      </c>
      <c r="G277" t="inlineStr">
        <is>
          <t>NORDMALING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46227</v>
      </c>
      <c r="F278" t="inlineStr">
        <is>
          <t>VÄSTERBOTTENS LÄN</t>
        </is>
      </c>
      <c r="G278" t="inlineStr">
        <is>
          <t>NORDMALING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24712-2023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45075</v>
      </c>
      <c r="E279" s="1" t="n">
        <v>46227</v>
      </c>
      <c r="F279" t="inlineStr">
        <is>
          <t>VÄSTERBOTTENS LÄN</t>
        </is>
      </c>
      <c r="G279" t="inlineStr">
        <is>
          <t>NORDMALING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44977</v>
      </c>
      <c r="E280" s="1" t="n">
        <v>46227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46227</v>
      </c>
      <c r="F281" t="inlineStr">
        <is>
          <t>VÄSTERBOTTENS LÄN</t>
        </is>
      </c>
      <c r="G281" t="inlineStr">
        <is>
          <t>NORDMALING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46227</v>
      </c>
      <c r="F282" t="inlineStr">
        <is>
          <t>VÄSTERBOTTENS LÄN</t>
        </is>
      </c>
      <c r="G282" t="inlineStr">
        <is>
          <t>NORDMALING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46227</v>
      </c>
      <c r="F283" t="inlineStr">
        <is>
          <t>VÄSTERBOTTENS LÄN</t>
        </is>
      </c>
      <c r="G283" t="inlineStr">
        <is>
          <t>NORDMALING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46227</v>
      </c>
      <c r="F284" t="inlineStr">
        <is>
          <t>VÄSTERBOTTENS LÄN</t>
        </is>
      </c>
      <c r="G284" t="inlineStr">
        <is>
          <t>NORDMALING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63253-2025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46227</v>
      </c>
      <c r="F285" t="inlineStr">
        <is>
          <t>VÄSTERBOTTENS LÄN</t>
        </is>
      </c>
      <c r="G285" t="inlineStr">
        <is>
          <t>NORDMALING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46227</v>
      </c>
      <c r="F286" t="inlineStr">
        <is>
          <t>VÄSTERBOTTENS LÄN</t>
        </is>
      </c>
      <c r="G286" t="inlineStr">
        <is>
          <t>NORDMALING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35801-2023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46227</v>
      </c>
      <c r="F287" t="inlineStr">
        <is>
          <t>VÄSTERBOTTENS LÄN</t>
        </is>
      </c>
      <c r="G287" t="inlineStr">
        <is>
          <t>NORDMALING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46227</v>
      </c>
      <c r="F288" t="inlineStr">
        <is>
          <t>VÄSTERBOTTENS LÄN</t>
        </is>
      </c>
      <c r="G288" t="inlineStr">
        <is>
          <t>NORDMALING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46227</v>
      </c>
      <c r="F289" t="inlineStr">
        <is>
          <t>VÄSTERBOTTENS LÄN</t>
        </is>
      </c>
      <c r="G289" t="inlineStr">
        <is>
          <t>NORDMALING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46227</v>
      </c>
      <c r="F290" t="inlineStr">
        <is>
          <t>VÄSTERBOTTENS LÄN</t>
        </is>
      </c>
      <c r="G290" t="inlineStr">
        <is>
          <t>NORDMALING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32183-2023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45119</v>
      </c>
      <c r="E291" s="1" t="n">
        <v>46227</v>
      </c>
      <c r="F291" t="inlineStr">
        <is>
          <t>VÄSTERBOTTENS LÄN</t>
        </is>
      </c>
      <c r="G291" t="inlineStr">
        <is>
          <t>NORDMALING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46227</v>
      </c>
      <c r="F292" t="inlineStr">
        <is>
          <t>VÄSTERBOTTENS LÄN</t>
        </is>
      </c>
      <c r="G292" t="inlineStr">
        <is>
          <t>NORDMALING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46018</v>
      </c>
      <c r="E293" s="1" t="n">
        <v>46227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63755-2025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46018</v>
      </c>
      <c r="E294" s="1" t="n">
        <v>46227</v>
      </c>
      <c r="F294" t="inlineStr">
        <is>
          <t>VÄSTERBOTTENS LÄN</t>
        </is>
      </c>
      <c r="G294" t="inlineStr">
        <is>
          <t>NORDMALING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46018</v>
      </c>
      <c r="E295" s="1" t="n">
        <v>46227</v>
      </c>
      <c r="F295" t="inlineStr">
        <is>
          <t>VÄSTERBOTTENS LÄN</t>
        </is>
      </c>
      <c r="G295" t="inlineStr">
        <is>
          <t>NORDMALING</t>
        </is>
      </c>
      <c r="I295" t="n">
        <v>12.8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46020</v>
      </c>
      <c r="E296" s="1" t="n">
        <v>46227</v>
      </c>
      <c r="F296" t="inlineStr">
        <is>
          <t>VÄSTERBOTTENS LÄN</t>
        </is>
      </c>
      <c r="G296" t="inlineStr">
        <is>
          <t>NORDMALING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45932</v>
      </c>
      <c r="E297" s="1" t="n">
        <v>46227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63922-2025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46020</v>
      </c>
      <c r="E298" s="1" t="n">
        <v>46227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45936</v>
      </c>
      <c r="E299" s="1" t="n">
        <v>46227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46227</v>
      </c>
      <c r="F300" t="inlineStr">
        <is>
          <t>VÄSTERBOTTENS LÄN</t>
        </is>
      </c>
      <c r="G300" t="inlineStr">
        <is>
          <t>NORDMALING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46022</v>
      </c>
      <c r="E301" s="1" t="n">
        <v>46227</v>
      </c>
      <c r="F301" t="inlineStr">
        <is>
          <t>VÄSTERBOTTENS LÄN</t>
        </is>
      </c>
      <c r="G301" t="inlineStr">
        <is>
          <t>NORDMALING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46227</v>
      </c>
      <c r="F302" t="inlineStr">
        <is>
          <t>VÄSTERBOTTENS LÄN</t>
        </is>
      </c>
      <c r="G302" t="inlineStr">
        <is>
          <t>NORDMALING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46227</v>
      </c>
      <c r="F303" t="inlineStr">
        <is>
          <t>VÄSTERBOTTENS LÄN</t>
        </is>
      </c>
      <c r="G303" t="inlineStr">
        <is>
          <t>NORDMALING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46227</v>
      </c>
      <c r="F304" t="inlineStr">
        <is>
          <t>VÄSTERBOTTENS LÄN</t>
        </is>
      </c>
      <c r="G304" t="inlineStr">
        <is>
          <t>NORDMALING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46028</v>
      </c>
      <c r="E305" s="1" t="n">
        <v>46227</v>
      </c>
      <c r="F305" t="inlineStr">
        <is>
          <t>VÄSTERBOTTENS LÄN</t>
        </is>
      </c>
      <c r="G305" t="inlineStr">
        <is>
          <t>NORDMALING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46227</v>
      </c>
      <c r="F306" t="inlineStr">
        <is>
          <t>VÄSTERBOTTENS LÄN</t>
        </is>
      </c>
      <c r="G306" t="inlineStr">
        <is>
          <t>NORDMALING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46227</v>
      </c>
      <c r="F307" t="inlineStr">
        <is>
          <t>VÄSTERBOTTENS LÄN</t>
        </is>
      </c>
      <c r="G307" t="inlineStr">
        <is>
          <t>NORDMALING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46227</v>
      </c>
      <c r="F308" t="inlineStr">
        <is>
          <t>VÄSTERBOTTENS LÄN</t>
        </is>
      </c>
      <c r="G308" t="inlineStr">
        <is>
          <t>NORDMALING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46227</v>
      </c>
      <c r="F309" t="inlineStr">
        <is>
          <t>VÄSTERBOTTENS LÄN</t>
        </is>
      </c>
      <c r="G309" t="inlineStr">
        <is>
          <t>NORDMALING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46227</v>
      </c>
      <c r="F310" t="inlineStr">
        <is>
          <t>VÄSTERBOTTENS LÄN</t>
        </is>
      </c>
      <c r="G310" t="inlineStr">
        <is>
          <t>NORDMALING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46227</v>
      </c>
      <c r="F311" t="inlineStr">
        <is>
          <t>VÄSTERBOTTENS LÄN</t>
        </is>
      </c>
      <c r="G311" t="inlineStr">
        <is>
          <t>NORDMALING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46227</v>
      </c>
      <c r="F312" t="inlineStr">
        <is>
          <t>VÄSTERBOTTENS LÄN</t>
        </is>
      </c>
      <c r="G312" t="inlineStr">
        <is>
          <t>NORDMALING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46227</v>
      </c>
      <c r="F313" t="inlineStr">
        <is>
          <t>VÄSTERBOTTENS LÄN</t>
        </is>
      </c>
      <c r="G313" t="inlineStr">
        <is>
          <t>NORDMALING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46032</v>
      </c>
      <c r="E314" s="1" t="n">
        <v>46227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Holmen skog AB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44942-2023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46227</v>
      </c>
      <c r="F315" t="inlineStr">
        <is>
          <t>VÄSTERBOTTENS LÄN</t>
        </is>
      </c>
      <c r="G315" t="inlineStr">
        <is>
          <t>NORDMALING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45021</v>
      </c>
      <c r="E316" s="1" t="n">
        <v>46227</v>
      </c>
      <c r="F316" t="inlineStr">
        <is>
          <t>VÄSTERBOTTENS LÄN</t>
        </is>
      </c>
      <c r="G316" t="inlineStr">
        <is>
          <t>NORDMALING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46227</v>
      </c>
      <c r="F317" t="inlineStr">
        <is>
          <t>VÄSTERBOTTENS LÄN</t>
        </is>
      </c>
      <c r="G317" t="inlineStr">
        <is>
          <t>NORDMALING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45763</v>
      </c>
      <c r="E318" s="1" t="n">
        <v>46227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46227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46227</v>
      </c>
      <c r="F320" t="inlineStr">
        <is>
          <t>VÄSTERBOTTENS LÄN</t>
        </is>
      </c>
      <c r="G320" t="inlineStr">
        <is>
          <t>NORDMALING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46227</v>
      </c>
      <c r="F321" t="inlineStr">
        <is>
          <t>VÄSTERBOTTENS LÄN</t>
        </is>
      </c>
      <c r="G321" t="inlineStr">
        <is>
          <t>NORDMALING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46227</v>
      </c>
      <c r="F322" t="inlineStr">
        <is>
          <t>VÄSTERBOTTENS LÄN</t>
        </is>
      </c>
      <c r="G322" t="inlineStr">
        <is>
          <t>NORDMALING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46227</v>
      </c>
      <c r="F323" t="inlineStr">
        <is>
          <t>VÄSTERBOTTENS LÄN</t>
        </is>
      </c>
      <c r="G323" t="inlineStr">
        <is>
          <t>NORDMALING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45051</v>
      </c>
      <c r="E324" s="1" t="n">
        <v>46227</v>
      </c>
      <c r="F324" t="inlineStr">
        <is>
          <t>VÄSTERBOTTENS LÄN</t>
        </is>
      </c>
      <c r="G324" t="inlineStr">
        <is>
          <t>NORDMALING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51542-2025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45950</v>
      </c>
      <c r="E325" s="1" t="n">
        <v>46227</v>
      </c>
      <c r="F325" t="inlineStr">
        <is>
          <t>VÄSTERBOTTENS LÄN</t>
        </is>
      </c>
      <c r="G325" t="inlineStr">
        <is>
          <t>NORDMALING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46227</v>
      </c>
      <c r="F326" t="inlineStr">
        <is>
          <t>VÄSTERBOTTENS LÄN</t>
        </is>
      </c>
      <c r="G326" t="inlineStr">
        <is>
          <t>NORDMALING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46227</v>
      </c>
      <c r="F327" t="inlineStr">
        <is>
          <t>VÄSTERBOTTENS LÄN</t>
        </is>
      </c>
      <c r="G327" t="inlineStr">
        <is>
          <t>NORDMALING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46227</v>
      </c>
      <c r="F328" t="inlineStr">
        <is>
          <t>VÄSTERBOTTENS LÄN</t>
        </is>
      </c>
      <c r="G328" t="inlineStr">
        <is>
          <t>NORDMALING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45028</v>
      </c>
      <c r="E329" s="1" t="n">
        <v>46227</v>
      </c>
      <c r="F329" t="inlineStr">
        <is>
          <t>VÄSTERBOTTENS LÄN</t>
        </is>
      </c>
      <c r="G329" t="inlineStr">
        <is>
          <t>NORDMALING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46227</v>
      </c>
      <c r="F330" t="inlineStr">
        <is>
          <t>VÄSTERBOTTENS LÄN</t>
        </is>
      </c>
      <c r="G330" t="inlineStr">
        <is>
          <t>NORDMALING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45586</v>
      </c>
      <c r="E331" s="1" t="n">
        <v>46227</v>
      </c>
      <c r="F331" t="inlineStr">
        <is>
          <t>VÄSTERBOTTENS LÄN</t>
        </is>
      </c>
      <c r="G331" t="inlineStr">
        <is>
          <t>NORDMALING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70028-2021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46227</v>
      </c>
      <c r="F332" t="inlineStr">
        <is>
          <t>VÄSTERBOTTENS LÄN</t>
        </is>
      </c>
      <c r="G332" t="inlineStr">
        <is>
          <t>NORDMALING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46227</v>
      </c>
      <c r="F333" t="inlineStr">
        <is>
          <t>VÄSTERBOTTENS LÄN</t>
        </is>
      </c>
      <c r="G333" t="inlineStr">
        <is>
          <t>NORDMALING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46227</v>
      </c>
      <c r="F334" t="inlineStr">
        <is>
          <t>VÄSTERBOTTENS LÄN</t>
        </is>
      </c>
      <c r="G334" t="inlineStr">
        <is>
          <t>NORDMALING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45503</v>
      </c>
      <c r="E335" s="1" t="n">
        <v>46227</v>
      </c>
      <c r="F335" t="inlineStr">
        <is>
          <t>VÄSTERBOTTENS LÄN</t>
        </is>
      </c>
      <c r="G335" t="inlineStr">
        <is>
          <t>NORDMALING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46048</v>
      </c>
      <c r="E336" s="1" t="n">
        <v>46227</v>
      </c>
      <c r="F336" t="inlineStr">
        <is>
          <t>VÄSTERBOTTENS LÄN</t>
        </is>
      </c>
      <c r="G336" t="inlineStr">
        <is>
          <t>NORDMALING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46227</v>
      </c>
      <c r="F337" t="inlineStr">
        <is>
          <t>VÄSTERBOTTENS LÄN</t>
        </is>
      </c>
      <c r="G337" t="inlineStr">
        <is>
          <t>NORDMALING</t>
        </is>
      </c>
      <c r="I337" t="n">
        <v>22.4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46227</v>
      </c>
      <c r="F338" t="inlineStr">
        <is>
          <t>VÄSTERBOTTENS LÄN</t>
        </is>
      </c>
      <c r="G338" t="inlineStr">
        <is>
          <t>NORDMALING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45524</v>
      </c>
      <c r="E339" s="1" t="n">
        <v>46227</v>
      </c>
      <c r="F339" t="inlineStr">
        <is>
          <t>VÄSTERBOTTENS LÄN</t>
        </is>
      </c>
      <c r="G339" t="inlineStr">
        <is>
          <t>NORDMALING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46227</v>
      </c>
      <c r="F340" t="inlineStr">
        <is>
          <t>VÄSTERBOTTENS LÄN</t>
        </is>
      </c>
      <c r="G340" t="inlineStr">
        <is>
          <t>NORDMALING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46227</v>
      </c>
      <c r="F341" t="inlineStr">
        <is>
          <t>VÄSTERBOTTENS LÄN</t>
        </is>
      </c>
      <c r="G341" t="inlineStr">
        <is>
          <t>NORDMALING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64498-2023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45280</v>
      </c>
      <c r="E342" s="1" t="n">
        <v>46227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46227</v>
      </c>
      <c r="F343" t="inlineStr">
        <is>
          <t>VÄSTERBOTTENS LÄN</t>
        </is>
      </c>
      <c r="G343" t="inlineStr">
        <is>
          <t>NORDMALING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46227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46227</v>
      </c>
      <c r="F345" t="inlineStr">
        <is>
          <t>VÄSTERBOTTENS LÄN</t>
        </is>
      </c>
      <c r="G345" t="inlineStr">
        <is>
          <t>NORDMALING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69516-2021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44531</v>
      </c>
      <c r="E346" s="1" t="n">
        <v>46227</v>
      </c>
      <c r="F346" t="inlineStr">
        <is>
          <t>VÄSTERBOTTENS LÄN</t>
        </is>
      </c>
      <c r="G346" t="inlineStr">
        <is>
          <t>NORDMALING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43367-2022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44834</v>
      </c>
      <c r="E347" s="1" t="n">
        <v>46227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Holmen skog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46227</v>
      </c>
      <c r="F348" t="inlineStr">
        <is>
          <t>VÄSTERBOTTENS LÄN</t>
        </is>
      </c>
      <c r="G348" t="inlineStr">
        <is>
          <t>NORDMALING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46227</v>
      </c>
      <c r="F349" t="inlineStr">
        <is>
          <t>VÄSTERBOTTENS LÄN</t>
        </is>
      </c>
      <c r="G349" t="inlineStr">
        <is>
          <t>NORDMALING</t>
        </is>
      </c>
      <c r="I349" t="n">
        <v>19.1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46227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45102</v>
      </c>
      <c r="E351" s="1" t="n">
        <v>46227</v>
      </c>
      <c r="F351" t="inlineStr">
        <is>
          <t>VÄSTERBOTTENS LÄN</t>
        </is>
      </c>
      <c r="G351" t="inlineStr">
        <is>
          <t>NORDMALING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46227</v>
      </c>
      <c r="F352" t="inlineStr">
        <is>
          <t>VÄSTERBOTTENS LÄN</t>
        </is>
      </c>
      <c r="G352" t="inlineStr">
        <is>
          <t>NORDMALING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35291-2023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45145</v>
      </c>
      <c r="E353" s="1" t="n">
        <v>46227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46227</v>
      </c>
      <c r="F354" t="inlineStr">
        <is>
          <t>VÄSTERBOTTENS LÄN</t>
        </is>
      </c>
      <c r="G354" t="inlineStr">
        <is>
          <t>NORDMALING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46227</v>
      </c>
      <c r="F355" t="inlineStr">
        <is>
          <t>VÄSTERBOTTENS LÄN</t>
        </is>
      </c>
      <c r="G355" t="inlineStr">
        <is>
          <t>NORDMALING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46227</v>
      </c>
      <c r="F356" t="inlineStr">
        <is>
          <t>VÄSTERBOTTENS LÄN</t>
        </is>
      </c>
      <c r="G356" t="inlineStr">
        <is>
          <t>NORDMALING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46227</v>
      </c>
      <c r="F357" t="inlineStr">
        <is>
          <t>VÄSTERBOTTENS LÄN</t>
        </is>
      </c>
      <c r="G357" t="inlineStr">
        <is>
          <t>NORDMALING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45757</v>
      </c>
      <c r="E358" s="1" t="n">
        <v>46227</v>
      </c>
      <c r="F358" t="inlineStr">
        <is>
          <t>VÄSTERBOTTENS LÄN</t>
        </is>
      </c>
      <c r="G358" t="inlineStr">
        <is>
          <t>NORDMALING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44812</v>
      </c>
      <c r="E359" s="1" t="n">
        <v>46227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45378</v>
      </c>
      <c r="E360" s="1" t="n">
        <v>46227</v>
      </c>
      <c r="F360" t="inlineStr">
        <is>
          <t>VÄSTERBOTTENS LÄN</t>
        </is>
      </c>
      <c r="G360" t="inlineStr">
        <is>
          <t>NORDMALING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45419</v>
      </c>
      <c r="E361" s="1" t="n">
        <v>46227</v>
      </c>
      <c r="F361" t="inlineStr">
        <is>
          <t>VÄSTERBOTTENS LÄN</t>
        </is>
      </c>
      <c r="G361" t="inlineStr">
        <is>
          <t>NORDMALING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46227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48945-2022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44859</v>
      </c>
      <c r="E363" s="1" t="n">
        <v>46227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46227</v>
      </c>
      <c r="F364" t="inlineStr">
        <is>
          <t>VÄSTERBOTTENS LÄN</t>
        </is>
      </c>
      <c r="G364" t="inlineStr">
        <is>
          <t>NORDMALING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46227</v>
      </c>
      <c r="F365" t="inlineStr">
        <is>
          <t>VÄSTERBOTTENS LÄN</t>
        </is>
      </c>
      <c r="G365" t="inlineStr">
        <is>
          <t>NORDMALING</t>
        </is>
      </c>
      <c r="I365" t="n">
        <v>12.5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45105</v>
      </c>
      <c r="E366" s="1" t="n">
        <v>46227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45491</v>
      </c>
      <c r="E367" s="1" t="n">
        <v>46227</v>
      </c>
      <c r="F367" t="inlineStr">
        <is>
          <t>VÄSTERBOTTENS LÄN</t>
        </is>
      </c>
      <c r="G367" t="inlineStr">
        <is>
          <t>NORDMALING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46227</v>
      </c>
      <c r="F368" t="inlineStr">
        <is>
          <t>VÄSTERBOTTENS LÄN</t>
        </is>
      </c>
      <c r="G368" t="inlineStr">
        <is>
          <t>NORDMALING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53775-2023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46227</v>
      </c>
      <c r="F369" t="inlineStr">
        <is>
          <t>VÄSTERBOTTENS LÄN</t>
        </is>
      </c>
      <c r="G369" t="inlineStr">
        <is>
          <t>NORDMALING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44893</v>
      </c>
      <c r="E370" s="1" t="n">
        <v>46227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46227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44949</v>
      </c>
      <c r="E372" s="1" t="n">
        <v>46227</v>
      </c>
      <c r="F372" t="inlineStr">
        <is>
          <t>VÄSTERBOTTENS LÄN</t>
        </is>
      </c>
      <c r="G372" t="inlineStr">
        <is>
          <t>NORDMALING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46227</v>
      </c>
      <c r="F373" t="inlineStr">
        <is>
          <t>VÄSTERBOTTENS LÄN</t>
        </is>
      </c>
      <c r="G373" t="inlineStr">
        <is>
          <t>NORDMALING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46227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46227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46227</v>
      </c>
      <c r="F376" t="inlineStr">
        <is>
          <t>VÄSTERBOTTENS LÄN</t>
        </is>
      </c>
      <c r="G376" t="inlineStr">
        <is>
          <t>NORDMALING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45562</v>
      </c>
      <c r="E377" s="1" t="n">
        <v>46227</v>
      </c>
      <c r="F377" t="inlineStr">
        <is>
          <t>VÄSTERBOTTENS LÄN</t>
        </is>
      </c>
      <c r="G377" t="inlineStr">
        <is>
          <t>NORDMALING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57590-2022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46227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46227</v>
      </c>
      <c r="F379" t="inlineStr">
        <is>
          <t>VÄSTERBOTTENS LÄN</t>
        </is>
      </c>
      <c r="G379" t="inlineStr">
        <is>
          <t>NORDMALING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46227</v>
      </c>
      <c r="F380" t="inlineStr">
        <is>
          <t>VÄSTERBOTTENS LÄN</t>
        </is>
      </c>
      <c r="G380" t="inlineStr">
        <is>
          <t>NORDMALING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46227</v>
      </c>
      <c r="F381" t="inlineStr">
        <is>
          <t>VÄSTERBOTTENS LÄN</t>
        </is>
      </c>
      <c r="G381" t="inlineStr">
        <is>
          <t>NORDMALING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46227</v>
      </c>
      <c r="F382" t="inlineStr">
        <is>
          <t>VÄSTERBOTTENS LÄN</t>
        </is>
      </c>
      <c r="G382" t="inlineStr">
        <is>
          <t>NORDMALING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46227</v>
      </c>
      <c r="F383" t="inlineStr">
        <is>
          <t>VÄSTERBOTTENS LÄN</t>
        </is>
      </c>
      <c r="G383" t="inlineStr">
        <is>
          <t>NORDMALING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45569</v>
      </c>
      <c r="E384" s="1" t="n">
        <v>46227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46227</v>
      </c>
      <c r="F385" t="inlineStr">
        <is>
          <t>VÄSTERBOTTENS LÄN</t>
        </is>
      </c>
      <c r="G385" t="inlineStr">
        <is>
          <t>NORDMALING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45344</v>
      </c>
      <c r="E386" s="1" t="n">
        <v>46227</v>
      </c>
      <c r="F386" t="inlineStr">
        <is>
          <t>VÄSTERBOTTENS LÄN</t>
        </is>
      </c>
      <c r="G386" t="inlineStr">
        <is>
          <t>NORDMALING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46227</v>
      </c>
      <c r="F387" t="inlineStr">
        <is>
          <t>VÄSTERBOTTENS LÄN</t>
        </is>
      </c>
      <c r="G387" t="inlineStr">
        <is>
          <t>NORDMALING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45443</v>
      </c>
      <c r="E388" s="1" t="n">
        <v>46227</v>
      </c>
      <c r="F388" t="inlineStr">
        <is>
          <t>VÄSTERBOTTENS LÄN</t>
        </is>
      </c>
      <c r="G388" t="inlineStr">
        <is>
          <t>NORDMALING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45447</v>
      </c>
      <c r="E389" s="1" t="n">
        <v>46227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69519-2021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44531</v>
      </c>
      <c r="E390" s="1" t="n">
        <v>46227</v>
      </c>
      <c r="F390" t="inlineStr">
        <is>
          <t>VÄSTERBOTTENS LÄN</t>
        </is>
      </c>
      <c r="G390" t="inlineStr">
        <is>
          <t>NORDMALING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45141</v>
      </c>
      <c r="E391" s="1" t="n">
        <v>46227</v>
      </c>
      <c r="F391" t="inlineStr">
        <is>
          <t>VÄSTERBOTTENS LÄN</t>
        </is>
      </c>
      <c r="G391" t="inlineStr">
        <is>
          <t>NORDMALING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72018-2021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44540</v>
      </c>
      <c r="E392" s="1" t="n">
        <v>46227</v>
      </c>
      <c r="F392" t="inlineStr">
        <is>
          <t>VÄSTERBOTTENS LÄN</t>
        </is>
      </c>
      <c r="G392" t="inlineStr">
        <is>
          <t>NORDMALING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46227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24415-2024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45457</v>
      </c>
      <c r="E394" s="1" t="n">
        <v>46227</v>
      </c>
      <c r="F394" t="inlineStr">
        <is>
          <t>VÄSTERBOTTENS LÄN</t>
        </is>
      </c>
      <c r="G394" t="inlineStr">
        <is>
          <t>NORDMALING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46227</v>
      </c>
      <c r="F395" t="inlineStr">
        <is>
          <t>VÄSTERBOTTENS LÄN</t>
        </is>
      </c>
      <c r="G395" t="inlineStr">
        <is>
          <t>NORDMALING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15963-2026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46108</v>
      </c>
      <c r="E396" s="1" t="n">
        <v>46227</v>
      </c>
      <c r="F396" t="inlineStr">
        <is>
          <t>VÄSTERBOTTENS LÄN</t>
        </is>
      </c>
      <c r="G396" t="inlineStr">
        <is>
          <t>NORDMALING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45180</v>
      </c>
      <c r="E397" s="1" t="n">
        <v>46227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46227</v>
      </c>
      <c r="F398" t="inlineStr">
        <is>
          <t>VÄSTERBOTTENS LÄN</t>
        </is>
      </c>
      <c r="G398" t="inlineStr">
        <is>
          <t>NORDMALING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46113</v>
      </c>
      <c r="E399" s="1" t="n">
        <v>46227</v>
      </c>
      <c r="F399" t="inlineStr">
        <is>
          <t>VÄSTERBOTTENS LÄN</t>
        </is>
      </c>
      <c r="G399" t="inlineStr">
        <is>
          <t>NORDMALING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46227</v>
      </c>
      <c r="F400" t="inlineStr">
        <is>
          <t>VÄSTERBOTTENS LÄN</t>
        </is>
      </c>
      <c r="G400" t="inlineStr">
        <is>
          <t>NORDMALING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46116</v>
      </c>
      <c r="E401" s="1" t="n">
        <v>46227</v>
      </c>
      <c r="F401" t="inlineStr">
        <is>
          <t>VÄSTERBOTTENS LÄN</t>
        </is>
      </c>
      <c r="G401" t="inlineStr">
        <is>
          <t>NORDMALING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45022</v>
      </c>
      <c r="E402" s="1" t="n">
        <v>46227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45593</v>
      </c>
      <c r="E403" s="1" t="n">
        <v>46227</v>
      </c>
      <c r="F403" t="inlineStr">
        <is>
          <t>VÄSTERBOTTENS LÄN</t>
        </is>
      </c>
      <c r="G403" t="inlineStr">
        <is>
          <t>NORDMALING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44981</v>
      </c>
      <c r="E404" s="1" t="n">
        <v>46227</v>
      </c>
      <c r="F404" t="inlineStr">
        <is>
          <t>VÄSTERBOTTENS LÄN</t>
        </is>
      </c>
      <c r="G404" t="inlineStr">
        <is>
          <t>NORDMALING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46227</v>
      </c>
      <c r="F405" t="inlineStr">
        <is>
          <t>VÄSTERBOTTENS LÄN</t>
        </is>
      </c>
      <c r="G405" t="inlineStr">
        <is>
          <t>NORDMALING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46227</v>
      </c>
      <c r="F406" t="inlineStr">
        <is>
          <t>VÄSTERBOTTENS LÄN</t>
        </is>
      </c>
      <c r="G406" t="inlineStr">
        <is>
          <t>NORDMALING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47516-2024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45587</v>
      </c>
      <c r="E407" s="1" t="n">
        <v>46227</v>
      </c>
      <c r="F407" t="inlineStr">
        <is>
          <t>VÄSTERBOTTENS LÄN</t>
        </is>
      </c>
      <c r="G407" t="inlineStr">
        <is>
          <t>NORDMALING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46125</v>
      </c>
      <c r="E408" s="1" t="n">
        <v>46227</v>
      </c>
      <c r="F408" t="inlineStr">
        <is>
          <t>VÄSTERBOTTENS LÄN</t>
        </is>
      </c>
      <c r="G408" t="inlineStr">
        <is>
          <t>NORDMALING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45158</v>
      </c>
      <c r="E409" s="1" t="n">
        <v>46227</v>
      </c>
      <c r="F409" t="inlineStr">
        <is>
          <t>VÄSTERBOTTENS LÄN</t>
        </is>
      </c>
      <c r="G409" t="inlineStr">
        <is>
          <t>NORDMALING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46125</v>
      </c>
      <c r="E410" s="1" t="n">
        <v>46227</v>
      </c>
      <c r="F410" t="inlineStr">
        <is>
          <t>VÄSTERBOTTENS LÄN</t>
        </is>
      </c>
      <c r="G410" t="inlineStr">
        <is>
          <t>NORDMALING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46227</v>
      </c>
      <c r="F411" t="inlineStr">
        <is>
          <t>VÄSTERBOTTENS LÄN</t>
        </is>
      </c>
      <c r="G411" t="inlineStr">
        <is>
          <t>NORDMALING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46227</v>
      </c>
      <c r="F412" t="inlineStr">
        <is>
          <t>VÄSTERBOTTENS LÄN</t>
        </is>
      </c>
      <c r="G412" t="inlineStr">
        <is>
          <t>NORDMALING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18786-2026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46227</v>
      </c>
      <c r="F413" t="inlineStr">
        <is>
          <t>VÄSTERBOTTENS LÄN</t>
        </is>
      </c>
      <c r="G413" t="inlineStr">
        <is>
          <t>NORDMALING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46227</v>
      </c>
      <c r="F414" t="inlineStr">
        <is>
          <t>VÄSTERBOTTENS LÄN</t>
        </is>
      </c>
      <c r="G414" t="inlineStr">
        <is>
          <t>NORDMALING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46227</v>
      </c>
      <c r="F415" t="inlineStr">
        <is>
          <t>VÄSTERBOTTENS LÄN</t>
        </is>
      </c>
      <c r="G415" t="inlineStr">
        <is>
          <t>NORDMALING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18839-2026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46129</v>
      </c>
      <c r="E416" s="1" t="n">
        <v>46227</v>
      </c>
      <c r="F416" t="inlineStr">
        <is>
          <t>VÄSTERBOTTENS LÄN</t>
        </is>
      </c>
      <c r="G416" t="inlineStr">
        <is>
          <t>NORDMALING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46227</v>
      </c>
      <c r="F417" t="inlineStr">
        <is>
          <t>VÄSTERBOTTENS LÄN</t>
        </is>
      </c>
      <c r="G417" t="inlineStr">
        <is>
          <t>NORDMALING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46227</v>
      </c>
      <c r="F418" t="inlineStr">
        <is>
          <t>VÄSTERBOTTENS LÄN</t>
        </is>
      </c>
      <c r="G418" t="inlineStr">
        <is>
          <t>NORDMALING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46227</v>
      </c>
      <c r="F419" t="inlineStr">
        <is>
          <t>VÄSTERBOTTENS LÄN</t>
        </is>
      </c>
      <c r="G419" t="inlineStr">
        <is>
          <t>NORDMALING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46227</v>
      </c>
      <c r="F420" t="inlineStr">
        <is>
          <t>VÄSTERBOTTENS LÄN</t>
        </is>
      </c>
      <c r="G420" t="inlineStr">
        <is>
          <t>NORDMALING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44993</v>
      </c>
      <c r="E421" s="1" t="n">
        <v>46227</v>
      </c>
      <c r="F421" t="inlineStr">
        <is>
          <t>VÄSTERBOTTENS LÄN</t>
        </is>
      </c>
      <c r="G421" t="inlineStr">
        <is>
          <t>NORDMALING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46227</v>
      </c>
      <c r="F422" t="inlineStr">
        <is>
          <t>VÄSTERBOTTENS LÄN</t>
        </is>
      </c>
      <c r="G422" t="inlineStr">
        <is>
          <t>NORDMALING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46227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18894-2026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46129</v>
      </c>
      <c r="E424" s="1" t="n">
        <v>46227</v>
      </c>
      <c r="F424" t="inlineStr">
        <is>
          <t>VÄSTERBOTTENS LÄN</t>
        </is>
      </c>
      <c r="G424" t="inlineStr">
        <is>
          <t>NORDMALING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46227</v>
      </c>
      <c r="F425" t="inlineStr">
        <is>
          <t>VÄSTERBOTTENS LÄN</t>
        </is>
      </c>
      <c r="G425" t="inlineStr">
        <is>
          <t>NORDMALING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45330</v>
      </c>
      <c r="E426" s="1" t="n">
        <v>46227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46227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46227</v>
      </c>
      <c r="F428" t="inlineStr">
        <is>
          <t>VÄSTERBOTTENS LÄN</t>
        </is>
      </c>
      <c r="G428" t="inlineStr">
        <is>
          <t>NORDMALING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45182</v>
      </c>
      <c r="E429" s="1" t="n">
        <v>46227</v>
      </c>
      <c r="F429" t="inlineStr">
        <is>
          <t>VÄSTERBOTTENS LÄN</t>
        </is>
      </c>
      <c r="G429" t="inlineStr">
        <is>
          <t>NORDMALING</t>
        </is>
      </c>
      <c r="I429" t="n">
        <v>20.1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46227</v>
      </c>
      <c r="F430" t="inlineStr">
        <is>
          <t>VÄSTERBOTTENS LÄN</t>
        </is>
      </c>
      <c r="G430" t="inlineStr">
        <is>
          <t>NORDMALING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46227</v>
      </c>
      <c r="F431" t="inlineStr">
        <is>
          <t>VÄSTERBOTTENS LÄN</t>
        </is>
      </c>
      <c r="G431" t="inlineStr">
        <is>
          <t>NORDMALING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45187</v>
      </c>
      <c r="E432" s="1" t="n">
        <v>46227</v>
      </c>
      <c r="F432" t="inlineStr">
        <is>
          <t>VÄSTERBOTTENS LÄN</t>
        </is>
      </c>
      <c r="G432" t="inlineStr">
        <is>
          <t>NORDMALING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45462</v>
      </c>
      <c r="E433" s="1" t="n">
        <v>46227</v>
      </c>
      <c r="F433" t="inlineStr">
        <is>
          <t>VÄSTERBOTTENS LÄN</t>
        </is>
      </c>
      <c r="G433" t="inlineStr">
        <is>
          <t>NORDMALING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45462</v>
      </c>
      <c r="E434" s="1" t="n">
        <v>46227</v>
      </c>
      <c r="F434" t="inlineStr">
        <is>
          <t>VÄSTERBOTTENS LÄN</t>
        </is>
      </c>
      <c r="G434" t="inlineStr">
        <is>
          <t>NORDMALING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46136</v>
      </c>
      <c r="E435" s="1" t="n">
        <v>46227</v>
      </c>
      <c r="F435" t="inlineStr">
        <is>
          <t>VÄSTERBOTTENS LÄN</t>
        </is>
      </c>
      <c r="G435" t="inlineStr">
        <is>
          <t>NORDMALING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46227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46227</v>
      </c>
      <c r="F437" t="inlineStr">
        <is>
          <t>VÄSTERBOTTENS LÄN</t>
        </is>
      </c>
      <c r="G437" t="inlineStr">
        <is>
          <t>NORDMALING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45866</v>
      </c>
      <c r="E438" s="1" t="n">
        <v>46227</v>
      </c>
      <c r="F438" t="inlineStr">
        <is>
          <t>VÄSTERBOTTENS LÄN</t>
        </is>
      </c>
      <c r="G438" t="inlineStr">
        <is>
          <t>NORDMALING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45712</v>
      </c>
      <c r="E439" s="1" t="n">
        <v>46227</v>
      </c>
      <c r="F439" t="inlineStr">
        <is>
          <t>VÄSTERBOTTENS LÄN</t>
        </is>
      </c>
      <c r="G439" t="inlineStr">
        <is>
          <t>NORDMALING</t>
        </is>
      </c>
      <c r="I439" t="n">
        <v>11.1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46227</v>
      </c>
      <c r="F440" t="inlineStr">
        <is>
          <t>VÄSTERBOTTENS LÄN</t>
        </is>
      </c>
      <c r="G440" t="inlineStr">
        <is>
          <t>NORDMALING</t>
        </is>
      </c>
      <c r="I440" t="n">
        <v>16.1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45877</v>
      </c>
      <c r="E441" s="1" t="n">
        <v>46227</v>
      </c>
      <c r="F441" t="inlineStr">
        <is>
          <t>VÄSTERBOTTENS LÄN</t>
        </is>
      </c>
      <c r="G441" t="inlineStr">
        <is>
          <t>NORDMALING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45799</v>
      </c>
      <c r="E442" s="1" t="n">
        <v>46227</v>
      </c>
      <c r="F442" t="inlineStr">
        <is>
          <t>VÄSTERBOTTENS LÄN</t>
        </is>
      </c>
      <c r="G442" t="inlineStr">
        <is>
          <t>NORDMALING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18232-2024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45420</v>
      </c>
      <c r="E443" s="1" t="n">
        <v>46227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46593-2025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46227</v>
      </c>
      <c r="F444" t="inlineStr">
        <is>
          <t>VÄSTERBOTTENS LÄN</t>
        </is>
      </c>
      <c r="G444" t="inlineStr">
        <is>
          <t>NORDMALING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45062</v>
      </c>
      <c r="E445" s="1" t="n">
        <v>46227</v>
      </c>
      <c r="F445" t="inlineStr">
        <is>
          <t>VÄSTERBOTTENS LÄN</t>
        </is>
      </c>
      <c r="G445" t="inlineStr">
        <is>
          <t>NORDMALING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20162-2026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46227</v>
      </c>
      <c r="F446" t="inlineStr">
        <is>
          <t>VÄSTERBOTTENS LÄN</t>
        </is>
      </c>
      <c r="G446" t="inlineStr">
        <is>
          <t>NORDMALING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47015-2025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45929</v>
      </c>
      <c r="E447" s="1" t="n">
        <v>46227</v>
      </c>
      <c r="F447" t="inlineStr">
        <is>
          <t>VÄSTERBOTTENS LÄN</t>
        </is>
      </c>
      <c r="G447" t="inlineStr">
        <is>
          <t>NORDMALING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21862-2024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45443</v>
      </c>
      <c r="E448" s="1" t="n">
        <v>46227</v>
      </c>
      <c r="F448" t="inlineStr">
        <is>
          <t>VÄSTERBOTTENS LÄN</t>
        </is>
      </c>
      <c r="G448" t="inlineStr">
        <is>
          <t>NORDMALING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44854</v>
      </c>
      <c r="E449" s="1" t="n">
        <v>46227</v>
      </c>
      <c r="F449" t="inlineStr">
        <is>
          <t>VÄSTERBOTTENS LÄN</t>
        </is>
      </c>
      <c r="G449" t="inlineStr">
        <is>
          <t>NORDMALING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48940-2022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44859</v>
      </c>
      <c r="E450" s="1" t="n">
        <v>46227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45607</v>
      </c>
      <c r="E451" s="1" t="n">
        <v>46227</v>
      </c>
      <c r="F451" t="inlineStr">
        <is>
          <t>VÄSTERBOTTENS LÄN</t>
        </is>
      </c>
      <c r="G451" t="inlineStr">
        <is>
          <t>NORDMALING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46227</v>
      </c>
      <c r="F452" t="inlineStr">
        <is>
          <t>VÄSTERBOTTENS LÄN</t>
        </is>
      </c>
      <c r="G452" t="inlineStr">
        <is>
          <t>NORDMALING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72841-2021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44547</v>
      </c>
      <c r="E453" s="1" t="n">
        <v>46227</v>
      </c>
      <c r="F453" t="inlineStr">
        <is>
          <t>VÄSTERBOTTENS LÄN</t>
        </is>
      </c>
      <c r="G453" t="inlineStr">
        <is>
          <t>NORDMALING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45638</v>
      </c>
      <c r="E454" s="1" t="n">
        <v>46227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33612-2022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44789</v>
      </c>
      <c r="E455" s="1" t="n">
        <v>46227</v>
      </c>
      <c r="F455" t="inlineStr">
        <is>
          <t>VÄSTERBOTTENS LÄN</t>
        </is>
      </c>
      <c r="G455" t="inlineStr">
        <is>
          <t>NORDMALING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46227</v>
      </c>
      <c r="F456" t="inlineStr">
        <is>
          <t>VÄSTERBOTTENS LÄN</t>
        </is>
      </c>
      <c r="G456" t="inlineStr">
        <is>
          <t>NORDMALING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46227</v>
      </c>
      <c r="F457" t="inlineStr">
        <is>
          <t>VÄSTERBOTTENS LÄN</t>
        </is>
      </c>
      <c r="G457" t="inlineStr">
        <is>
          <t>NORDMALING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46227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45140</v>
      </c>
      <c r="E459" s="1" t="n">
        <v>46227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46227</v>
      </c>
      <c r="F460" t="inlineStr">
        <is>
          <t>VÄSTERBOTTENS LÄN</t>
        </is>
      </c>
      <c r="G460" t="inlineStr">
        <is>
          <t>NORDMALING</t>
        </is>
      </c>
      <c r="I460" t="n">
        <v>14.8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46227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46227</v>
      </c>
      <c r="F462" t="inlineStr">
        <is>
          <t>VÄSTERBOTTENS LÄN</t>
        </is>
      </c>
      <c r="G462" t="inlineStr">
        <is>
          <t>NORDMALING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45890</v>
      </c>
      <c r="E463" s="1" t="n">
        <v>46227</v>
      </c>
      <c r="F463" t="inlineStr">
        <is>
          <t>VÄSTERBOTTENS LÄN</t>
        </is>
      </c>
      <c r="G463" t="inlineStr">
        <is>
          <t>NORDMALING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46227</v>
      </c>
      <c r="F464" t="inlineStr">
        <is>
          <t>VÄSTERBOTTENS LÄN</t>
        </is>
      </c>
      <c r="G464" t="inlineStr">
        <is>
          <t>NORDMALING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46227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46227</v>
      </c>
      <c r="F466" t="inlineStr">
        <is>
          <t>VÄSTERBOTTENS LÄN</t>
        </is>
      </c>
      <c r="G466" t="inlineStr">
        <is>
          <t>NORDMALING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45981</v>
      </c>
      <c r="E467" s="1" t="n">
        <v>46227</v>
      </c>
      <c r="F467" t="inlineStr">
        <is>
          <t>VÄSTERBOTTENS LÄN</t>
        </is>
      </c>
      <c r="G467" t="inlineStr">
        <is>
          <t>NORDMALING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20721-2026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46141</v>
      </c>
      <c r="E468" s="1" t="n">
        <v>46227</v>
      </c>
      <c r="F468" t="inlineStr">
        <is>
          <t>VÄSTERBOTTENS LÄN</t>
        </is>
      </c>
      <c r="G468" t="inlineStr">
        <is>
          <t>NORDMALING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55305-2023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46227</v>
      </c>
      <c r="F469" t="inlineStr">
        <is>
          <t>VÄSTERBOTTENS LÄN</t>
        </is>
      </c>
      <c r="G469" t="inlineStr">
        <is>
          <t>NORDMALING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46227</v>
      </c>
      <c r="F470" t="inlineStr">
        <is>
          <t>VÄSTERBOTTENS LÄN</t>
        </is>
      </c>
      <c r="G470" t="inlineStr">
        <is>
          <t>NORDMALING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45167</v>
      </c>
      <c r="E471" s="1" t="n">
        <v>46227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SCA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18639-2022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44687</v>
      </c>
      <c r="E472" s="1" t="n">
        <v>46227</v>
      </c>
      <c r="F472" t="inlineStr">
        <is>
          <t>VÄSTERBOTTENS LÄN</t>
        </is>
      </c>
      <c r="G472" t="inlineStr">
        <is>
          <t>NORDMALING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45665</v>
      </c>
      <c r="E473" s="1" t="n">
        <v>46227</v>
      </c>
      <c r="F473" t="inlineStr">
        <is>
          <t>VÄSTERBOTTENS LÄN</t>
        </is>
      </c>
      <c r="G473" t="inlineStr">
        <is>
          <t>NORDMALING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46227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37548-2023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45158</v>
      </c>
      <c r="E475" s="1" t="n">
        <v>46227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45770</v>
      </c>
      <c r="E476" s="1" t="n">
        <v>46227</v>
      </c>
      <c r="F476" t="inlineStr">
        <is>
          <t>VÄSTERBOTTENS LÄN</t>
        </is>
      </c>
      <c r="G476" t="inlineStr">
        <is>
          <t>NORDMALING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26796-2026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46185</v>
      </c>
      <c r="E477" s="1" t="n">
        <v>46227</v>
      </c>
      <c r="F477" t="inlineStr">
        <is>
          <t>VÄSTERBOTTENS LÄN</t>
        </is>
      </c>
      <c r="G477" t="inlineStr">
        <is>
          <t>NORDMALING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46227</v>
      </c>
      <c r="F478" t="inlineStr">
        <is>
          <t>VÄSTERBOTTENS LÄN</t>
        </is>
      </c>
      <c r="G478" t="inlineStr">
        <is>
          <t>NORDMALING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30009-2022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44756</v>
      </c>
      <c r="E479" s="1" t="n">
        <v>46227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61795-2023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45265</v>
      </c>
      <c r="E480" s="1" t="n">
        <v>46227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46151</v>
      </c>
      <c r="E481" s="1" t="n">
        <v>46227</v>
      </c>
      <c r="F481" t="inlineStr">
        <is>
          <t>VÄSTERBOTTENS LÄN</t>
        </is>
      </c>
      <c r="G481" t="inlineStr">
        <is>
          <t>NORDMALING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46227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44816</v>
      </c>
      <c r="E483" s="1" t="n">
        <v>46227</v>
      </c>
      <c r="F483" t="inlineStr">
        <is>
          <t>VÄSTERBOTTENS LÄN</t>
        </is>
      </c>
      <c r="G483" t="inlineStr">
        <is>
          <t>NORDMALING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58613-2022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46227</v>
      </c>
      <c r="F484" t="inlineStr">
        <is>
          <t>VÄSTERBOTTENS LÄN</t>
        </is>
      </c>
      <c r="G484" t="inlineStr">
        <is>
          <t>NORDMALING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46227</v>
      </c>
      <c r="F485" t="inlineStr">
        <is>
          <t>VÄSTERBOTTENS LÄN</t>
        </is>
      </c>
      <c r="G485" t="inlineStr">
        <is>
          <t>NORDMALING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46151</v>
      </c>
      <c r="E486" s="1" t="n">
        <v>46227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44938</v>
      </c>
      <c r="E487" s="1" t="n">
        <v>46227</v>
      </c>
      <c r="F487" t="inlineStr">
        <is>
          <t>VÄSTERBOTTENS LÄN</t>
        </is>
      </c>
      <c r="G487" t="inlineStr">
        <is>
          <t>NORDMALING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45736</v>
      </c>
      <c r="E488" s="1" t="n">
        <v>46227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46227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28446-2026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46227</v>
      </c>
      <c r="F490" t="inlineStr">
        <is>
          <t>VÄSTERBOTTENS LÄN</t>
        </is>
      </c>
      <c r="G490" t="inlineStr">
        <is>
          <t>NORDMALING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42823-2024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45566</v>
      </c>
      <c r="E491" s="1" t="n">
        <v>46227</v>
      </c>
      <c r="F491" t="inlineStr">
        <is>
          <t>VÄSTERBOTTENS LÄN</t>
        </is>
      </c>
      <c r="G491" t="inlineStr">
        <is>
          <t>NORDMALING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54169-2024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45616</v>
      </c>
      <c r="E492" s="1" t="n">
        <v>46227</v>
      </c>
      <c r="F492" t="inlineStr">
        <is>
          <t>VÄSTERBOTTENS LÄN</t>
        </is>
      </c>
      <c r="G492" t="inlineStr">
        <is>
          <t>NORDMALING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28445-2026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46197</v>
      </c>
      <c r="E493" s="1" t="n">
        <v>46227</v>
      </c>
      <c r="F493" t="inlineStr">
        <is>
          <t>VÄSTERBOTTENS LÄN</t>
        </is>
      </c>
      <c r="G493" t="inlineStr">
        <is>
          <t>NORDMALING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40008-2023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45167</v>
      </c>
      <c r="E494" s="1" t="n">
        <v>46227</v>
      </c>
      <c r="F494" t="inlineStr">
        <is>
          <t>VÄSTERBOTTENS LÄN</t>
        </is>
      </c>
      <c r="G494" t="inlineStr">
        <is>
          <t>NORDMALING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46227</v>
      </c>
      <c r="F495" t="inlineStr">
        <is>
          <t>VÄSTERBOTTENS LÄN</t>
        </is>
      </c>
      <c r="G495" t="inlineStr">
        <is>
          <t>NORDMALING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8103-2025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45707</v>
      </c>
      <c r="E496" s="1" t="n">
        <v>46227</v>
      </c>
      <c r="F496" t="inlineStr">
        <is>
          <t>VÄSTERBOTTENS LÄN</t>
        </is>
      </c>
      <c r="G496" t="inlineStr">
        <is>
          <t>NORDMALING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31486-2024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45505</v>
      </c>
      <c r="E497" s="1" t="n">
        <v>46227</v>
      </c>
      <c r="F497" t="inlineStr">
        <is>
          <t>VÄSTERBOTTENS LÄN</t>
        </is>
      </c>
      <c r="G497" t="inlineStr">
        <is>
          <t>NORDMALING</t>
        </is>
      </c>
      <c r="H497" t="inlineStr">
        <is>
          <t>SCA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23005-2026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46160</v>
      </c>
      <c r="E498" s="1" t="n">
        <v>46227</v>
      </c>
      <c r="F498" t="inlineStr">
        <is>
          <t>VÄSTERBOTTENS LÄN</t>
        </is>
      </c>
      <c r="G498" t="inlineStr">
        <is>
          <t>NORDMALING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29140-2026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46227</v>
      </c>
      <c r="F499" t="inlineStr">
        <is>
          <t>VÄSTERBOTTENS LÄN</t>
        </is>
      </c>
      <c r="G499" t="inlineStr">
        <is>
          <t>NORDMALING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45536</v>
      </c>
      <c r="E500" s="1" t="n">
        <v>46227</v>
      </c>
      <c r="F500" t="inlineStr">
        <is>
          <t>VÄSTERBOTTENS LÄN</t>
        </is>
      </c>
      <c r="G500" t="inlineStr">
        <is>
          <t>NORDMALING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44922</v>
      </c>
      <c r="E501" s="1" t="n">
        <v>46227</v>
      </c>
      <c r="F501" t="inlineStr">
        <is>
          <t>VÄSTERBOTTENS LÄN</t>
        </is>
      </c>
      <c r="G501" t="inlineStr">
        <is>
          <t>NORDMALING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46227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19865-2024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45433</v>
      </c>
      <c r="E503" s="1" t="n">
        <v>46227</v>
      </c>
      <c r="F503" t="inlineStr">
        <is>
          <t>VÄSTERBOTTENS LÄN</t>
        </is>
      </c>
      <c r="G503" t="inlineStr">
        <is>
          <t>NORDMALING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46196</v>
      </c>
      <c r="E504" s="1" t="n">
        <v>46227</v>
      </c>
      <c r="F504" t="inlineStr">
        <is>
          <t>VÄSTERBOTTENS LÄN</t>
        </is>
      </c>
      <c r="G504" t="inlineStr">
        <is>
          <t>NORDMALING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46161</v>
      </c>
      <c r="E505" s="1" t="n">
        <v>46227</v>
      </c>
      <c r="F505" t="inlineStr">
        <is>
          <t>VÄSTERBOTTENS LÄN</t>
        </is>
      </c>
      <c r="G505" t="inlineStr">
        <is>
          <t>NORDMALING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46227</v>
      </c>
      <c r="F506" t="inlineStr">
        <is>
          <t>VÄSTERBOTTENS LÄN</t>
        </is>
      </c>
      <c r="G506" t="inlineStr">
        <is>
          <t>NORDMALING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45775</v>
      </c>
      <c r="E507" s="1" t="n">
        <v>46227</v>
      </c>
      <c r="F507" t="inlineStr">
        <is>
          <t>VÄSTERBOTTENS LÄN</t>
        </is>
      </c>
      <c r="G507" t="inlineStr">
        <is>
          <t>NORDMALING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46160</v>
      </c>
      <c r="E508" s="1" t="n">
        <v>46227</v>
      </c>
      <c r="F508" t="inlineStr">
        <is>
          <t>VÄSTERBOTTENS LÄN</t>
        </is>
      </c>
      <c r="G508" t="inlineStr">
        <is>
          <t>NORDMALING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23017-2026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46227</v>
      </c>
      <c r="F509" t="inlineStr">
        <is>
          <t>VÄSTERBOTTENS LÄN</t>
        </is>
      </c>
      <c r="G509" t="inlineStr">
        <is>
          <t>NORDMALING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46227</v>
      </c>
      <c r="F510" t="inlineStr">
        <is>
          <t>VÄSTERBOTTENS LÄN</t>
        </is>
      </c>
      <c r="G510" t="inlineStr">
        <is>
          <t>NORDMALING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44916</v>
      </c>
      <c r="E511" s="1" t="n">
        <v>46227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23022-2026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46161</v>
      </c>
      <c r="E512" s="1" t="n">
        <v>46227</v>
      </c>
      <c r="F512" t="inlineStr">
        <is>
          <t>VÄSTERBOTTENS LÄN</t>
        </is>
      </c>
      <c r="G512" t="inlineStr">
        <is>
          <t>NORDMALING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44949</v>
      </c>
      <c r="E513" s="1" t="n">
        <v>46227</v>
      </c>
      <c r="F513" t="inlineStr">
        <is>
          <t>VÄSTERBOTTENS LÄN</t>
        </is>
      </c>
      <c r="G513" t="inlineStr">
        <is>
          <t>NORDMALING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46227</v>
      </c>
      <c r="F514" t="inlineStr">
        <is>
          <t>VÄSTERBOTTENS LÄN</t>
        </is>
      </c>
      <c r="G514" t="inlineStr">
        <is>
          <t>NORDMALING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21607-2022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44706</v>
      </c>
      <c r="E515" s="1" t="n">
        <v>46227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45247</v>
      </c>
      <c r="E516" s="1" t="n">
        <v>46227</v>
      </c>
      <c r="F516" t="inlineStr">
        <is>
          <t>VÄSTERBOTTENS LÄN</t>
        </is>
      </c>
      <c r="G516" t="inlineStr">
        <is>
          <t>NORDMALING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46227</v>
      </c>
      <c r="F517" t="inlineStr">
        <is>
          <t>VÄSTERBOTTENS LÄN</t>
        </is>
      </c>
      <c r="G517" t="inlineStr">
        <is>
          <t>NORDMALING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45348</v>
      </c>
      <c r="E518" s="1" t="n">
        <v>46227</v>
      </c>
      <c r="F518" t="inlineStr">
        <is>
          <t>VÄSTERBOTTENS LÄN</t>
        </is>
      </c>
      <c r="G518" t="inlineStr">
        <is>
          <t>NORDMALING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46227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7007-2024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45343</v>
      </c>
      <c r="E520" s="1" t="n">
        <v>46227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Kommuner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45691</v>
      </c>
      <c r="E521" s="1" t="n">
        <v>46227</v>
      </c>
      <c r="F521" t="inlineStr">
        <is>
          <t>VÄSTERBOTTENS LÄN</t>
        </is>
      </c>
      <c r="G521" t="inlineStr">
        <is>
          <t>NORDMALING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44620</v>
      </c>
      <c r="E522" s="1" t="n">
        <v>46227</v>
      </c>
      <c r="F522" t="inlineStr">
        <is>
          <t>VÄSTERBOTTENS LÄN</t>
        </is>
      </c>
      <c r="G522" t="inlineStr">
        <is>
          <t>NORDMALING</t>
        </is>
      </c>
      <c r="I522" t="n">
        <v>82.40000000000001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45034</v>
      </c>
      <c r="E523" s="1" t="n">
        <v>46227</v>
      </c>
      <c r="F523" t="inlineStr">
        <is>
          <t>VÄSTERBOTTENS LÄN</t>
        </is>
      </c>
      <c r="G523" t="inlineStr">
        <is>
          <t>NORDMALING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40053-2021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44418</v>
      </c>
      <c r="E524" s="1" t="n">
        <v>46227</v>
      </c>
      <c r="F524" t="inlineStr">
        <is>
          <t>VÄSTERBOTTENS LÄN</t>
        </is>
      </c>
      <c r="G524" t="inlineStr">
        <is>
          <t>NORDMALING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45439</v>
      </c>
      <c r="E525" s="1" t="n">
        <v>46227</v>
      </c>
      <c r="F525" t="inlineStr">
        <is>
          <t>VÄSTERBOTTENS LÄN</t>
        </is>
      </c>
      <c r="G525" t="inlineStr">
        <is>
          <t>NORDMALING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53986-2022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44881</v>
      </c>
      <c r="E526" s="1" t="n">
        <v>46227</v>
      </c>
      <c r="F526" t="inlineStr">
        <is>
          <t>VÄSTERBOTTENS LÄN</t>
        </is>
      </c>
      <c r="G526" t="inlineStr">
        <is>
          <t>NORDMALING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46169</v>
      </c>
      <c r="E527" s="1" t="n">
        <v>46227</v>
      </c>
      <c r="F527" t="inlineStr">
        <is>
          <t>VÄSTERBOTTENS LÄN</t>
        </is>
      </c>
      <c r="G527" t="inlineStr">
        <is>
          <t>NORDMALING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46227</v>
      </c>
      <c r="F528" t="inlineStr">
        <is>
          <t>VÄSTERBOTTENS LÄN</t>
        </is>
      </c>
      <c r="G528" t="inlineStr">
        <is>
          <t>NORDMALING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46227</v>
      </c>
      <c r="F529" t="inlineStr">
        <is>
          <t>VÄSTERBOTTENS LÄN</t>
        </is>
      </c>
      <c r="G529" t="inlineStr">
        <is>
          <t>NORDMALING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46227</v>
      </c>
      <c r="F530" t="inlineStr">
        <is>
          <t>VÄSTERBOTTENS LÄN</t>
        </is>
      </c>
      <c r="G530" t="inlineStr">
        <is>
          <t>NORDMALING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25214-2026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46171</v>
      </c>
      <c r="E531" s="1" t="n">
        <v>46227</v>
      </c>
      <c r="F531" t="inlineStr">
        <is>
          <t>VÄSTERBOTTENS LÄN</t>
        </is>
      </c>
      <c r="G531" t="inlineStr">
        <is>
          <t>NORDMALING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24706-2026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46227</v>
      </c>
      <c r="F532" t="inlineStr">
        <is>
          <t>VÄSTERBOTTENS LÄN</t>
        </is>
      </c>
      <c r="G532" t="inlineStr">
        <is>
          <t>NORDMALING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46227</v>
      </c>
      <c r="F533" t="inlineStr">
        <is>
          <t>VÄSTERBOTTENS LÄN</t>
        </is>
      </c>
      <c r="G533" t="inlineStr">
        <is>
          <t>NORDMALING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46205</v>
      </c>
      <c r="E534" s="1" t="n">
        <v>46227</v>
      </c>
      <c r="F534" t="inlineStr">
        <is>
          <t>VÄSTERBOTTENS LÄN</t>
        </is>
      </c>
      <c r="G534" t="inlineStr">
        <is>
          <t>NORDMALING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46227</v>
      </c>
      <c r="F535" t="inlineStr">
        <is>
          <t>VÄSTERBOTTENS LÄN</t>
        </is>
      </c>
      <c r="G535" t="inlineStr">
        <is>
          <t>NORDMALING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46205</v>
      </c>
      <c r="E536" s="1" t="n">
        <v>46227</v>
      </c>
      <c r="F536" t="inlineStr">
        <is>
          <t>VÄSTERBOTTENS LÄN</t>
        </is>
      </c>
      <c r="G536" t="inlineStr">
        <is>
          <t>NORDMALING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46227</v>
      </c>
      <c r="F537" t="inlineStr">
        <is>
          <t>VÄSTERBOTTENS LÄN</t>
        </is>
      </c>
      <c r="G537" t="inlineStr">
        <is>
          <t>NORDMALING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45673</v>
      </c>
      <c r="E538" s="1" t="n">
        <v>46227</v>
      </c>
      <c r="F538" t="inlineStr">
        <is>
          <t>VÄSTERBOTTENS LÄN</t>
        </is>
      </c>
      <c r="G538" t="inlineStr">
        <is>
          <t>NORDMALING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26197-2022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44735</v>
      </c>
      <c r="E539" s="1" t="n">
        <v>46227</v>
      </c>
      <c r="F539" t="inlineStr">
        <is>
          <t>VÄSTERBOTTENS LÄN</t>
        </is>
      </c>
      <c r="G539" t="inlineStr">
        <is>
          <t>NORDMALING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46227</v>
      </c>
      <c r="F540" t="inlineStr">
        <is>
          <t>VÄSTERBOTTENS LÄN</t>
        </is>
      </c>
      <c r="G540" t="inlineStr">
        <is>
          <t>NORDMALING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46227</v>
      </c>
      <c r="F541" t="inlineStr">
        <is>
          <t>VÄSTERBOTTENS LÄN</t>
        </is>
      </c>
      <c r="G541" t="inlineStr">
        <is>
          <t>NORDMALING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46227</v>
      </c>
      <c r="F542" t="inlineStr">
        <is>
          <t>VÄSTERBOTTENS LÄN</t>
        </is>
      </c>
      <c r="G542" t="inlineStr">
        <is>
          <t>NORDMALING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44859</v>
      </c>
      <c r="E543" s="1" t="n">
        <v>46227</v>
      </c>
      <c r="F543" t="inlineStr">
        <is>
          <t>VÄSTERBOTTENS LÄN</t>
        </is>
      </c>
      <c r="G543" t="inlineStr">
        <is>
          <t>NORDMALING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14689-2025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45742</v>
      </c>
      <c r="E544" s="1" t="n">
        <v>46227</v>
      </c>
      <c r="F544" t="inlineStr">
        <is>
          <t>VÄSTERBOTTENS LÄN</t>
        </is>
      </c>
      <c r="G544" t="inlineStr">
        <is>
          <t>NORDMALING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46176</v>
      </c>
      <c r="E545" s="1" t="n">
        <v>46227</v>
      </c>
      <c r="F545" t="inlineStr">
        <is>
          <t>VÄSTERBOTTENS LÄN</t>
        </is>
      </c>
      <c r="G545" t="inlineStr">
        <is>
          <t>NORDMALING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15750-2023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45021</v>
      </c>
      <c r="E546" s="1" t="n">
        <v>46227</v>
      </c>
      <c r="F546" t="inlineStr">
        <is>
          <t>VÄSTERBOTTENS LÄN</t>
        </is>
      </c>
      <c r="G546" t="inlineStr">
        <is>
          <t>NORDMALING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45096</v>
      </c>
      <c r="E547" s="1" t="n">
        <v>46227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44888</v>
      </c>
      <c r="E548" s="1" t="n">
        <v>46227</v>
      </c>
      <c r="F548" t="inlineStr">
        <is>
          <t>VÄSTERBOTTENS LÄN</t>
        </is>
      </c>
      <c r="G548" t="inlineStr">
        <is>
          <t>NORDMALING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46227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8484-2023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44972</v>
      </c>
      <c r="E550" s="1" t="n">
        <v>46227</v>
      </c>
      <c r="F550" t="inlineStr">
        <is>
          <t>VÄSTERBOTTENS LÄN</t>
        </is>
      </c>
      <c r="G550" t="inlineStr">
        <is>
          <t>NORDMALING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45608</v>
      </c>
      <c r="E551" s="1" t="n">
        <v>46227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46227</v>
      </c>
      <c r="F552" t="inlineStr">
        <is>
          <t>VÄSTERBOTTENS LÄN</t>
        </is>
      </c>
      <c r="G552" t="inlineStr">
        <is>
          <t>NORDMALING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45517</v>
      </c>
      <c r="E553" s="1" t="n">
        <v>46227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Holmen skog AB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46227</v>
      </c>
      <c r="F554" t="inlineStr">
        <is>
          <t>VÄSTERBOTTENS LÄN</t>
        </is>
      </c>
      <c r="G554" t="inlineStr">
        <is>
          <t>NORDMALING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45407</v>
      </c>
      <c r="E555" s="1" t="n">
        <v>46227</v>
      </c>
      <c r="F555" t="inlineStr">
        <is>
          <t>VÄSTERBOTTENS LÄN</t>
        </is>
      </c>
      <c r="G555" t="inlineStr">
        <is>
          <t>NORDMALING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46227</v>
      </c>
      <c r="F556" t="inlineStr">
        <is>
          <t>VÄSTERBOTTENS LÄN</t>
        </is>
      </c>
      <c r="G556" t="inlineStr">
        <is>
          <t>NORDMALING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44387-2023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45188</v>
      </c>
      <c r="E557" s="1" t="n">
        <v>46227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SCA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44788</v>
      </c>
      <c r="E558" s="1" t="n">
        <v>46227</v>
      </c>
      <c r="F558" t="inlineStr">
        <is>
          <t>VÄSTERBOTTENS LÄN</t>
        </is>
      </c>
      <c r="G558" t="inlineStr">
        <is>
          <t>NORDMALING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51824-2024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45607</v>
      </c>
      <c r="E559" s="1" t="n">
        <v>46227</v>
      </c>
      <c r="F559" t="inlineStr">
        <is>
          <t>VÄSTERBOTTENS LÄN</t>
        </is>
      </c>
      <c r="G559" t="inlineStr">
        <is>
          <t>NORDMALING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44968</v>
      </c>
      <c r="E560" s="1" t="n">
        <v>46227</v>
      </c>
      <c r="F560" t="inlineStr">
        <is>
          <t>VÄSTERBOTTENS LÄN</t>
        </is>
      </c>
      <c r="G560" t="inlineStr">
        <is>
          <t>NORDMALING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24850-2023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45078</v>
      </c>
      <c r="E561" s="1" t="n">
        <v>46227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45665</v>
      </c>
      <c r="E562" s="1" t="n">
        <v>46227</v>
      </c>
      <c r="F562" t="inlineStr">
        <is>
          <t>VÄSTERBOTTENS LÄN</t>
        </is>
      </c>
      <c r="G562" t="inlineStr">
        <is>
          <t>NORDMALING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45676</v>
      </c>
      <c r="E563" s="1" t="n">
        <v>46227</v>
      </c>
      <c r="F563" t="inlineStr">
        <is>
          <t>VÄSTERBOTTENS LÄN</t>
        </is>
      </c>
      <c r="G563" t="inlineStr">
        <is>
          <t>NORDMALING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46227</v>
      </c>
      <c r="F564" t="inlineStr">
        <is>
          <t>VÄSTERBOTTENS LÄN</t>
        </is>
      </c>
      <c r="G564" t="inlineStr">
        <is>
          <t>NORDMALING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61283-2023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46227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45241</v>
      </c>
      <c r="E566" s="1" t="n">
        <v>46227</v>
      </c>
      <c r="F566" t="inlineStr">
        <is>
          <t>VÄSTERBOTTENS LÄN</t>
        </is>
      </c>
      <c r="G566" t="inlineStr">
        <is>
          <t>NORDMALING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43491-2024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46227</v>
      </c>
      <c r="F567" t="inlineStr">
        <is>
          <t>VÄSTERBOTTENS LÄN</t>
        </is>
      </c>
      <c r="G567" t="inlineStr">
        <is>
          <t>NORDMALING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43492-2024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45568</v>
      </c>
      <c r="E568" s="1" t="n">
        <v>46227</v>
      </c>
      <c r="F568" t="inlineStr">
        <is>
          <t>VÄSTERBOTTENS LÄN</t>
        </is>
      </c>
      <c r="G568" t="inlineStr">
        <is>
          <t>NORDMALING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46227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46227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46227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46227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46227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46227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46227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46227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46227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46227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46227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46227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46227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46227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46227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46227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2026-07-24T01:48:08Z</dcterms:created>
  <dcterms:modified xmlns:dcterms="http://purl.org/dc/terms/" xmlns:xsi="http://www.w3.org/2001/XMLSchema-instance" xsi:type="dcterms:W3CDTF">2026-07-24T01:48:08Z</dcterms:modified>
</cp:coreProperties>
</file>