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46315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46315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46315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46315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46315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46315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46315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46315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46315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46315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46315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63255-2023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45273</v>
      </c>
      <c r="E13" s="1" t="n">
        <v>46315</v>
      </c>
      <c r="F13" t="inlineStr">
        <is>
          <t>VÄSTERBOTTENS LÄN</t>
        </is>
      </c>
      <c r="G13" t="inlineStr">
        <is>
          <t>NORDMALING</t>
        </is>
      </c>
      <c r="I13" t="n">
        <v>2.4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Dropptaggsvamp
Nästlav
Skinnlav
Trådticka
Svartvit flugsnappare</t>
        </is>
      </c>
      <c r="W13">
        <f>HYPERLINK("https://klasma.github.io/Logging_2401/artfynd/A 63255-2023 artfynd.xlsx", "A 63255-2023")</f>
        <v/>
      </c>
      <c r="X13">
        <f>HYPERLINK("https://klasma.github.io/Logging_2401/kartor/A 63255-2023 karta.png", "A 63255-2023")</f>
        <v/>
      </c>
      <c r="Y13">
        <f>HYPERLINK("https://klasma.github.io/Logging_2401/kartor_geotiff/A 63255-2023 georefererad karta.tif", "A 63255-2023")</f>
        <v/>
      </c>
      <c r="AA13">
        <f>HYPERLINK("https://klasma.github.io/Logging_2401/klagomål/A 63255-2023 FSC-klagomål.docx", "A 63255-2023")</f>
        <v/>
      </c>
      <c r="AB13">
        <f>HYPERLINK("https://klasma.github.io/Logging_2401/klagomålsmail/A 63255-2023 FSC-klagomål mail.docx", "A 63255-2023")</f>
        <v/>
      </c>
      <c r="AC13">
        <f>HYPERLINK("https://klasma.github.io/Logging_2401/tillsyn/A 63255-2023 tillsynsbegäran.docx", "A 63255-2023")</f>
        <v/>
      </c>
      <c r="AD13">
        <f>HYPERLINK("https://klasma.github.io/Logging_2401/tillsynsmail/A 63255-2023 tillsynsbegäran mail.docx", "A 63255-2023")</f>
        <v/>
      </c>
    </row>
    <row r="14" ht="15" customHeight="1">
      <c r="A14" t="inlineStr">
        <is>
          <t>A 52787-2023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45219</v>
      </c>
      <c r="E14" s="1" t="n">
        <v>46315</v>
      </c>
      <c r="F14" t="inlineStr">
        <is>
          <t>VÄSTERBOTTENS LÄN</t>
        </is>
      </c>
      <c r="G14" t="inlineStr">
        <is>
          <t>NORDMALING</t>
        </is>
      </c>
      <c r="I14" t="n">
        <v>6.2</v>
      </c>
      <c r="J14" t="n">
        <v>2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5</v>
      </c>
      <c r="V14" s="2" t="inlineStr">
        <is>
          <t>Garnlav
Tretåig hackspett
Rostfläck
Skinnlav
Spillkråka</t>
        </is>
      </c>
      <c r="W14">
        <f>HYPERLINK("https://klasma.github.io/Logging_2401/artfynd/A 52787-2023 artfynd.xlsx", "A 52787-2023")</f>
        <v/>
      </c>
      <c r="X14">
        <f>HYPERLINK("https://klasma.github.io/Logging_2401/kartor/A 52787-2023 karta.png", "A 52787-2023")</f>
        <v/>
      </c>
      <c r="Y14">
        <f>HYPERLINK("https://klasma.github.io/Logging_2401/kartor_geotiff/A 52787-2023 georefererad karta.tif", "A 52787-2023")</f>
        <v/>
      </c>
      <c r="AA14">
        <f>HYPERLINK("https://klasma.github.io/Logging_2401/klagomål/A 52787-2023 FSC-klagomål.docx", "A 52787-2023")</f>
        <v/>
      </c>
      <c r="AB14">
        <f>HYPERLINK("https://klasma.github.io/Logging_2401/klagomålsmail/A 52787-2023 FSC-klagomål mail.docx", "A 52787-2023")</f>
        <v/>
      </c>
      <c r="AC14">
        <f>HYPERLINK("https://klasma.github.io/Logging_2401/tillsyn/A 52787-2023 tillsynsbegäran.docx", "A 52787-2023")</f>
        <v/>
      </c>
      <c r="AD14">
        <f>HYPERLINK("https://klasma.github.io/Logging_2401/tillsynsmail/A 52787-2023 tillsynsbegäran mail.docx", "A 52787-2023")</f>
        <v/>
      </c>
      <c r="AE14">
        <f>HYPERLINK("https://klasma.github.io/Logging_2401/fåglar/A 52787-2023 prioriterade fågelarter.docx", "A 52787-2023")</f>
        <v/>
      </c>
    </row>
    <row r="15" ht="15" customHeight="1">
      <c r="A15" t="inlineStr">
        <is>
          <t>A 45294-2025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45920</v>
      </c>
      <c r="E15" s="1" t="n">
        <v>46315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7.2</v>
      </c>
      <c r="J15" t="n">
        <v>0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Fläckporing
Dvärgbägarlav
Skarp dropptaggsvamp
Bronshjon
Skinnlav</t>
        </is>
      </c>
      <c r="W15">
        <f>HYPERLINK("https://klasma.github.io/Logging_2401/artfynd/A 45294-2025 artfynd.xlsx", "A 45294-2025")</f>
        <v/>
      </c>
      <c r="X15">
        <f>HYPERLINK("https://klasma.github.io/Logging_2401/kartor/A 45294-2025 karta.png", "A 45294-2025")</f>
        <v/>
      </c>
      <c r="Y15">
        <f>HYPERLINK("https://klasma.github.io/Logging_2401/kartor_geotiff/A 45294-2025 georefererad karta.tif", "A 45294-2025")</f>
        <v/>
      </c>
      <c r="AA15">
        <f>HYPERLINK("https://klasma.github.io/Logging_2401/klagomål/A 45294-2025 FSC-klagomål.docx", "A 45294-2025")</f>
        <v/>
      </c>
      <c r="AB15">
        <f>HYPERLINK("https://klasma.github.io/Logging_2401/klagomålsmail/A 45294-2025 FSC-klagomål mail.docx", "A 45294-2025")</f>
        <v/>
      </c>
      <c r="AC15">
        <f>HYPERLINK("https://klasma.github.io/Logging_2401/tillsyn/A 45294-2025 tillsynsbegäran.docx", "A 45294-2025")</f>
        <v/>
      </c>
      <c r="AD15">
        <f>HYPERLINK("https://klasma.github.io/Logging_2401/tillsynsmail/A 45294-2025 tillsynsbegäran mail.docx", "A 45294-2025")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46315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46315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46315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46315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37133-2022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44806</v>
      </c>
      <c r="E20" s="1" t="n">
        <v>46315</v>
      </c>
      <c r="F20" t="inlineStr">
        <is>
          <t>VÄSTERBOTTENS LÄN</t>
        </is>
      </c>
      <c r="G20" t="inlineStr">
        <is>
          <t>NORDMALING</t>
        </is>
      </c>
      <c r="I20" t="n">
        <v>17.3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Garnlav
Violettgrå tagellav
Bronshjon
Vedticka</t>
        </is>
      </c>
      <c r="W20">
        <f>HYPERLINK("https://klasma.github.io/Logging_2401/artfynd/A 37133-2022 artfynd.xlsx", "A 37133-2022")</f>
        <v/>
      </c>
      <c r="X20">
        <f>HYPERLINK("https://klasma.github.io/Logging_2401/kartor/A 37133-2022 karta.png", "A 37133-2022")</f>
        <v/>
      </c>
      <c r="Y20">
        <f>HYPERLINK("https://klasma.github.io/Logging_2401/kartor_geotiff/A 37133-2022 georefererad karta.tif", "A 37133-2022")</f>
        <v/>
      </c>
      <c r="AA20">
        <f>HYPERLINK("https://klasma.github.io/Logging_2401/klagomål/A 37133-2022 FSC-klagomål.docx", "A 37133-2022")</f>
        <v/>
      </c>
      <c r="AB20">
        <f>HYPERLINK("https://klasma.github.io/Logging_2401/klagomålsmail/A 37133-2022 FSC-klagomål mail.docx", "A 37133-2022")</f>
        <v/>
      </c>
      <c r="AC20">
        <f>HYPERLINK("https://klasma.github.io/Logging_2401/tillsyn/A 37133-2022 tillsynsbegäran.docx", "A 37133-2022")</f>
        <v/>
      </c>
      <c r="AD20">
        <f>HYPERLINK("https://klasma.github.io/Logging_2401/tillsynsmail/A 37133-2022 tillsynsbegäran mail.docx", "A 37133-2022")</f>
        <v/>
      </c>
    </row>
    <row r="21" ht="15" customHeight="1">
      <c r="A21" t="inlineStr">
        <is>
          <t>A 24944-2022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44728</v>
      </c>
      <c r="E21" s="1" t="n">
        <v>46315</v>
      </c>
      <c r="F21" t="inlineStr">
        <is>
          <t>VÄSTERBOTTENS LÄN</t>
        </is>
      </c>
      <c r="G21" t="inlineStr">
        <is>
          <t>NORDMALING</t>
        </is>
      </c>
      <c r="I21" t="n">
        <v>1.2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Knärot
Jättesvampmal
Vanlig groda
Fläcknycklar</t>
        </is>
      </c>
      <c r="W21">
        <f>HYPERLINK("https://klasma.github.io/Logging_2401/artfynd/A 24944-2022 artfynd.xlsx", "A 24944-2022")</f>
        <v/>
      </c>
      <c r="X21">
        <f>HYPERLINK("https://klasma.github.io/Logging_2401/kartor/A 24944-2022 karta.png", "A 24944-2022")</f>
        <v/>
      </c>
      <c r="Y21">
        <f>HYPERLINK("https://klasma.github.io/Logging_2401/kartor_geotiff/A 24944-2022 georefererad karta.tif", "A 24944-2022")</f>
        <v/>
      </c>
      <c r="Z21">
        <f>HYPERLINK("https://klasma.github.io/Logging_2401/knärot/A 24944-2022 karta knärot.png", "A 24944-2022")</f>
        <v/>
      </c>
      <c r="AA21">
        <f>HYPERLINK("https://klasma.github.io/Logging_2401/klagomål/A 24944-2022 FSC-klagomål.docx", "A 24944-2022")</f>
        <v/>
      </c>
      <c r="AB21">
        <f>HYPERLINK("https://klasma.github.io/Logging_2401/klagomålsmail/A 24944-2022 FSC-klagomål mail.docx", "A 24944-2022")</f>
        <v/>
      </c>
      <c r="AC21">
        <f>HYPERLINK("https://klasma.github.io/Logging_2401/tillsyn/A 24944-2022 tillsynsbegäran.docx", "A 24944-2022")</f>
        <v/>
      </c>
      <c r="AD21">
        <f>HYPERLINK("https://klasma.github.io/Logging_2401/tillsynsmail/A 24944-2022 tillsynsbegäran mail.docx", "A 24944-2022")</f>
        <v/>
      </c>
    </row>
    <row r="22" ht="15" customHeight="1">
      <c r="A22" t="inlineStr">
        <is>
          <t>A 36810-2025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45873</v>
      </c>
      <c r="E22" s="1" t="n">
        <v>46315</v>
      </c>
      <c r="F22" t="inlineStr">
        <is>
          <t>VÄSTERBOTTENS LÄN</t>
        </is>
      </c>
      <c r="G22" t="inlineStr">
        <is>
          <t>NORDMALING</t>
        </is>
      </c>
      <c r="I22" t="n">
        <v>1.3</v>
      </c>
      <c r="J22" t="n">
        <v>0</v>
      </c>
      <c r="K22" t="n">
        <v>1</v>
      </c>
      <c r="L22" t="n">
        <v>0</v>
      </c>
      <c r="M22" t="n">
        <v>3</v>
      </c>
      <c r="N22" t="n">
        <v>0</v>
      </c>
      <c r="O22" t="n">
        <v>0</v>
      </c>
      <c r="P22" t="n">
        <v>0</v>
      </c>
      <c r="Q22" t="n">
        <v>3</v>
      </c>
      <c r="R22" t="n">
        <v>3</v>
      </c>
      <c r="S22" t="n">
        <v>4</v>
      </c>
      <c r="T22" t="n">
        <v>5</v>
      </c>
      <c r="U22" t="n">
        <v>0</v>
      </c>
      <c r="V22" s="2" t="inlineStr">
        <is>
          <t>Garnlav
Goliatmusseron
Rotfingersvamp
Granbarkgnagare</t>
        </is>
      </c>
      <c r="W22">
        <f>HYPERLINK("https://klasma.github.io/Logging_2401/artfynd/A 36810-2025 artfynd.xlsx", "A 36810-2025")</f>
        <v/>
      </c>
      <c r="X22">
        <f>HYPERLINK("https://klasma.github.io/Logging_2401/kartor/A 36810-2025 karta.png", "A 36810-2025")</f>
        <v/>
      </c>
      <c r="Y22">
        <f>HYPERLINK("https://klasma.github.io/Logging_2401/kartor_geotiff/A 36810-2025 georefererad karta.tif", "A 36810-2025")</f>
        <v/>
      </c>
      <c r="AA22">
        <f>HYPERLINK("https://klasma.github.io/Logging_2401/klagomål/A 36810-2025 FSC-klagomål.docx", "A 36810-2025")</f>
        <v/>
      </c>
      <c r="AB22">
        <f>HYPERLINK("https://klasma.github.io/Logging_2401/klagomålsmail/A 36810-2025 FSC-klagomål mail.docx", "A 36810-2025")</f>
        <v/>
      </c>
      <c r="AC22">
        <f>HYPERLINK("https://klasma.github.io/Logging_2401/tillsyn/A 36810-2025 tillsynsbegäran.docx", "A 36810-2025")</f>
        <v/>
      </c>
      <c r="AD22">
        <f>HYPERLINK("https://klasma.github.io/Logging_2401/tillsynsmail/A 36810-2025 tillsynsbegäran mail.docx", "A 36810-2025")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46315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23496-2022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44721</v>
      </c>
      <c r="E24" s="1" t="n">
        <v>46315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2</v>
      </c>
      <c r="V24" s="2" t="inlineStr">
        <is>
          <t>Garnlav
Tretåig hackspett
Järpe</t>
        </is>
      </c>
      <c r="W24">
        <f>HYPERLINK("https://klasma.github.io/Logging_2401/artfynd/A 23496-2022 artfynd.xlsx", "A 23496-2022")</f>
        <v/>
      </c>
      <c r="X24">
        <f>HYPERLINK("https://klasma.github.io/Logging_2401/kartor/A 23496-2022 karta.png", "A 23496-2022")</f>
        <v/>
      </c>
      <c r="Y24">
        <f>HYPERLINK("https://klasma.github.io/Logging_2401/kartor_geotiff/A 23496-2022 georefererad karta.tif", "A 23496-2022")</f>
        <v/>
      </c>
      <c r="AA24">
        <f>HYPERLINK("https://klasma.github.io/Logging_2401/klagomål/A 23496-2022 FSC-klagomål.docx", "A 23496-2022")</f>
        <v/>
      </c>
      <c r="AB24">
        <f>HYPERLINK("https://klasma.github.io/Logging_2401/klagomålsmail/A 23496-2022 FSC-klagomål mail.docx", "A 23496-2022")</f>
        <v/>
      </c>
      <c r="AC24">
        <f>HYPERLINK("https://klasma.github.io/Logging_2401/tillsyn/A 23496-2022 tillsynsbegäran.docx", "A 23496-2022")</f>
        <v/>
      </c>
      <c r="AD24">
        <f>HYPERLINK("https://klasma.github.io/Logging_2401/tillsynsmail/A 23496-2022 tillsynsbegäran mail.docx", "A 23496-2022")</f>
        <v/>
      </c>
      <c r="AE24">
        <f>HYPERLINK("https://klasma.github.io/Logging_2401/fåglar/A 23496-2022 prioriterade fågelarter.docx", "A 23496-2022")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46315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46315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3483-2026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46315</v>
      </c>
      <c r="F27" t="inlineStr">
        <is>
          <t>VÄSTERBOTTENS LÄN</t>
        </is>
      </c>
      <c r="G27" t="inlineStr">
        <is>
          <t>NORDMALING</t>
        </is>
      </c>
      <c r="I27" t="n">
        <v>0.7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Stjärntagging
Ullticka</t>
        </is>
      </c>
      <c r="W27">
        <f>HYPERLINK("https://klasma.github.io/Logging_2401/artfynd/A 3483-2026 artfynd.xlsx", "A 3483-2026")</f>
        <v/>
      </c>
      <c r="X27">
        <f>HYPERLINK("https://klasma.github.io/Logging_2401/kartor/A 3483-2026 karta.png", "A 3483-2026")</f>
        <v/>
      </c>
      <c r="Y27">
        <f>HYPERLINK("https://klasma.github.io/Logging_2401/kartor_geotiff/A 3483-2026 georefererad karta.tif", "A 3483-2026")</f>
        <v/>
      </c>
      <c r="AA27">
        <f>HYPERLINK("https://klasma.github.io/Logging_2401/klagomål/A 3483-2026 FSC-klagomål.docx", "A 3483-2026")</f>
        <v/>
      </c>
      <c r="AB27">
        <f>HYPERLINK("https://klasma.github.io/Logging_2401/klagomålsmail/A 3483-2026 FSC-klagomål mail.docx", "A 3483-2026")</f>
        <v/>
      </c>
      <c r="AC27">
        <f>HYPERLINK("https://klasma.github.io/Logging_2401/tillsyn/A 3483-2026 tillsynsbegäran.docx", "A 3483-2026")</f>
        <v/>
      </c>
      <c r="AD27">
        <f>HYPERLINK("https://klasma.github.io/Logging_2401/tillsynsmail/A 3483-2026 tillsynsbegäran mail.docx", "A 3483-2026")</f>
        <v/>
      </c>
    </row>
    <row r="28" ht="15" customHeight="1">
      <c r="A28" t="inlineStr">
        <is>
          <t>A 4085-2026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46043</v>
      </c>
      <c r="E28" s="1" t="n">
        <v>46315</v>
      </c>
      <c r="F28" t="inlineStr">
        <is>
          <t>VÄSTERBOTTENS LÄN</t>
        </is>
      </c>
      <c r="G28" t="inlineStr">
        <is>
          <t>NORDMALING</t>
        </is>
      </c>
      <c r="I28" t="n">
        <v>33.1</v>
      </c>
      <c r="J28" t="n">
        <v>1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Tretåig hackspett
Skinnlav</t>
        </is>
      </c>
      <c r="W28">
        <f>HYPERLINK("https://klasma.github.io/Logging_2401/artfynd/A 4085-2026 artfynd.xlsx", "A 4085-2026")</f>
        <v/>
      </c>
      <c r="X28">
        <f>HYPERLINK("https://klasma.github.io/Logging_2401/kartor/A 4085-2026 karta.png", "A 4085-2026")</f>
        <v/>
      </c>
      <c r="Y28">
        <f>HYPERLINK("https://klasma.github.io/Logging_2401/kartor_geotiff/A 4085-2026 georefererad karta.tif", "A 4085-2026")</f>
        <v/>
      </c>
      <c r="AA28">
        <f>HYPERLINK("https://klasma.github.io/Logging_2401/klagomål/A 4085-2026 FSC-klagomål.docx", "A 4085-2026")</f>
        <v/>
      </c>
      <c r="AB28">
        <f>HYPERLINK("https://klasma.github.io/Logging_2401/klagomålsmail/A 4085-2026 FSC-klagomål mail.docx", "A 4085-2026")</f>
        <v/>
      </c>
      <c r="AC28">
        <f>HYPERLINK("https://klasma.github.io/Logging_2401/tillsyn/A 4085-2026 tillsynsbegäran.docx", "A 4085-2026")</f>
        <v/>
      </c>
      <c r="AD28">
        <f>HYPERLINK("https://klasma.github.io/Logging_2401/tillsynsmail/A 4085-2026 tillsynsbegäran mail.docx", "A 4085-2026")</f>
        <v/>
      </c>
      <c r="AE28">
        <f>HYPERLINK("https://klasma.github.io/Logging_2401/fåglar/A 4085-2026 prioriterade fågelarter.docx", "A 4085-2026")</f>
        <v/>
      </c>
    </row>
    <row r="29" ht="15" customHeight="1">
      <c r="A29" t="inlineStr">
        <is>
          <t>A 60450-2022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44904</v>
      </c>
      <c r="E29" s="1" t="n">
        <v>46315</v>
      </c>
      <c r="F29" t="inlineStr">
        <is>
          <t>VÄSTERBOTTENS LÄN</t>
        </is>
      </c>
      <c r="G29" t="inlineStr">
        <is>
          <t>NORDMALING</t>
        </is>
      </c>
      <c r="I29" t="n">
        <v>3.3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Lunglav
Rynkskinn
Ullticka</t>
        </is>
      </c>
      <c r="W29">
        <f>HYPERLINK("https://klasma.github.io/Logging_2401/artfynd/A 60450-2022 artfynd.xlsx", "A 60450-2022")</f>
        <v/>
      </c>
      <c r="X29">
        <f>HYPERLINK("https://klasma.github.io/Logging_2401/kartor/A 60450-2022 karta.png", "A 60450-2022")</f>
        <v/>
      </c>
      <c r="Y29">
        <f>HYPERLINK("https://klasma.github.io/Logging_2401/kartor_geotiff/A 60450-2022 georefererad karta.tif", "A 60450-2022")</f>
        <v/>
      </c>
      <c r="AA29">
        <f>HYPERLINK("https://klasma.github.io/Logging_2401/klagomål/A 60450-2022 FSC-klagomål.docx", "A 60450-2022")</f>
        <v/>
      </c>
      <c r="AB29">
        <f>HYPERLINK("https://klasma.github.io/Logging_2401/klagomålsmail/A 60450-2022 FSC-klagomål mail.docx", "A 60450-2022")</f>
        <v/>
      </c>
      <c r="AC29">
        <f>HYPERLINK("https://klasma.github.io/Logging_2401/tillsyn/A 60450-2022 tillsynsbegäran.docx", "A 60450-2022")</f>
        <v/>
      </c>
      <c r="AD29">
        <f>HYPERLINK("https://klasma.github.io/Logging_2401/tillsynsmail/A 60450-2022 tillsynsbegäran mail.docx", "A 60450-2022")</f>
        <v/>
      </c>
    </row>
    <row r="30" ht="15" customHeight="1">
      <c r="A30" t="inlineStr">
        <is>
          <t>A 6225-2023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44964</v>
      </c>
      <c r="E30" s="1" t="n">
        <v>46315</v>
      </c>
      <c r="F30" t="inlineStr">
        <is>
          <t>VÄSTERBOTTENS LÄN</t>
        </is>
      </c>
      <c r="G30" t="inlineStr">
        <is>
          <t>NORDMALING</t>
        </is>
      </c>
      <c r="I30" t="n">
        <v>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Björktrast
Tjäder
Ärtsångare</t>
        </is>
      </c>
      <c r="W30">
        <f>HYPERLINK("https://klasma.github.io/Logging_2401/artfynd/A 6225-2023 artfynd.xlsx", "A 6225-2023")</f>
        <v/>
      </c>
      <c r="X30">
        <f>HYPERLINK("https://klasma.github.io/Logging_2401/kartor/A 6225-2023 karta.png", "A 6225-2023")</f>
        <v/>
      </c>
      <c r="Y30">
        <f>HYPERLINK("https://klasma.github.io/Logging_2401/kartor_geotiff/A 6225-2023 georefererad karta.tif", "A 6225-2023")</f>
        <v/>
      </c>
      <c r="AA30">
        <f>HYPERLINK("https://klasma.github.io/Logging_2401/klagomål/A 6225-2023 FSC-klagomål.docx", "A 6225-2023")</f>
        <v/>
      </c>
      <c r="AB30">
        <f>HYPERLINK("https://klasma.github.io/Logging_2401/klagomålsmail/A 6225-2023 FSC-klagomål mail.docx", "A 6225-2023")</f>
        <v/>
      </c>
      <c r="AC30">
        <f>HYPERLINK("https://klasma.github.io/Logging_2401/tillsyn/A 6225-2023 tillsynsbegäran.docx", "A 6225-2023")</f>
        <v/>
      </c>
      <c r="AD30">
        <f>HYPERLINK("https://klasma.github.io/Logging_2401/tillsynsmail/A 6225-2023 tillsynsbegäran mail.docx", "A 6225-2023")</f>
        <v/>
      </c>
      <c r="AE30">
        <f>HYPERLINK("https://klasma.github.io/Logging_2401/fåglar/A 6225-2023 prioriterade fågelarter.docx", "A 6225-2023")</f>
        <v/>
      </c>
    </row>
    <row r="31" ht="15" customHeight="1">
      <c r="A31" t="inlineStr">
        <is>
          <t>A 44443-2024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45574</v>
      </c>
      <c r="E31" s="1" t="n">
        <v>46315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1.5</v>
      </c>
      <c r="J31" t="n">
        <v>0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Skrovlig taggsvamp
Gammelgransskål
Talltaggsvamp</t>
        </is>
      </c>
      <c r="W31">
        <f>HYPERLINK("https://klasma.github.io/Logging_2401/artfynd/A 44443-2024 artfynd.xlsx", "A 44443-2024")</f>
        <v/>
      </c>
      <c r="X31">
        <f>HYPERLINK("https://klasma.github.io/Logging_2401/kartor/A 44443-2024 karta.png", "A 44443-2024")</f>
        <v/>
      </c>
      <c r="Y31">
        <f>HYPERLINK("https://klasma.github.io/Logging_2401/kartor_geotiff/A 44443-2024 georefererad karta.tif", "A 44443-2024")</f>
        <v/>
      </c>
      <c r="AA31">
        <f>HYPERLINK("https://klasma.github.io/Logging_2401/klagomål/A 44443-2024 FSC-klagomål.docx", "A 44443-2024")</f>
        <v/>
      </c>
      <c r="AB31">
        <f>HYPERLINK("https://klasma.github.io/Logging_2401/klagomålsmail/A 44443-2024 FSC-klagomål mail.docx", "A 44443-2024")</f>
        <v/>
      </c>
      <c r="AC31">
        <f>HYPERLINK("https://klasma.github.io/Logging_2401/tillsyn/A 44443-2024 tillsynsbegäran.docx", "A 44443-2024")</f>
        <v/>
      </c>
      <c r="AD31">
        <f>HYPERLINK("https://klasma.github.io/Logging_2401/tillsynsmail/A 44443-2024 tillsynsbegäran mail.docx", "A 44443-2024")</f>
        <v/>
      </c>
    </row>
    <row r="32" ht="15" customHeight="1">
      <c r="A32" t="inlineStr">
        <is>
          <t>A 40519-2026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46295</v>
      </c>
      <c r="E32" s="1" t="n">
        <v>46315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31.7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8</v>
      </c>
      <c r="U32" t="n">
        <v>0</v>
      </c>
      <c r="V32" s="2" t="inlineStr">
        <is>
          <t>Blå taggsvamp
Dropptaggsvamp
Skarp dropptaggsvamp</t>
        </is>
      </c>
      <c r="W32">
        <f>HYPERLINK("https://klasma.github.io/Logging_2401/artfynd/A 40519-2026 artfynd.xlsx", "A 40519-2026")</f>
        <v/>
      </c>
      <c r="X32">
        <f>HYPERLINK("https://klasma.github.io/Logging_2401/kartor/A 40519-2026 karta.png", "A 40519-2026")</f>
        <v/>
      </c>
      <c r="Y32">
        <f>HYPERLINK("https://klasma.github.io/Logging_2401/kartor_geotiff/A 40519-2026 georefererad karta.tif", "A 40519-2026")</f>
        <v/>
      </c>
      <c r="AA32">
        <f>HYPERLINK("https://klasma.github.io/Logging_2401/klagomål/A 40519-2026 FSC-klagomål.docx", "A 40519-2026")</f>
        <v/>
      </c>
      <c r="AB32">
        <f>HYPERLINK("https://klasma.github.io/Logging_2401/klagomålsmail/A 40519-2026 FSC-klagomål mail.docx", "A 40519-2026")</f>
        <v/>
      </c>
      <c r="AC32">
        <f>HYPERLINK("https://klasma.github.io/Logging_2401/tillsyn/A 40519-2026 tillsynsbegäran.docx", "A 40519-2026")</f>
        <v/>
      </c>
      <c r="AD32">
        <f>HYPERLINK("https://klasma.github.io/Logging_2401/tillsynsmail/A 40519-2026 tillsynsbegäran mail.docx", "A 40519-2026")</f>
        <v/>
      </c>
    </row>
    <row r="33" ht="15" customHeight="1">
      <c r="A33" t="inlineStr">
        <is>
          <t>A 55632-2023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46315</v>
      </c>
      <c r="F33" t="inlineStr">
        <is>
          <t>VÄSTERBOTTENS LÄN</t>
        </is>
      </c>
      <c r="G33" t="inlineStr">
        <is>
          <t>NORDMALING</t>
        </is>
      </c>
      <c r="I33" t="n">
        <v>1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Skinnlav</t>
        </is>
      </c>
      <c r="W33">
        <f>HYPERLINK("https://klasma.github.io/Logging_2401/artfynd/A 55632-2023 artfynd.xlsx", "A 55632-2023")</f>
        <v/>
      </c>
      <c r="X33">
        <f>HYPERLINK("https://klasma.github.io/Logging_2401/kartor/A 55632-2023 karta.png", "A 55632-2023")</f>
        <v/>
      </c>
      <c r="Y33">
        <f>HYPERLINK("https://klasma.github.io/Logging_2401/kartor_geotiff/A 55632-2023 georefererad karta.tif", "A 55632-2023")</f>
        <v/>
      </c>
      <c r="AA33">
        <f>HYPERLINK("https://klasma.github.io/Logging_2401/klagomål/A 55632-2023 FSC-klagomål.docx", "A 55632-2023")</f>
        <v/>
      </c>
      <c r="AB33">
        <f>HYPERLINK("https://klasma.github.io/Logging_2401/klagomålsmail/A 55632-2023 FSC-klagomål mail.docx", "A 55632-2023")</f>
        <v/>
      </c>
      <c r="AC33">
        <f>HYPERLINK("https://klasma.github.io/Logging_2401/tillsyn/A 55632-2023 tillsynsbegäran.docx", "A 55632-2023")</f>
        <v/>
      </c>
      <c r="AD33">
        <f>HYPERLINK("https://klasma.github.io/Logging_2401/tillsynsmail/A 55632-2023 tillsynsbegäran mail.docx", "A 55632-2023")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46315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46315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A 1433-2026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46032</v>
      </c>
      <c r="E36" s="1" t="n">
        <v>46315</v>
      </c>
      <c r="F36" t="inlineStr">
        <is>
          <t>VÄSTERBOTTENS LÄN</t>
        </is>
      </c>
      <c r="G36" t="inlineStr">
        <is>
          <t>NORDMALING</t>
        </is>
      </c>
      <c r="H36" t="inlineStr">
        <is>
          <t>Holmen skog AB</t>
        </is>
      </c>
      <c r="I36" t="n">
        <v>22.4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Bårdlav
Vedticka</t>
        </is>
      </c>
      <c r="W36">
        <f>HYPERLINK("https://klasma.github.io/Logging_2401/artfynd/A 1433-2026 artfynd.xlsx", "A 1433-2026")</f>
        <v/>
      </c>
      <c r="X36">
        <f>HYPERLINK("https://klasma.github.io/Logging_2401/kartor/A 1433-2026 karta.png", "A 1433-2026")</f>
        <v/>
      </c>
      <c r="Y36">
        <f>HYPERLINK("https://klasma.github.io/Logging_2401/kartor_geotiff/A 1433-2026 georefererad karta.tif", "A 1433-2026")</f>
        <v/>
      </c>
      <c r="AA36">
        <f>HYPERLINK("https://klasma.github.io/Logging_2401/klagomål/A 1433-2026 FSC-klagomål.docx", "A 1433-2026")</f>
        <v/>
      </c>
      <c r="AB36">
        <f>HYPERLINK("https://klasma.github.io/Logging_2401/klagomålsmail/A 1433-2026 FSC-klagomål mail.docx", "A 1433-2026")</f>
        <v/>
      </c>
      <c r="AC36">
        <f>HYPERLINK("https://klasma.github.io/Logging_2401/tillsyn/A 1433-2026 tillsynsbegäran.docx", "A 1433-2026")</f>
        <v/>
      </c>
      <c r="AD36">
        <f>HYPERLINK("https://klasma.github.io/Logging_2401/tillsynsmail/A 1433-2026 tillsynsbegäran mail.docx", "A 1433-2026")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46315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46315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46315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46315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46315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46315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46315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61149-2022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46315</v>
      </c>
      <c r="F46" t="inlineStr">
        <is>
          <t>VÄSTERBOTTENS LÄN</t>
        </is>
      </c>
      <c r="G46" t="inlineStr">
        <is>
          <t>NORDMALING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HYPERLINK("https://klasma.github.io/Logging_2401/artfynd/A 61149-2022 artfynd.xlsx", "A 61149-2022")</f>
        <v/>
      </c>
      <c r="X46">
        <f>HYPERLINK("https://klasma.github.io/Logging_2401/kartor/A 61149-2022 karta.png", "A 61149-2022")</f>
        <v/>
      </c>
      <c r="Y46">
        <f>HYPERLINK("https://klasma.github.io/Logging_2401/kartor_geotiff/A 61149-2022 georefererad karta.tif", "A 61149-2022")</f>
        <v/>
      </c>
      <c r="AA46">
        <f>HYPERLINK("https://klasma.github.io/Logging_2401/klagomål/A 61149-2022 FSC-klagomål.docx", "A 61149-2022")</f>
        <v/>
      </c>
      <c r="AB46">
        <f>HYPERLINK("https://klasma.github.io/Logging_2401/klagomålsmail/A 61149-2022 FSC-klagomål mail.docx", "A 61149-2022")</f>
        <v/>
      </c>
      <c r="AC46">
        <f>HYPERLINK("https://klasma.github.io/Logging_2401/tillsyn/A 61149-2022 tillsynsbegäran.docx", "A 61149-2022")</f>
        <v/>
      </c>
      <c r="AD46">
        <f>HYPERLINK("https://klasma.github.io/Logging_2401/tillsynsmail/A 61149-2022 tillsynsbegäran mail.docx", "A 61149-2022")</f>
        <v/>
      </c>
      <c r="AE46">
        <f>HYPERLINK("https://klasma.github.io/Logging_2401/fåglar/A 61149-2022 prioriterade fågelarter.docx", "A 61149-2022")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46315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61867-2024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45651</v>
      </c>
      <c r="E48" s="1" t="n">
        <v>46315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HYPERLINK("https://klasma.github.io/Logging_2401/artfynd/A 61867-2024 artfynd.xlsx", "A 61867-2024")</f>
        <v/>
      </c>
      <c r="X48">
        <f>HYPERLINK("https://klasma.github.io/Logging_2401/kartor/A 61867-2024 karta.png", "A 61867-2024")</f>
        <v/>
      </c>
      <c r="Y48">
        <f>HYPERLINK("https://klasma.github.io/Logging_2401/kartor_geotiff/A 61867-2024 georefererad karta.tif", "A 61867-2024")</f>
        <v/>
      </c>
      <c r="AA48">
        <f>HYPERLINK("https://klasma.github.io/Logging_2401/klagomål/A 61867-2024 FSC-klagomål.docx", "A 61867-2024")</f>
        <v/>
      </c>
      <c r="AB48">
        <f>HYPERLINK("https://klasma.github.io/Logging_2401/klagomålsmail/A 61867-2024 FSC-klagomål mail.docx", "A 61867-2024")</f>
        <v/>
      </c>
      <c r="AC48">
        <f>HYPERLINK("https://klasma.github.io/Logging_2401/tillsyn/A 61867-2024 tillsynsbegäran.docx", "A 61867-2024")</f>
        <v/>
      </c>
      <c r="AD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45275</v>
      </c>
      <c r="E49" s="1" t="n">
        <v>46315</v>
      </c>
      <c r="F49" t="inlineStr">
        <is>
          <t>VÄSTERBOTTENS LÄN</t>
        </is>
      </c>
      <c r="G49" t="inlineStr">
        <is>
          <t>NORDMALING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63779-2023 artfynd.xlsx", "A 63779-2023")</f>
        <v/>
      </c>
      <c r="X49">
        <f>HYPERLINK("https://klasma.github.io/Logging_2401/kartor/A 63779-2023 karta.png", "A 63779-2023")</f>
        <v/>
      </c>
      <c r="Y49">
        <f>HYPERLINK("https://klasma.github.io/Logging_2401/kartor_geotiff/A 63779-2023 georefererad karta.tif", "A 63779-2023")</f>
        <v/>
      </c>
      <c r="AA49">
        <f>HYPERLINK("https://klasma.github.io/Logging_2401/klagomål/A 63779-2023 FSC-klagomål.docx", "A 63779-2023")</f>
        <v/>
      </c>
      <c r="AB49">
        <f>HYPERLINK("https://klasma.github.io/Logging_2401/klagomålsmail/A 63779-2023 FSC-klagomål mail.docx", "A 63779-2023")</f>
        <v/>
      </c>
      <c r="AC49">
        <f>HYPERLINK("https://klasma.github.io/Logging_2401/tillsyn/A 63779-2023 tillsynsbegäran.docx", "A 63779-2023")</f>
        <v/>
      </c>
      <c r="AD49">
        <f>HYPERLINK("https://klasma.github.io/Logging_2401/tillsynsmail/A 63779-2023 tillsynsbegäran mail.docx", "A 63779-2023")</f>
        <v/>
      </c>
      <c r="AE49">
        <f>HYPERLINK("https://klasma.github.io/Logging_2401/fåglar/A 63779-2023 prioriterade fågelarter.docx", "A 63779-2023")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46315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46315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46315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35292-2023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46315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Vedskivlav</t>
        </is>
      </c>
      <c r="W53">
        <f>HYPERLINK("https://klasma.github.io/Logging_2401/artfynd/A 35292-2023 artfynd.xlsx", "A 35292-2023")</f>
        <v/>
      </c>
      <c r="X53">
        <f>HYPERLINK("https://klasma.github.io/Logging_2401/kartor/A 35292-2023 karta.png", "A 35292-2023")</f>
        <v/>
      </c>
      <c r="Y53">
        <f>HYPERLINK("https://klasma.github.io/Logging_2401/kartor_geotiff/A 35292-2023 georefererad karta.tif", "A 35292-2023")</f>
        <v/>
      </c>
      <c r="AA53">
        <f>HYPERLINK("https://klasma.github.io/Logging_2401/klagomål/A 35292-2023 FSC-klagomål.docx", "A 35292-2023")</f>
        <v/>
      </c>
      <c r="AB53">
        <f>HYPERLINK("https://klasma.github.io/Logging_2401/klagomålsmail/A 35292-2023 FSC-klagomål mail.docx", "A 35292-2023")</f>
        <v/>
      </c>
      <c r="AC53">
        <f>HYPERLINK("https://klasma.github.io/Logging_2401/tillsyn/A 35292-2023 tillsynsbegäran.docx", "A 35292-2023")</f>
        <v/>
      </c>
      <c r="AD53">
        <f>HYPERLINK("https://klasma.github.io/Logging_2401/tillsynsmail/A 35292-2023 tillsynsbegäran mail.docx", "A 35292-2023")</f>
        <v/>
      </c>
    </row>
    <row r="54" ht="15" customHeight="1">
      <c r="A54" t="inlineStr">
        <is>
          <t>A 39851-2023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46315</v>
      </c>
      <c r="F54" t="inlineStr">
        <is>
          <t>VÄSTERBOTTENS LÄN</t>
        </is>
      </c>
      <c r="G54" t="inlineStr">
        <is>
          <t>NORDMALING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HYPERLINK("https://klasma.github.io/Logging_2401/artfynd/A 39851-2023 artfynd.xlsx", "A 39851-2023")</f>
        <v/>
      </c>
      <c r="X54">
        <f>HYPERLINK("https://klasma.github.io/Logging_2401/kartor/A 39851-2023 karta.png", "A 39851-2023")</f>
        <v/>
      </c>
      <c r="Y54">
        <f>HYPERLINK("https://klasma.github.io/Logging_2401/kartor_geotiff/A 39851-2023 georefererad karta.tif", "A 39851-2023")</f>
        <v/>
      </c>
      <c r="AA54">
        <f>HYPERLINK("https://klasma.github.io/Logging_2401/klagomål/A 39851-2023 FSC-klagomål.docx", "A 39851-2023")</f>
        <v/>
      </c>
      <c r="AB54">
        <f>HYPERLINK("https://klasma.github.io/Logging_2401/klagomålsmail/A 39851-2023 FSC-klagomål mail.docx", "A 39851-2023")</f>
        <v/>
      </c>
      <c r="AC54">
        <f>HYPERLINK("https://klasma.github.io/Logging_2401/tillsyn/A 39851-2023 tillsynsbegäran.docx", "A 39851-2023")</f>
        <v/>
      </c>
      <c r="AD54">
        <f>HYPERLINK("https://klasma.github.io/Logging_2401/tillsynsmail/A 39851-2023 tillsynsbegäran mail.docx", "A 39851-2023")</f>
        <v/>
      </c>
      <c r="AE54">
        <f>HYPERLINK("https://klasma.github.io/Logging_2401/fåglar/A 39851-2023 prioriterade fågelarter.docx", "A 39851-2023")</f>
        <v/>
      </c>
    </row>
    <row r="55" ht="15" customHeight="1">
      <c r="A55" t="inlineStr">
        <is>
          <t>A 25996-2026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46315</v>
      </c>
      <c r="F55" t="inlineStr">
        <is>
          <t>VÄSTERBOTTENS LÄN</t>
        </is>
      </c>
      <c r="G55" t="inlineStr">
        <is>
          <t>NORDMALING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Brudborste</t>
        </is>
      </c>
      <c r="W55">
        <f>HYPERLINK("https://klasma.github.io/Logging_2401/artfynd/A 25996-2026 artfynd.xlsx", "A 25996-2026")</f>
        <v/>
      </c>
      <c r="X55">
        <f>HYPERLINK("https://klasma.github.io/Logging_2401/kartor/A 25996-2026 karta.png", "A 25996-2026")</f>
        <v/>
      </c>
      <c r="Y55">
        <f>HYPERLINK("https://klasma.github.io/Logging_2401/kartor_geotiff/A 25996-2026 georefererad karta.tif", "A 25996-2026")</f>
        <v/>
      </c>
      <c r="AA55">
        <f>HYPERLINK("https://klasma.github.io/Logging_2401/klagomål/A 25996-2026 FSC-klagomål.docx", "A 25996-2026")</f>
        <v/>
      </c>
      <c r="AB55">
        <f>HYPERLINK("https://klasma.github.io/Logging_2401/klagomålsmail/A 25996-2026 FSC-klagomål mail.docx", "A 25996-2026")</f>
        <v/>
      </c>
      <c r="AC55">
        <f>HYPERLINK("https://klasma.github.io/Logging_2401/tillsyn/A 25996-2026 tillsynsbegäran.docx", "A 25996-2026")</f>
        <v/>
      </c>
      <c r="AD55">
        <f>HYPERLINK("https://klasma.github.io/Logging_2401/tillsynsmail/A 25996-2026 tillsynsbegäran mail.docx", "A 25996-2026")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46315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46315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46315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46315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46315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46315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46315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A 29323-2025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46315</v>
      </c>
      <c r="F63" t="inlineStr">
        <is>
          <t>VÄSTERBOTTENS LÄN</t>
        </is>
      </c>
      <c r="G63" t="inlineStr">
        <is>
          <t>NORDMALING</t>
        </is>
      </c>
      <c r="I63" t="n">
        <v>2.9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HYPERLINK("https://klasma.github.io/Logging_2401/artfynd/A 29323-2025 artfynd.xlsx", "A 29323-2025")</f>
        <v/>
      </c>
      <c r="X63">
        <f>HYPERLINK("https://klasma.github.io/Logging_2401/kartor/A 29323-2025 karta.png", "A 29323-2025")</f>
        <v/>
      </c>
      <c r="Y63">
        <f>HYPERLINK("https://klasma.github.io/Logging_2401/kartor_geotiff/A 29323-2025 georefererad karta.tif", "A 29323-2025")</f>
        <v/>
      </c>
      <c r="AA63">
        <f>HYPERLINK("https://klasma.github.io/Logging_2401/klagomål/A 29323-2025 FSC-klagomål.docx", "A 29323-2025")</f>
        <v/>
      </c>
      <c r="AB63">
        <f>HYPERLINK("https://klasma.github.io/Logging_2401/klagomålsmail/A 29323-2025 FSC-klagomål mail.docx", "A 29323-2025")</f>
        <v/>
      </c>
      <c r="AC63">
        <f>HYPERLINK("https://klasma.github.io/Logging_2401/tillsyn/A 29323-2025 tillsynsbegäran.docx", "A 29323-2025")</f>
        <v/>
      </c>
      <c r="AD63">
        <f>HYPERLINK("https://klasma.github.io/Logging_2401/tillsynsmail/A 29323-2025 tillsynsbegäran mail.docx", "A 29323-2025")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46315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46315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46315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46315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46315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46315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46315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46315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46315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46315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46315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46315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46315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46315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46315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46315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46315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46315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46315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46315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46315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46315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46315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46315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46315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46315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46315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46315</v>
      </c>
      <c r="F91" t="inlineStr">
        <is>
          <t>VÄSTERBOTTENS LÄN</t>
        </is>
      </c>
      <c r="G91" t="inlineStr">
        <is>
          <t>NORDMALING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49525-2022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44861</v>
      </c>
      <c r="E92" s="1" t="n">
        <v>46315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46315</v>
      </c>
      <c r="F93" t="inlineStr">
        <is>
          <t>VÄSTERBOTTENS LÄN</t>
        </is>
      </c>
      <c r="G93" t="inlineStr">
        <is>
          <t>NORDMALING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46315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45772</v>
      </c>
      <c r="E95" s="1" t="n">
        <v>46315</v>
      </c>
      <c r="F95" t="inlineStr">
        <is>
          <t>VÄSTERBOTTENS LÄN</t>
        </is>
      </c>
      <c r="G95" t="inlineStr">
        <is>
          <t>NORDMALING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12374-2024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45378</v>
      </c>
      <c r="E96" s="1" t="n">
        <v>46315</v>
      </c>
      <c r="F96" t="inlineStr">
        <is>
          <t>VÄSTERBOTTENS LÄN</t>
        </is>
      </c>
      <c r="G96" t="inlineStr">
        <is>
          <t>NORDMALING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46315</v>
      </c>
      <c r="F97" t="inlineStr">
        <is>
          <t>VÄSTERBOTTENS LÄN</t>
        </is>
      </c>
      <c r="G97" t="inlineStr">
        <is>
          <t>NORDMALING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46315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46315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30715-2022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44763</v>
      </c>
      <c r="E100" s="1" t="n">
        <v>46315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34176-2023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45126</v>
      </c>
      <c r="E101" s="1" t="n">
        <v>46315</v>
      </c>
      <c r="F101" t="inlineStr">
        <is>
          <t>VÄSTERBOTTENS LÄN</t>
        </is>
      </c>
      <c r="G101" t="inlineStr">
        <is>
          <t>NORDMALING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46315</v>
      </c>
      <c r="F102" t="inlineStr">
        <is>
          <t>VÄSTERBOTTENS LÄN</t>
        </is>
      </c>
      <c r="G102" t="inlineStr">
        <is>
          <t>NORDMALING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46315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46315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61793-2023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45265</v>
      </c>
      <c r="E105" s="1" t="n">
        <v>46315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45245</v>
      </c>
      <c r="E106" s="1" t="n">
        <v>46315</v>
      </c>
      <c r="F106" t="inlineStr">
        <is>
          <t>VÄSTERBOTTENS LÄN</t>
        </is>
      </c>
      <c r="G106" t="inlineStr">
        <is>
          <t>NORDMALING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46315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45489</v>
      </c>
      <c r="E108" s="1" t="n">
        <v>46315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45453</v>
      </c>
      <c r="E109" s="1" t="n">
        <v>46315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46315</v>
      </c>
      <c r="F110" t="inlineStr">
        <is>
          <t>VÄSTERBOTTENS LÄN</t>
        </is>
      </c>
      <c r="G110" t="inlineStr">
        <is>
          <t>NORDMALING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46315</v>
      </c>
      <c r="F111" t="inlineStr">
        <is>
          <t>VÄSTERBOTTENS LÄN</t>
        </is>
      </c>
      <c r="G111" t="inlineStr">
        <is>
          <t>NORDMALING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34480-2024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45525</v>
      </c>
      <c r="E112" s="1" t="n">
        <v>46315</v>
      </c>
      <c r="F112" t="inlineStr">
        <is>
          <t>VÄSTERBOTTENS LÄN</t>
        </is>
      </c>
      <c r="G112" t="inlineStr">
        <is>
          <t>NORDMALING</t>
        </is>
      </c>
      <c r="I112" t="n">
        <v>12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46315</v>
      </c>
      <c r="F113" t="inlineStr">
        <is>
          <t>VÄSTERBOTTENS LÄN</t>
        </is>
      </c>
      <c r="G113" t="inlineStr">
        <is>
          <t>NORDMALING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65688-2021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44515</v>
      </c>
      <c r="E114" s="1" t="n">
        <v>46315</v>
      </c>
      <c r="F114" t="inlineStr">
        <is>
          <t>VÄSTERBOTTENS LÄN</t>
        </is>
      </c>
      <c r="G114" t="inlineStr">
        <is>
          <t>NORDMALING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46315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44922</v>
      </c>
      <c r="E116" s="1" t="n">
        <v>46315</v>
      </c>
      <c r="F116" t="inlineStr">
        <is>
          <t>VÄSTERBOTTENS LÄN</t>
        </is>
      </c>
      <c r="G116" t="inlineStr">
        <is>
          <t>NORDMALING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45470</v>
      </c>
      <c r="E117" s="1" t="n">
        <v>46315</v>
      </c>
      <c r="F117" t="inlineStr">
        <is>
          <t>VÄSTERBOTTENS LÄN</t>
        </is>
      </c>
      <c r="G117" t="inlineStr">
        <is>
          <t>NORDMALING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45482</v>
      </c>
      <c r="E118" s="1" t="n">
        <v>46315</v>
      </c>
      <c r="F118" t="inlineStr">
        <is>
          <t>VÄSTERBOTTENS LÄN</t>
        </is>
      </c>
      <c r="G118" t="inlineStr">
        <is>
          <t>NORDMALING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46315</v>
      </c>
      <c r="F119" t="inlineStr">
        <is>
          <t>VÄSTERBOTTENS LÄN</t>
        </is>
      </c>
      <c r="G119" t="inlineStr">
        <is>
          <t>NORDMALING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45327</v>
      </c>
      <c r="E120" s="1" t="n">
        <v>46315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34184-2023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45126</v>
      </c>
      <c r="E121" s="1" t="n">
        <v>46315</v>
      </c>
      <c r="F121" t="inlineStr">
        <is>
          <t>VÄSTERBOTTENS LÄN</t>
        </is>
      </c>
      <c r="G121" t="inlineStr">
        <is>
          <t>NORDMALING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36814-2024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45538</v>
      </c>
      <c r="E122" s="1" t="n">
        <v>46315</v>
      </c>
      <c r="F122" t="inlineStr">
        <is>
          <t>VÄSTERBOTTENS LÄN</t>
        </is>
      </c>
      <c r="G122" t="inlineStr">
        <is>
          <t>NORDMALING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46315</v>
      </c>
      <c r="F123" t="inlineStr">
        <is>
          <t>VÄSTERBOTTENS LÄN</t>
        </is>
      </c>
      <c r="G123" t="inlineStr">
        <is>
          <t>NORDMALING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46315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45491</v>
      </c>
      <c r="E125" s="1" t="n">
        <v>46315</v>
      </c>
      <c r="F125" t="inlineStr">
        <is>
          <t>VÄSTERBOTTENS LÄN</t>
        </is>
      </c>
      <c r="G125" t="inlineStr">
        <is>
          <t>NORDMALING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46315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45349</v>
      </c>
      <c r="E127" s="1" t="n">
        <v>46315</v>
      </c>
      <c r="F127" t="inlineStr">
        <is>
          <t>VÄSTERBOTTENS LÄN</t>
        </is>
      </c>
      <c r="G127" t="inlineStr">
        <is>
          <t>NORDMALING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46315</v>
      </c>
      <c r="F128" t="inlineStr">
        <is>
          <t>VÄSTERBOTTENS LÄN</t>
        </is>
      </c>
      <c r="G128" t="inlineStr">
        <is>
          <t>NORDMALING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46315</v>
      </c>
      <c r="F129" t="inlineStr">
        <is>
          <t>VÄSTERBOTTENS LÄN</t>
        </is>
      </c>
      <c r="G129" t="inlineStr">
        <is>
          <t>NORDMALING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46315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44908</v>
      </c>
      <c r="E131" s="1" t="n">
        <v>46315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46315</v>
      </c>
      <c r="F132" t="inlineStr">
        <is>
          <t>VÄSTERBOTTENS LÄN</t>
        </is>
      </c>
      <c r="G132" t="inlineStr">
        <is>
          <t>NORDMALING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46315</v>
      </c>
      <c r="F133" t="inlineStr">
        <is>
          <t>VÄSTERBOTTENS LÄN</t>
        </is>
      </c>
      <c r="G133" t="inlineStr">
        <is>
          <t>NORDMALING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45344</v>
      </c>
      <c r="E134" s="1" t="n">
        <v>46315</v>
      </c>
      <c r="F134" t="inlineStr">
        <is>
          <t>VÄSTERBOTTENS LÄN</t>
        </is>
      </c>
      <c r="G134" t="inlineStr">
        <is>
          <t>NORDMALING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44905</v>
      </c>
      <c r="E135" s="1" t="n">
        <v>46315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46315</v>
      </c>
      <c r="F136" t="inlineStr">
        <is>
          <t>VÄSTERBOTTENS LÄN</t>
        </is>
      </c>
      <c r="G136" t="inlineStr">
        <is>
          <t>NORDMALING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44977</v>
      </c>
      <c r="E137" s="1" t="n">
        <v>46315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46315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19300-2023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45049</v>
      </c>
      <c r="E139" s="1" t="n">
        <v>46315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Kyrkan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45569</v>
      </c>
      <c r="E140" s="1" t="n">
        <v>46315</v>
      </c>
      <c r="F140" t="inlineStr">
        <is>
          <t>VÄSTERBOTTENS LÄN</t>
        </is>
      </c>
      <c r="G140" t="inlineStr">
        <is>
          <t>NORDMALING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46315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46315</v>
      </c>
      <c r="F142" t="inlineStr">
        <is>
          <t>VÄSTERBOTTENS LÄN</t>
        </is>
      </c>
      <c r="G142" t="inlineStr">
        <is>
          <t>NORDMALING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46315</v>
      </c>
      <c r="F143" t="inlineStr">
        <is>
          <t>VÄSTERBOTTENS LÄN</t>
        </is>
      </c>
      <c r="G143" t="inlineStr">
        <is>
          <t>NORDMALING</t>
        </is>
      </c>
      <c r="I143" t="n">
        <v>13.1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45525</v>
      </c>
      <c r="E144" s="1" t="n">
        <v>46315</v>
      </c>
      <c r="F144" t="inlineStr">
        <is>
          <t>VÄSTERBOTTENS LÄN</t>
        </is>
      </c>
      <c r="G144" t="inlineStr">
        <is>
          <t>NORDMALING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24712-2023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45075</v>
      </c>
      <c r="E145" s="1" t="n">
        <v>46315</v>
      </c>
      <c r="F145" t="inlineStr">
        <is>
          <t>VÄSTERBOTTENS LÄN</t>
        </is>
      </c>
      <c r="G145" t="inlineStr">
        <is>
          <t>NORDMALING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46315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Holmen skog AB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46315</v>
      </c>
      <c r="F147" t="inlineStr">
        <is>
          <t>VÄSTERBOTTENS LÄN</t>
        </is>
      </c>
      <c r="G147" t="inlineStr">
        <is>
          <t>NORDMALING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32183-2023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45119</v>
      </c>
      <c r="E148" s="1" t="n">
        <v>46315</v>
      </c>
      <c r="F148" t="inlineStr">
        <is>
          <t>VÄSTERBOTTENS LÄN</t>
        </is>
      </c>
      <c r="G148" t="inlineStr">
        <is>
          <t>NORDMALING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46315</v>
      </c>
      <c r="F149" t="inlineStr">
        <is>
          <t>VÄSTERBOTTENS LÄN</t>
        </is>
      </c>
      <c r="G149" t="inlineStr">
        <is>
          <t>NORDMALING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46315</v>
      </c>
      <c r="F150" t="inlineStr">
        <is>
          <t>VÄSTERBOTTENS LÄN</t>
        </is>
      </c>
      <c r="G150" t="inlineStr">
        <is>
          <t>NORDMALING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46315</v>
      </c>
      <c r="F151" t="inlineStr">
        <is>
          <t>VÄSTERBOTTENS LÄN</t>
        </is>
      </c>
      <c r="G151" t="inlineStr">
        <is>
          <t>NORDMALING</t>
        </is>
      </c>
      <c r="I151" t="n">
        <v>10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46315</v>
      </c>
      <c r="F152" t="inlineStr">
        <is>
          <t>VÄSTERBOTTENS LÄN</t>
        </is>
      </c>
      <c r="G152" t="inlineStr">
        <is>
          <t>NORDMALING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46315</v>
      </c>
      <c r="F153" t="inlineStr">
        <is>
          <t>VÄSTERBOTTENS LÄN</t>
        </is>
      </c>
      <c r="G153" t="inlineStr">
        <is>
          <t>NORDMALING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46315</v>
      </c>
      <c r="F154" t="inlineStr">
        <is>
          <t>VÄSTERBOTTENS LÄN</t>
        </is>
      </c>
      <c r="G154" t="inlineStr">
        <is>
          <t>NORDMALING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46315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46315</v>
      </c>
      <c r="F156" t="inlineStr">
        <is>
          <t>VÄSTERBOTTENS LÄN</t>
        </is>
      </c>
      <c r="G156" t="inlineStr">
        <is>
          <t>NORDMALING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46315</v>
      </c>
      <c r="F157" t="inlineStr">
        <is>
          <t>VÄSTERBOTTENS LÄN</t>
        </is>
      </c>
      <c r="G157" t="inlineStr">
        <is>
          <t>NORDMALING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46315</v>
      </c>
      <c r="F158" t="inlineStr">
        <is>
          <t>VÄSTERBOTTENS LÄN</t>
        </is>
      </c>
      <c r="G158" t="inlineStr">
        <is>
          <t>NORDMALING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46315</v>
      </c>
      <c r="F159" t="inlineStr">
        <is>
          <t>VÄSTERBOTTENS LÄN</t>
        </is>
      </c>
      <c r="G159" t="inlineStr">
        <is>
          <t>NORDMALING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46315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46315</v>
      </c>
      <c r="F161" t="inlineStr">
        <is>
          <t>VÄSTERBOTTENS LÄN</t>
        </is>
      </c>
      <c r="G161" t="inlineStr">
        <is>
          <t>NORDMALING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46315</v>
      </c>
      <c r="F162" t="inlineStr">
        <is>
          <t>VÄSTERBOTTENS LÄN</t>
        </is>
      </c>
      <c r="G162" t="inlineStr">
        <is>
          <t>NORDMALING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46315</v>
      </c>
      <c r="F163" t="inlineStr">
        <is>
          <t>VÄSTERBOTTENS LÄN</t>
        </is>
      </c>
      <c r="G163" t="inlineStr">
        <is>
          <t>NORDMALING</t>
        </is>
      </c>
      <c r="I163" t="n">
        <v>14.8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27504-2022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46315</v>
      </c>
      <c r="F164" t="inlineStr">
        <is>
          <t>VÄSTERBOTTENS LÄN</t>
        </is>
      </c>
      <c r="G164" t="inlineStr">
        <is>
          <t>NORDMALING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46315</v>
      </c>
      <c r="F165" t="inlineStr">
        <is>
          <t>VÄSTERBOTTENS LÄN</t>
        </is>
      </c>
      <c r="G165" t="inlineStr">
        <is>
          <t>NORDMALING</t>
        </is>
      </c>
      <c r="I165" t="n">
        <v>12.5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46315</v>
      </c>
      <c r="F166" t="inlineStr">
        <is>
          <t>VÄSTERBOTTENS LÄN</t>
        </is>
      </c>
      <c r="G166" t="inlineStr">
        <is>
          <t>NORDMALING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45900</v>
      </c>
      <c r="E167" s="1" t="n">
        <v>46315</v>
      </c>
      <c r="F167" t="inlineStr">
        <is>
          <t>VÄSTERBOTTENS LÄN</t>
        </is>
      </c>
      <c r="G167" t="inlineStr">
        <is>
          <t>NORDMALING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46315</v>
      </c>
      <c r="F168" t="inlineStr">
        <is>
          <t>VÄSTERBOTTENS LÄN</t>
        </is>
      </c>
      <c r="G168" t="inlineStr">
        <is>
          <t>NORDMALING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45900</v>
      </c>
      <c r="E169" s="1" t="n">
        <v>46315</v>
      </c>
      <c r="F169" t="inlineStr">
        <is>
          <t>VÄSTERBOTTENS LÄN</t>
        </is>
      </c>
      <c r="G169" t="inlineStr">
        <is>
          <t>NORDMALING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46315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46315</v>
      </c>
      <c r="F171" t="inlineStr">
        <is>
          <t>VÄSTERBOTTENS LÄN</t>
        </is>
      </c>
      <c r="G171" t="inlineStr">
        <is>
          <t>NORDMALING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46315</v>
      </c>
      <c r="F172" t="inlineStr">
        <is>
          <t>VÄSTERBOTTENS LÄN</t>
        </is>
      </c>
      <c r="G172" t="inlineStr">
        <is>
          <t>NORDMALING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46315</v>
      </c>
      <c r="F173" t="inlineStr">
        <is>
          <t>VÄSTERBOTTENS LÄN</t>
        </is>
      </c>
      <c r="G173" t="inlineStr">
        <is>
          <t>NORDMALING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46315</v>
      </c>
      <c r="F174" t="inlineStr">
        <is>
          <t>VÄSTERBOTTENS LÄN</t>
        </is>
      </c>
      <c r="G174" t="inlineStr">
        <is>
          <t>NORDMALING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46315</v>
      </c>
      <c r="F175" t="inlineStr">
        <is>
          <t>VÄSTERBOTTENS LÄN</t>
        </is>
      </c>
      <c r="G175" t="inlineStr">
        <is>
          <t>NORDMALING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46315</v>
      </c>
      <c r="F176" t="inlineStr">
        <is>
          <t>VÄSTERBOTTENS LÄN</t>
        </is>
      </c>
      <c r="G176" t="inlineStr">
        <is>
          <t>NORDMALING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46315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46315</v>
      </c>
      <c r="F178" t="inlineStr">
        <is>
          <t>VÄSTERBOTTENS LÄN</t>
        </is>
      </c>
      <c r="G178" t="inlineStr">
        <is>
          <t>NORDMALING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46315</v>
      </c>
      <c r="F179" t="inlineStr">
        <is>
          <t>VÄSTERBOTTENS LÄN</t>
        </is>
      </c>
      <c r="G179" t="inlineStr">
        <is>
          <t>NORDMALING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46315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46315</v>
      </c>
      <c r="F181" t="inlineStr">
        <is>
          <t>VÄSTERBOTTENS LÄN</t>
        </is>
      </c>
      <c r="G181" t="inlineStr">
        <is>
          <t>NORDMALING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46315</v>
      </c>
      <c r="F182" t="inlineStr">
        <is>
          <t>VÄSTERBOTTENS LÄN</t>
        </is>
      </c>
      <c r="G182" t="inlineStr">
        <is>
          <t>NORDMALING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46315</v>
      </c>
      <c r="F183" t="inlineStr">
        <is>
          <t>VÄSTERBOTTENS LÄN</t>
        </is>
      </c>
      <c r="G183" t="inlineStr">
        <is>
          <t>NORDMALING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46315</v>
      </c>
      <c r="F184" t="inlineStr">
        <is>
          <t>VÄSTERBOTTENS LÄN</t>
        </is>
      </c>
      <c r="G184" t="inlineStr">
        <is>
          <t>NORDMALING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45028</v>
      </c>
      <c r="E185" s="1" t="n">
        <v>46315</v>
      </c>
      <c r="F185" t="inlineStr">
        <is>
          <t>VÄSTERBOTTENS LÄN</t>
        </is>
      </c>
      <c r="G185" t="inlineStr">
        <is>
          <t>NORDMALING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44907</v>
      </c>
      <c r="E186" s="1" t="n">
        <v>46315</v>
      </c>
      <c r="F186" t="inlineStr">
        <is>
          <t>VÄSTERBOTTENS LÄN</t>
        </is>
      </c>
      <c r="G186" t="inlineStr">
        <is>
          <t>NORDMALING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46315</v>
      </c>
      <c r="F187" t="inlineStr">
        <is>
          <t>VÄSTERBOTTENS LÄN</t>
        </is>
      </c>
      <c r="G187" t="inlineStr">
        <is>
          <t>NORDMALING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46315</v>
      </c>
      <c r="F188" t="inlineStr">
        <is>
          <t>VÄSTERBOTTENS LÄN</t>
        </is>
      </c>
      <c r="G188" t="inlineStr">
        <is>
          <t>NORDMALING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46315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70028-2021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46315</v>
      </c>
      <c r="F190" t="inlineStr">
        <is>
          <t>VÄSTERBOTTENS LÄN</t>
        </is>
      </c>
      <c r="G190" t="inlineStr">
        <is>
          <t>NORDMALING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46315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45503</v>
      </c>
      <c r="E192" s="1" t="n">
        <v>46315</v>
      </c>
      <c r="F192" t="inlineStr">
        <is>
          <t>VÄSTERBOTTENS LÄN</t>
        </is>
      </c>
      <c r="G192" t="inlineStr">
        <is>
          <t>NORDMALING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46315</v>
      </c>
      <c r="F193" t="inlineStr">
        <is>
          <t>VÄSTERBOTTENS LÄN</t>
        </is>
      </c>
      <c r="G193" t="inlineStr">
        <is>
          <t>NORDMALING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46315</v>
      </c>
      <c r="F194" t="inlineStr">
        <is>
          <t>VÄSTERBOTTENS LÄN</t>
        </is>
      </c>
      <c r="G194" t="inlineStr">
        <is>
          <t>NORDMALING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46315</v>
      </c>
      <c r="F195" t="inlineStr">
        <is>
          <t>VÄSTERBOTTENS LÄN</t>
        </is>
      </c>
      <c r="G195" t="inlineStr">
        <is>
          <t>NORDMALING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46315</v>
      </c>
      <c r="F196" t="inlineStr">
        <is>
          <t>VÄSTERBOTTENS LÄN</t>
        </is>
      </c>
      <c r="G196" t="inlineStr">
        <is>
          <t>NORDMALING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46315</v>
      </c>
      <c r="F197" t="inlineStr">
        <is>
          <t>VÄSTERBOTTENS LÄN</t>
        </is>
      </c>
      <c r="G197" t="inlineStr">
        <is>
          <t>NORDMALING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46315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46315</v>
      </c>
      <c r="F199" t="inlineStr">
        <is>
          <t>VÄSTERBOTTENS LÄN</t>
        </is>
      </c>
      <c r="G199" t="inlineStr">
        <is>
          <t>NORDMALING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45936</v>
      </c>
      <c r="E200" s="1" t="n">
        <v>46315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64498-2023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45280</v>
      </c>
      <c r="E201" s="1" t="n">
        <v>46315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46315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46315</v>
      </c>
      <c r="F203" t="inlineStr">
        <is>
          <t>VÄSTERBOTTENS LÄN</t>
        </is>
      </c>
      <c r="G203" t="inlineStr">
        <is>
          <t>NORDMALING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69516-2021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44531</v>
      </c>
      <c r="E204" s="1" t="n">
        <v>46315</v>
      </c>
      <c r="F204" t="inlineStr">
        <is>
          <t>VÄSTERBOTTENS LÄN</t>
        </is>
      </c>
      <c r="G204" t="inlineStr">
        <is>
          <t>NORDMALING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44834</v>
      </c>
      <c r="E205" s="1" t="n">
        <v>46315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Holmen skog AB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46315</v>
      </c>
      <c r="F206" t="inlineStr">
        <is>
          <t>VÄSTERBOTTENS LÄN</t>
        </is>
      </c>
      <c r="G206" t="inlineStr">
        <is>
          <t>NORDMALING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45102</v>
      </c>
      <c r="E207" s="1" t="n">
        <v>46315</v>
      </c>
      <c r="F207" t="inlineStr">
        <is>
          <t>VÄSTERBOTTENS LÄN</t>
        </is>
      </c>
      <c r="G207" t="inlineStr">
        <is>
          <t>NORDMALING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46315</v>
      </c>
      <c r="F208" t="inlineStr">
        <is>
          <t>VÄSTERBOTTENS LÄN</t>
        </is>
      </c>
      <c r="G208" t="inlineStr">
        <is>
          <t>NORDMALING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45940</v>
      </c>
      <c r="E209" s="1" t="n">
        <v>46315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35291-2023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45145</v>
      </c>
      <c r="E210" s="1" t="n">
        <v>46315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46315</v>
      </c>
      <c r="F211" t="inlineStr">
        <is>
          <t>VÄSTERBOTTENS LÄN</t>
        </is>
      </c>
      <c r="G211" t="inlineStr">
        <is>
          <t>NORDMALING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46315</v>
      </c>
      <c r="F212" t="inlineStr">
        <is>
          <t>VÄSTERBOTTENS LÄN</t>
        </is>
      </c>
      <c r="G212" t="inlineStr">
        <is>
          <t>NORDMALING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46315</v>
      </c>
      <c r="F213" t="inlineStr">
        <is>
          <t>VÄSTERBOTTENS LÄN</t>
        </is>
      </c>
      <c r="G213" t="inlineStr">
        <is>
          <t>NORDMALING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46315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46315</v>
      </c>
      <c r="F215" t="inlineStr">
        <is>
          <t>VÄSTERBOTTENS LÄN</t>
        </is>
      </c>
      <c r="G215" t="inlineStr">
        <is>
          <t>NORDMALING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46315</v>
      </c>
      <c r="F216" t="inlineStr">
        <is>
          <t>VÄSTERBOTTENS LÄN</t>
        </is>
      </c>
      <c r="G216" t="inlineStr">
        <is>
          <t>NORDMALING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46315</v>
      </c>
      <c r="F217" t="inlineStr">
        <is>
          <t>VÄSTERBOTTENS LÄN</t>
        </is>
      </c>
      <c r="G217" t="inlineStr">
        <is>
          <t>NORDMALING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45378</v>
      </c>
      <c r="E218" s="1" t="n">
        <v>46315</v>
      </c>
      <c r="F218" t="inlineStr">
        <is>
          <t>VÄSTERBOTTENS LÄN</t>
        </is>
      </c>
      <c r="G218" t="inlineStr">
        <is>
          <t>NORDMALING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45950</v>
      </c>
      <c r="E219" s="1" t="n">
        <v>46315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45419</v>
      </c>
      <c r="E220" s="1" t="n">
        <v>46315</v>
      </c>
      <c r="F220" t="inlineStr">
        <is>
          <t>VÄSTERBOTTENS LÄN</t>
        </is>
      </c>
      <c r="G220" t="inlineStr">
        <is>
          <t>NORDMALING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46315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48945-2022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44859</v>
      </c>
      <c r="E222" s="1" t="n">
        <v>46315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46315</v>
      </c>
      <c r="F223" t="inlineStr">
        <is>
          <t>VÄSTERBOTTENS LÄN</t>
        </is>
      </c>
      <c r="G223" t="inlineStr">
        <is>
          <t>NORDMALING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51736-2025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46315</v>
      </c>
      <c r="F224" t="inlineStr">
        <is>
          <t>VÄSTERBOTTENS LÄN</t>
        </is>
      </c>
      <c r="G224" t="inlineStr">
        <is>
          <t>NORDMALING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46315</v>
      </c>
      <c r="F225" t="inlineStr">
        <is>
          <t>VÄSTERBOTTENS LÄN</t>
        </is>
      </c>
      <c r="G225" t="inlineStr">
        <is>
          <t>NORDMALING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46315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45491</v>
      </c>
      <c r="E227" s="1" t="n">
        <v>46315</v>
      </c>
      <c r="F227" t="inlineStr">
        <is>
          <t>VÄSTERBOTTENS LÄN</t>
        </is>
      </c>
      <c r="G227" t="inlineStr">
        <is>
          <t>NORDMALING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46315</v>
      </c>
      <c r="F228" t="inlineStr">
        <is>
          <t>VÄSTERBOTTENS LÄN</t>
        </is>
      </c>
      <c r="G228" t="inlineStr">
        <is>
          <t>NORDMALING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44893</v>
      </c>
      <c r="E229" s="1" t="n">
        <v>46315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46151</v>
      </c>
      <c r="E230" s="1" t="n">
        <v>46315</v>
      </c>
      <c r="F230" t="inlineStr">
        <is>
          <t>VÄSTERBOTTENS LÄN</t>
        </is>
      </c>
      <c r="G230" t="inlineStr">
        <is>
          <t>NORDMALING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46315</v>
      </c>
      <c r="F231" t="inlineStr">
        <is>
          <t>VÄSTERBOTTENS LÄN</t>
        </is>
      </c>
      <c r="G231" t="inlineStr">
        <is>
          <t>NORDMALING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46315</v>
      </c>
      <c r="F232" t="inlineStr">
        <is>
          <t>VÄSTERBOTTENS LÄN</t>
        </is>
      </c>
      <c r="G232" t="inlineStr">
        <is>
          <t>NORDMALING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46315</v>
      </c>
      <c r="F233" t="inlineStr">
        <is>
          <t>VÄSTERBOTTENS LÄN</t>
        </is>
      </c>
      <c r="G233" t="inlineStr">
        <is>
          <t>NORDMALING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45962</v>
      </c>
      <c r="E234" s="1" t="n">
        <v>46315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SCA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46315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46315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46151</v>
      </c>
      <c r="E237" s="1" t="n">
        <v>46315</v>
      </c>
      <c r="F237" t="inlineStr">
        <is>
          <t>VÄSTERBOTTENS LÄN</t>
        </is>
      </c>
      <c r="G237" t="inlineStr">
        <is>
          <t>NORDMALING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46155</v>
      </c>
      <c r="E238" s="1" t="n">
        <v>46315</v>
      </c>
      <c r="F238" t="inlineStr">
        <is>
          <t>VÄSTERBOTTENS LÄN</t>
        </is>
      </c>
      <c r="G238" t="inlineStr">
        <is>
          <t>NORDMALING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46315</v>
      </c>
      <c r="F239" t="inlineStr">
        <is>
          <t>VÄSTERBOTTENS LÄN</t>
        </is>
      </c>
      <c r="G239" t="inlineStr">
        <is>
          <t>NORDMALING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45961</v>
      </c>
      <c r="E240" s="1" t="n">
        <v>46315</v>
      </c>
      <c r="F240" t="inlineStr">
        <is>
          <t>VÄSTERBOTTENS LÄN</t>
        </is>
      </c>
      <c r="G240" t="inlineStr">
        <is>
          <t>NORDMALING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46315</v>
      </c>
      <c r="F241" t="inlineStr">
        <is>
          <t>VÄSTERBOTTENS LÄN</t>
        </is>
      </c>
      <c r="G241" t="inlineStr">
        <is>
          <t>NORDMALING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46315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46315</v>
      </c>
      <c r="F243" t="inlineStr">
        <is>
          <t>VÄSTERBOTTENS LÄN</t>
        </is>
      </c>
      <c r="G243" t="inlineStr">
        <is>
          <t>NORDMALING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46315</v>
      </c>
      <c r="F244" t="inlineStr">
        <is>
          <t>VÄSTERBOTTENS LÄN</t>
        </is>
      </c>
      <c r="G244" t="inlineStr">
        <is>
          <t>NORDMALING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46315</v>
      </c>
      <c r="F245" t="inlineStr">
        <is>
          <t>VÄSTERBOTTENS LÄN</t>
        </is>
      </c>
      <c r="G245" t="inlineStr">
        <is>
          <t>NORDMALING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45139</v>
      </c>
      <c r="E246" s="1" t="n">
        <v>46315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46315</v>
      </c>
      <c r="F247" t="inlineStr">
        <is>
          <t>VÄSTERBOTTENS LÄN</t>
        </is>
      </c>
      <c r="G247" t="inlineStr">
        <is>
          <t>NORDMALING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46315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46315</v>
      </c>
      <c r="F249" t="inlineStr">
        <is>
          <t>VÄSTERBOTTENS LÄN</t>
        </is>
      </c>
      <c r="G249" t="inlineStr">
        <is>
          <t>NORDMALING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46315</v>
      </c>
      <c r="F250" t="inlineStr">
        <is>
          <t>VÄSTERBOTTENS LÄN</t>
        </is>
      </c>
      <c r="G250" t="inlineStr">
        <is>
          <t>NORDMALING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57590-2022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46315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46315</v>
      </c>
      <c r="F252" t="inlineStr">
        <is>
          <t>VÄSTERBOTTENS LÄN</t>
        </is>
      </c>
      <c r="G252" t="inlineStr">
        <is>
          <t>NORDMALING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46315</v>
      </c>
      <c r="F253" t="inlineStr">
        <is>
          <t>VÄSTERBOTTENS LÄN</t>
        </is>
      </c>
      <c r="G253" t="inlineStr">
        <is>
          <t>NORDMALING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46315</v>
      </c>
      <c r="F254" t="inlineStr">
        <is>
          <t>VÄSTERBOTTENS LÄN</t>
        </is>
      </c>
      <c r="G254" t="inlineStr">
        <is>
          <t>NORDMALING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23005-2026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46160</v>
      </c>
      <c r="E255" s="1" t="n">
        <v>46315</v>
      </c>
      <c r="F255" t="inlineStr">
        <is>
          <t>VÄSTERBOTTENS LÄN</t>
        </is>
      </c>
      <c r="G255" t="inlineStr">
        <is>
          <t>NORDMALING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46315</v>
      </c>
      <c r="F256" t="inlineStr">
        <is>
          <t>VÄSTERBOTTENS LÄN</t>
        </is>
      </c>
      <c r="G256" t="inlineStr">
        <is>
          <t>NORDMALING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45575</v>
      </c>
      <c r="E257" s="1" t="n">
        <v>46315</v>
      </c>
      <c r="F257" t="inlineStr">
        <is>
          <t>VÄSTERBOTTENS LÄN</t>
        </is>
      </c>
      <c r="G257" t="inlineStr">
        <is>
          <t>NORDMALING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45344</v>
      </c>
      <c r="E258" s="1" t="n">
        <v>46315</v>
      </c>
      <c r="F258" t="inlineStr">
        <is>
          <t>VÄSTERBOTTENS LÄN</t>
        </is>
      </c>
      <c r="G258" t="inlineStr">
        <is>
          <t>NORDMALING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46315</v>
      </c>
      <c r="F259" t="inlineStr">
        <is>
          <t>VÄSTERBOTTENS LÄN</t>
        </is>
      </c>
      <c r="G259" t="inlineStr">
        <is>
          <t>NORDMALING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46315</v>
      </c>
      <c r="F260" t="inlineStr">
        <is>
          <t>VÄSTERBOTTENS LÄN</t>
        </is>
      </c>
      <c r="G260" t="inlineStr">
        <is>
          <t>NORDMALING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46161</v>
      </c>
      <c r="E261" s="1" t="n">
        <v>46315</v>
      </c>
      <c r="F261" t="inlineStr">
        <is>
          <t>VÄSTERBOTTENS LÄN</t>
        </is>
      </c>
      <c r="G261" t="inlineStr">
        <is>
          <t>NORDMALING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46315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46315</v>
      </c>
      <c r="F263" t="inlineStr">
        <is>
          <t>VÄSTERBOTTENS LÄN</t>
        </is>
      </c>
      <c r="G263" t="inlineStr">
        <is>
          <t>NORDMALING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23047-2026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46315</v>
      </c>
      <c r="F264" t="inlineStr">
        <is>
          <t>VÄSTERBOTTENS LÄN</t>
        </is>
      </c>
      <c r="G264" t="inlineStr">
        <is>
          <t>NORDMALING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46315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46315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46315</v>
      </c>
      <c r="F267" t="inlineStr">
        <is>
          <t>VÄSTERBOTTENS LÄN</t>
        </is>
      </c>
      <c r="G267" t="inlineStr">
        <is>
          <t>NORDMALING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46160</v>
      </c>
      <c r="E268" s="1" t="n">
        <v>46315</v>
      </c>
      <c r="F268" t="inlineStr">
        <is>
          <t>VÄSTERBOTTENS LÄN</t>
        </is>
      </c>
      <c r="G268" t="inlineStr">
        <is>
          <t>NORDMALING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46315</v>
      </c>
      <c r="F269" t="inlineStr">
        <is>
          <t>VÄSTERBOTTENS LÄN</t>
        </is>
      </c>
      <c r="G269" t="inlineStr">
        <is>
          <t>NORDMALING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46315</v>
      </c>
      <c r="F270" t="inlineStr">
        <is>
          <t>VÄSTERBOTTENS LÄN</t>
        </is>
      </c>
      <c r="G270" t="inlineStr">
        <is>
          <t>NORDMALING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22618-2024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46315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69519-2021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46315</v>
      </c>
      <c r="F272" t="inlineStr">
        <is>
          <t>VÄSTERBOTTENS LÄN</t>
        </is>
      </c>
      <c r="G272" t="inlineStr">
        <is>
          <t>NORDMALING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46315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46315</v>
      </c>
      <c r="F274" t="inlineStr">
        <is>
          <t>VÄSTERBOTTENS LÄN</t>
        </is>
      </c>
      <c r="G274" t="inlineStr">
        <is>
          <t>NORDMALING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23022-2026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46315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46315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46315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46315</v>
      </c>
      <c r="F278" t="inlineStr">
        <is>
          <t>VÄSTERBOTTENS LÄN</t>
        </is>
      </c>
      <c r="G278" t="inlineStr">
        <is>
          <t>NORDMALING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72018-2021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44540</v>
      </c>
      <c r="E279" s="1" t="n">
        <v>46315</v>
      </c>
      <c r="F279" t="inlineStr">
        <is>
          <t>VÄSTERBOTTENS LÄN</t>
        </is>
      </c>
      <c r="G279" t="inlineStr">
        <is>
          <t>NORDMALING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24415-2024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45457</v>
      </c>
      <c r="E280" s="1" t="n">
        <v>46315</v>
      </c>
      <c r="F280" t="inlineStr">
        <is>
          <t>VÄSTERBOTTENS LÄN</t>
        </is>
      </c>
      <c r="G280" t="inlineStr">
        <is>
          <t>NORDMALING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46315</v>
      </c>
      <c r="F281" t="inlineStr">
        <is>
          <t>VÄSTERBOTTENS LÄN</t>
        </is>
      </c>
      <c r="G281" t="inlineStr">
        <is>
          <t>NORDMALING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46315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46315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46315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46315</v>
      </c>
      <c r="F285" t="inlineStr">
        <is>
          <t>VÄSTERBOTTENS LÄN</t>
        </is>
      </c>
      <c r="G285" t="inlineStr">
        <is>
          <t>NORDMALING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46315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60113-2025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45994</v>
      </c>
      <c r="E287" s="1" t="n">
        <v>46315</v>
      </c>
      <c r="F287" t="inlineStr">
        <is>
          <t>VÄSTERBOTTENS LÄN</t>
        </is>
      </c>
      <c r="G287" t="inlineStr">
        <is>
          <t>NORDMALING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46315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46315</v>
      </c>
      <c r="F289" t="inlineStr">
        <is>
          <t>VÄSTERBOTTENS LÄN</t>
        </is>
      </c>
      <c r="G289" t="inlineStr">
        <is>
          <t>NORDMALING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23216-2026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46315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45022</v>
      </c>
      <c r="E291" s="1" t="n">
        <v>46315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46315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46315</v>
      </c>
      <c r="F293" t="inlineStr">
        <is>
          <t>VÄSTERBOTTENS LÄN</t>
        </is>
      </c>
      <c r="G293" t="inlineStr">
        <is>
          <t>NORDMALING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53889-2024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45615</v>
      </c>
      <c r="E294" s="1" t="n">
        <v>46315</v>
      </c>
      <c r="F294" t="inlineStr">
        <is>
          <t>VÄSTERBOTTENS LÄN</t>
        </is>
      </c>
      <c r="G294" t="inlineStr">
        <is>
          <t>NORDMALING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46315</v>
      </c>
      <c r="F295" t="inlineStr">
        <is>
          <t>VÄSTERBOTTENS LÄN</t>
        </is>
      </c>
      <c r="G295" t="inlineStr">
        <is>
          <t>NORDMALING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46315</v>
      </c>
      <c r="F296" t="inlineStr">
        <is>
          <t>VÄSTERBOTTENS LÄN</t>
        </is>
      </c>
      <c r="G296" t="inlineStr">
        <is>
          <t>NORDMALING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46315</v>
      </c>
      <c r="F297" t="inlineStr">
        <is>
          <t>VÄSTERBOTTENS LÄN</t>
        </is>
      </c>
      <c r="G297" t="inlineStr">
        <is>
          <t>NORDMALING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47516-2024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45587</v>
      </c>
      <c r="E298" s="1" t="n">
        <v>46315</v>
      </c>
      <c r="F298" t="inlineStr">
        <is>
          <t>VÄSTERBOTTENS LÄN</t>
        </is>
      </c>
      <c r="G298" t="inlineStr">
        <is>
          <t>NORDMALING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46315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45158</v>
      </c>
      <c r="E300" s="1" t="n">
        <v>46315</v>
      </c>
      <c r="F300" t="inlineStr">
        <is>
          <t>VÄSTERBOTTENS LÄN</t>
        </is>
      </c>
      <c r="G300" t="inlineStr">
        <is>
          <t>NORDMALING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46315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46315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46315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45678</v>
      </c>
      <c r="E304" s="1" t="n">
        <v>46315</v>
      </c>
      <c r="F304" t="inlineStr">
        <is>
          <t>VÄSTERBOTTENS LÄN</t>
        </is>
      </c>
      <c r="G304" t="inlineStr">
        <is>
          <t>NORDMALING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46315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46315</v>
      </c>
      <c r="F306" t="inlineStr">
        <is>
          <t>VÄSTERBOTTENS LÄN</t>
        </is>
      </c>
      <c r="G306" t="inlineStr">
        <is>
          <t>NORDMALING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46315</v>
      </c>
      <c r="F307" t="inlineStr">
        <is>
          <t>VÄSTERBOTTENS LÄN</t>
        </is>
      </c>
      <c r="G307" t="inlineStr">
        <is>
          <t>NORDMALING</t>
        </is>
      </c>
      <c r="I307" t="n">
        <v>11.3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46315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46315</v>
      </c>
      <c r="F309" t="inlineStr">
        <is>
          <t>VÄSTERBOTTENS LÄN</t>
        </is>
      </c>
      <c r="G309" t="inlineStr">
        <is>
          <t>NORDMALING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46315</v>
      </c>
      <c r="F310" t="inlineStr">
        <is>
          <t>VÄSTERBOTTENS LÄN</t>
        </is>
      </c>
      <c r="G310" t="inlineStr">
        <is>
          <t>NORDMALING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46315</v>
      </c>
      <c r="F311" t="inlineStr">
        <is>
          <t>VÄSTERBOTTENS LÄN</t>
        </is>
      </c>
      <c r="G311" t="inlineStr">
        <is>
          <t>NORDMALING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35803-2023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45147</v>
      </c>
      <c r="E312" s="1" t="n">
        <v>46315</v>
      </c>
      <c r="F312" t="inlineStr">
        <is>
          <t>VÄSTERBOTTENS LÄN</t>
        </is>
      </c>
      <c r="G312" t="inlineStr">
        <is>
          <t>NORDMALING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46315</v>
      </c>
      <c r="F313" t="inlineStr">
        <is>
          <t>VÄSTERBOTTENS LÄN</t>
        </is>
      </c>
      <c r="G313" t="inlineStr">
        <is>
          <t>NORDMALING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46315</v>
      </c>
      <c r="F314" t="inlineStr">
        <is>
          <t>VÄSTERBOTTENS LÄN</t>
        </is>
      </c>
      <c r="G314" t="inlineStr">
        <is>
          <t>NORDMALING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44993</v>
      </c>
      <c r="E315" s="1" t="n">
        <v>46315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46315</v>
      </c>
      <c r="F316" t="inlineStr">
        <is>
          <t>VÄSTERBOTTENS LÄN</t>
        </is>
      </c>
      <c r="G316" t="inlineStr">
        <is>
          <t>NORDMALING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46315</v>
      </c>
      <c r="F317" t="inlineStr">
        <is>
          <t>VÄSTERBOTTENS LÄN</t>
        </is>
      </c>
      <c r="G317" t="inlineStr">
        <is>
          <t>NORDMALING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46315</v>
      </c>
      <c r="F318" t="inlineStr">
        <is>
          <t>VÄSTERBOTTENS LÄN</t>
        </is>
      </c>
      <c r="G318" t="inlineStr">
        <is>
          <t>NORDMALING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46315</v>
      </c>
      <c r="F319" t="inlineStr">
        <is>
          <t>VÄSTERBOTTENS LÄN</t>
        </is>
      </c>
      <c r="G319" t="inlineStr">
        <is>
          <t>NORDMALING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46315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46315</v>
      </c>
      <c r="F321" t="inlineStr">
        <is>
          <t>VÄSTERBOTTENS LÄN</t>
        </is>
      </c>
      <c r="G321" t="inlineStr">
        <is>
          <t>NORDMALING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46315</v>
      </c>
      <c r="F322" t="inlineStr">
        <is>
          <t>VÄSTERBOTTENS LÄN</t>
        </is>
      </c>
      <c r="G322" t="inlineStr">
        <is>
          <t>NORDMALING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25214-2026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46171</v>
      </c>
      <c r="E323" s="1" t="n">
        <v>46315</v>
      </c>
      <c r="F323" t="inlineStr">
        <is>
          <t>VÄSTERBOTTENS LÄN</t>
        </is>
      </c>
      <c r="G323" t="inlineStr">
        <is>
          <t>NORDMALING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46315</v>
      </c>
      <c r="F324" t="inlineStr">
        <is>
          <t>VÄSTERBOTTENS LÄN</t>
        </is>
      </c>
      <c r="G324" t="inlineStr">
        <is>
          <t>NORDMALING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46315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46315</v>
      </c>
      <c r="F326" t="inlineStr">
        <is>
          <t>VÄSTERBOTTENS LÄN</t>
        </is>
      </c>
      <c r="G326" t="inlineStr">
        <is>
          <t>NORDMALING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45330</v>
      </c>
      <c r="E327" s="1" t="n">
        <v>46315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45525</v>
      </c>
      <c r="E328" s="1" t="n">
        <v>46315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46315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46315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46018</v>
      </c>
      <c r="E331" s="1" t="n">
        <v>46315</v>
      </c>
      <c r="F331" t="inlineStr">
        <is>
          <t>VÄSTERBOTTENS LÄN</t>
        </is>
      </c>
      <c r="G331" t="inlineStr">
        <is>
          <t>NORDMALING</t>
        </is>
      </c>
      <c r="I331" t="n">
        <v>12.8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63813-2025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46020</v>
      </c>
      <c r="E332" s="1" t="n">
        <v>46315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45182</v>
      </c>
      <c r="E333" s="1" t="n">
        <v>46315</v>
      </c>
      <c r="F333" t="inlineStr">
        <is>
          <t>VÄSTERBOTTENS LÄN</t>
        </is>
      </c>
      <c r="G333" t="inlineStr">
        <is>
          <t>NORDMALING</t>
        </is>
      </c>
      <c r="I333" t="n">
        <v>20.1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63922-2025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46315</v>
      </c>
      <c r="F334" t="inlineStr">
        <is>
          <t>VÄSTERBOTTENS LÄN</t>
        </is>
      </c>
      <c r="G334" t="inlineStr">
        <is>
          <t>NORDMALING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46315</v>
      </c>
      <c r="F335" t="inlineStr">
        <is>
          <t>VÄSTERBOTTENS LÄN</t>
        </is>
      </c>
      <c r="G335" t="inlineStr">
        <is>
          <t>NORDMALING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46022</v>
      </c>
      <c r="E336" s="1" t="n">
        <v>46315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45187</v>
      </c>
      <c r="E337" s="1" t="n">
        <v>46315</v>
      </c>
      <c r="F337" t="inlineStr">
        <is>
          <t>VÄSTERBOTTENS LÄN</t>
        </is>
      </c>
      <c r="G337" t="inlineStr">
        <is>
          <t>NORDMALING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46028</v>
      </c>
      <c r="E338" s="1" t="n">
        <v>46315</v>
      </c>
      <c r="F338" t="inlineStr">
        <is>
          <t>VÄSTERBOTTENS LÄN</t>
        </is>
      </c>
      <c r="G338" t="inlineStr">
        <is>
          <t>NORDMALING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46315</v>
      </c>
      <c r="F339" t="inlineStr">
        <is>
          <t>VÄSTERBOTTENS LÄN</t>
        </is>
      </c>
      <c r="G339" t="inlineStr">
        <is>
          <t>NORDMALING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46315</v>
      </c>
      <c r="F340" t="inlineStr">
        <is>
          <t>VÄSTERBOTTENS LÄN</t>
        </is>
      </c>
      <c r="G340" t="inlineStr">
        <is>
          <t>NORDMALING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46315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46315</v>
      </c>
      <c r="F342" t="inlineStr">
        <is>
          <t>VÄSTERBOTTENS LÄN</t>
        </is>
      </c>
      <c r="G342" t="inlineStr">
        <is>
          <t>NORDMALING</t>
        </is>
      </c>
      <c r="I342" t="n">
        <v>8.9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59518-2024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45638</v>
      </c>
      <c r="E343" s="1" t="n">
        <v>46315</v>
      </c>
      <c r="F343" t="inlineStr">
        <is>
          <t>VÄSTERBOTTENS LÄN</t>
        </is>
      </c>
      <c r="G343" t="inlineStr">
        <is>
          <t>NORDMALING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46315</v>
      </c>
      <c r="F344" t="inlineStr">
        <is>
          <t>VÄSTERBOTTENS LÄN</t>
        </is>
      </c>
      <c r="G344" t="inlineStr">
        <is>
          <t>NORDMALING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24929-2026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46315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46032</v>
      </c>
      <c r="E346" s="1" t="n">
        <v>46315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45712</v>
      </c>
      <c r="E347" s="1" t="n">
        <v>46315</v>
      </c>
      <c r="F347" t="inlineStr">
        <is>
          <t>VÄSTERBOTTENS LÄN</t>
        </is>
      </c>
      <c r="G347" t="inlineStr">
        <is>
          <t>NORDMALING</t>
        </is>
      </c>
      <c r="I347" t="n">
        <v>11.1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46315</v>
      </c>
      <c r="F348" t="inlineStr">
        <is>
          <t>VÄSTERBOTTENS LÄN</t>
        </is>
      </c>
      <c r="G348" t="inlineStr">
        <is>
          <t>NORDMALING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46038</v>
      </c>
      <c r="E349" s="1" t="n">
        <v>46315</v>
      </c>
      <c r="F349" t="inlineStr">
        <is>
          <t>VÄSTERBOTTENS LÄN</t>
        </is>
      </c>
      <c r="G349" t="inlineStr">
        <is>
          <t>NORDMALING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46315</v>
      </c>
      <c r="F350" t="inlineStr">
        <is>
          <t>VÄSTERBOTTENS LÄN</t>
        </is>
      </c>
      <c r="G350" t="inlineStr">
        <is>
          <t>NORDMALING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46315</v>
      </c>
      <c r="F351" t="inlineStr">
        <is>
          <t>VÄSTERBOTTENS LÄN</t>
        </is>
      </c>
      <c r="G351" t="inlineStr">
        <is>
          <t>NORDMALING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46315</v>
      </c>
      <c r="F352" t="inlineStr">
        <is>
          <t>VÄSTERBOTTENS LÄN</t>
        </is>
      </c>
      <c r="G352" t="inlineStr">
        <is>
          <t>NORDMALING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46315</v>
      </c>
      <c r="F353" t="inlineStr">
        <is>
          <t>VÄSTERBOTTENS LÄN</t>
        </is>
      </c>
      <c r="G353" t="inlineStr">
        <is>
          <t>NORDMALING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18232-2024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45420</v>
      </c>
      <c r="E354" s="1" t="n">
        <v>46315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45062</v>
      </c>
      <c r="E355" s="1" t="n">
        <v>46315</v>
      </c>
      <c r="F355" t="inlineStr">
        <is>
          <t>VÄSTERBOTTENS LÄN</t>
        </is>
      </c>
      <c r="G355" t="inlineStr">
        <is>
          <t>NORDMALING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46315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46048</v>
      </c>
      <c r="E357" s="1" t="n">
        <v>46315</v>
      </c>
      <c r="F357" t="inlineStr">
        <is>
          <t>VÄSTERBOTTENS LÄN</t>
        </is>
      </c>
      <c r="G357" t="inlineStr">
        <is>
          <t>NORDMALING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46315</v>
      </c>
      <c r="F358" t="inlineStr">
        <is>
          <t>VÄSTERBOTTENS LÄN</t>
        </is>
      </c>
      <c r="G358" t="inlineStr">
        <is>
          <t>NORDMALING</t>
        </is>
      </c>
      <c r="I358" t="n">
        <v>22.4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46315</v>
      </c>
      <c r="F359" t="inlineStr">
        <is>
          <t>VÄSTERBOTTENS LÄN</t>
        </is>
      </c>
      <c r="G359" t="inlineStr">
        <is>
          <t>NORDMALING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46315</v>
      </c>
      <c r="F360" t="inlineStr">
        <is>
          <t>VÄSTERBOTTENS LÄN</t>
        </is>
      </c>
      <c r="G360" t="inlineStr">
        <is>
          <t>NORDMALING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47777-2022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44854</v>
      </c>
      <c r="E361" s="1" t="n">
        <v>46315</v>
      </c>
      <c r="F361" t="inlineStr">
        <is>
          <t>VÄSTERBOTTENS LÄN</t>
        </is>
      </c>
      <c r="G361" t="inlineStr">
        <is>
          <t>NORDMALING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48940-2022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44859</v>
      </c>
      <c r="E362" s="1" t="n">
        <v>46315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46315</v>
      </c>
      <c r="F363" t="inlineStr">
        <is>
          <t>VÄSTERBOTTENS LÄN</t>
        </is>
      </c>
      <c r="G363" t="inlineStr">
        <is>
          <t>NORDMALING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46315</v>
      </c>
      <c r="F364" t="inlineStr">
        <is>
          <t>VÄSTERBOTTENS LÄN</t>
        </is>
      </c>
      <c r="G364" t="inlineStr">
        <is>
          <t>NORDMALING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72841-2021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46315</v>
      </c>
      <c r="F365" t="inlineStr">
        <is>
          <t>VÄSTERBOTTENS LÄN</t>
        </is>
      </c>
      <c r="G365" t="inlineStr">
        <is>
          <t>NORDMALING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45638</v>
      </c>
      <c r="E366" s="1" t="n">
        <v>46315</v>
      </c>
      <c r="F366" t="inlineStr">
        <is>
          <t>VÄSTERBOTTENS LÄN</t>
        </is>
      </c>
      <c r="G366" t="inlineStr">
        <is>
          <t>NORDMALING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33612-2022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44789</v>
      </c>
      <c r="E367" s="1" t="n">
        <v>46315</v>
      </c>
      <c r="F367" t="inlineStr">
        <is>
          <t>VÄSTERBOTTENS LÄN</t>
        </is>
      </c>
      <c r="G367" t="inlineStr">
        <is>
          <t>NORDMALING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46315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46315</v>
      </c>
      <c r="F369" t="inlineStr">
        <is>
          <t>VÄSTERBOTTENS LÄN</t>
        </is>
      </c>
      <c r="G369" t="inlineStr">
        <is>
          <t>NORDMALING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46315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46315</v>
      </c>
      <c r="F371" t="inlineStr">
        <is>
          <t>VÄSTERBOTTENS LÄN</t>
        </is>
      </c>
      <c r="G371" t="inlineStr">
        <is>
          <t>NORDMALING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46315</v>
      </c>
      <c r="F372" t="inlineStr">
        <is>
          <t>VÄSTERBOTTENS LÄN</t>
        </is>
      </c>
      <c r="G372" t="inlineStr">
        <is>
          <t>NORDMALING</t>
        </is>
      </c>
      <c r="I372" t="n">
        <v>19.1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46315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46315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46315</v>
      </c>
      <c r="F375" t="inlineStr">
        <is>
          <t>VÄSTERBOTTENS LÄN</t>
        </is>
      </c>
      <c r="G375" t="inlineStr">
        <is>
          <t>NORDMALING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45775</v>
      </c>
      <c r="E376" s="1" t="n">
        <v>46315</v>
      </c>
      <c r="F376" t="inlineStr">
        <is>
          <t>VÄSTERBOTTENS LÄN</t>
        </is>
      </c>
      <c r="G376" t="inlineStr">
        <is>
          <t>NORDMALING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45775</v>
      </c>
      <c r="E377" s="1" t="n">
        <v>46315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46315</v>
      </c>
      <c r="F378" t="inlineStr">
        <is>
          <t>VÄSTERBOTTENS LÄN</t>
        </is>
      </c>
      <c r="G378" t="inlineStr">
        <is>
          <t>NORDMALING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46315</v>
      </c>
      <c r="F379" t="inlineStr">
        <is>
          <t>VÄSTERBOTTENS LÄN</t>
        </is>
      </c>
      <c r="G379" t="inlineStr">
        <is>
          <t>NORDMALING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46315</v>
      </c>
      <c r="F380" t="inlineStr">
        <is>
          <t>VÄSTERBOTTENS LÄN</t>
        </is>
      </c>
      <c r="G380" t="inlineStr">
        <is>
          <t>NORDMALING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45237</v>
      </c>
      <c r="E381" s="1" t="n">
        <v>46315</v>
      </c>
      <c r="F381" t="inlineStr">
        <is>
          <t>VÄSTERBOTTENS LÄN</t>
        </is>
      </c>
      <c r="G381" t="inlineStr">
        <is>
          <t>NORDMALING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46315</v>
      </c>
      <c r="F382" t="inlineStr">
        <is>
          <t>VÄSTERBOTTENS LÄN</t>
        </is>
      </c>
      <c r="G382" t="inlineStr">
        <is>
          <t>NORDMALING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46315</v>
      </c>
      <c r="F383" t="inlineStr">
        <is>
          <t>VÄSTERBOTTENS LÄN</t>
        </is>
      </c>
      <c r="G383" t="inlineStr">
        <is>
          <t>NORDMALING</t>
        </is>
      </c>
      <c r="I383" t="n">
        <v>12.5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26796-2026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46185</v>
      </c>
      <c r="E384" s="1" t="n">
        <v>46315</v>
      </c>
      <c r="F384" t="inlineStr">
        <is>
          <t>VÄSTERBOTTENS LÄN</t>
        </is>
      </c>
      <c r="G384" t="inlineStr">
        <is>
          <t>NORDMALING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46315</v>
      </c>
      <c r="F385" t="inlineStr">
        <is>
          <t>VÄSTERBOTTENS LÄN</t>
        </is>
      </c>
      <c r="G385" t="inlineStr">
        <is>
          <t>NORDMALING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46315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45167</v>
      </c>
      <c r="E387" s="1" t="n">
        <v>46315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18639-2022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44687</v>
      </c>
      <c r="E388" s="1" t="n">
        <v>46315</v>
      </c>
      <c r="F388" t="inlineStr">
        <is>
          <t>VÄSTERBOTTENS LÄN</t>
        </is>
      </c>
      <c r="G388" t="inlineStr">
        <is>
          <t>NORDMALING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45665</v>
      </c>
      <c r="E389" s="1" t="n">
        <v>46315</v>
      </c>
      <c r="F389" t="inlineStr">
        <is>
          <t>VÄSTERBOTTENS LÄN</t>
        </is>
      </c>
      <c r="G389" t="inlineStr">
        <is>
          <t>NORDMALING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46315</v>
      </c>
      <c r="F390" t="inlineStr">
        <is>
          <t>VÄSTERBOTTENS LÄN</t>
        </is>
      </c>
      <c r="G390" t="inlineStr">
        <is>
          <t>NORDMALING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45158</v>
      </c>
      <c r="E391" s="1" t="n">
        <v>46315</v>
      </c>
      <c r="F391" t="inlineStr">
        <is>
          <t>VÄSTERBOTTENS LÄN</t>
        </is>
      </c>
      <c r="G391" t="inlineStr">
        <is>
          <t>NORDMALING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45770</v>
      </c>
      <c r="E392" s="1" t="n">
        <v>46315</v>
      </c>
      <c r="F392" t="inlineStr">
        <is>
          <t>VÄSTERBOTTENS LÄN</t>
        </is>
      </c>
      <c r="G392" t="inlineStr">
        <is>
          <t>NORDMALING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46315</v>
      </c>
      <c r="F393" t="inlineStr">
        <is>
          <t>VÄSTERBOTTENS LÄN</t>
        </is>
      </c>
      <c r="G393" t="inlineStr">
        <is>
          <t>NORDMALING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45326-2025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45922</v>
      </c>
      <c r="E394" s="1" t="n">
        <v>46315</v>
      </c>
      <c r="F394" t="inlineStr">
        <is>
          <t>VÄSTERBOTTENS LÄN</t>
        </is>
      </c>
      <c r="G394" t="inlineStr">
        <is>
          <t>NORDMALING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30009-2022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44756</v>
      </c>
      <c r="E395" s="1" t="n">
        <v>46315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61795-2023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45265</v>
      </c>
      <c r="E396" s="1" t="n">
        <v>46315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46315</v>
      </c>
      <c r="F397" t="inlineStr">
        <is>
          <t>VÄSTERBOTTENS LÄN</t>
        </is>
      </c>
      <c r="G397" t="inlineStr">
        <is>
          <t>NORDMALING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46315</v>
      </c>
      <c r="F398" t="inlineStr">
        <is>
          <t>VÄSTERBOTTENS LÄN</t>
        </is>
      </c>
      <c r="G398" t="inlineStr">
        <is>
          <t>NORDMALING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46315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46315</v>
      </c>
      <c r="F400" t="inlineStr">
        <is>
          <t>VÄSTERBOTTENS LÄN</t>
        </is>
      </c>
      <c r="G400" t="inlineStr">
        <is>
          <t>NORDMALING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46197</v>
      </c>
      <c r="E401" s="1" t="n">
        <v>46315</v>
      </c>
      <c r="F401" t="inlineStr">
        <is>
          <t>VÄSTERBOTTENS LÄN</t>
        </is>
      </c>
      <c r="G401" t="inlineStr">
        <is>
          <t>NORDMALING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46315</v>
      </c>
      <c r="F402" t="inlineStr">
        <is>
          <t>VÄSTERBOTTENS LÄN</t>
        </is>
      </c>
      <c r="G402" t="inlineStr">
        <is>
          <t>NORDMALING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46315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46315</v>
      </c>
      <c r="F404" t="inlineStr">
        <is>
          <t>VÄSTERBOTTENS LÄN</t>
        </is>
      </c>
      <c r="G404" t="inlineStr">
        <is>
          <t>NORDMALING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46315</v>
      </c>
      <c r="F405" t="inlineStr">
        <is>
          <t>VÄSTERBOTTENS LÄN</t>
        </is>
      </c>
      <c r="G405" t="inlineStr">
        <is>
          <t>NORDMALING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46315</v>
      </c>
      <c r="F406" t="inlineStr">
        <is>
          <t>VÄSTERBOTTENS LÄN</t>
        </is>
      </c>
      <c r="G406" t="inlineStr">
        <is>
          <t>NORDMALING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44902</v>
      </c>
      <c r="E407" s="1" t="n">
        <v>46315</v>
      </c>
      <c r="F407" t="inlineStr">
        <is>
          <t>VÄSTERBOTTENS LÄN</t>
        </is>
      </c>
      <c r="G407" t="inlineStr">
        <is>
          <t>NORDMALING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46315</v>
      </c>
      <c r="F408" t="inlineStr">
        <is>
          <t>VÄSTERBOTTENS LÄN</t>
        </is>
      </c>
      <c r="G408" t="inlineStr">
        <is>
          <t>NORDMALING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46315</v>
      </c>
      <c r="F409" t="inlineStr">
        <is>
          <t>VÄSTERBOTTENS LÄN</t>
        </is>
      </c>
      <c r="G409" t="inlineStr">
        <is>
          <t>NORDMALING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46315</v>
      </c>
      <c r="F410" t="inlineStr">
        <is>
          <t>VÄSTERBOTTENS LÄN</t>
        </is>
      </c>
      <c r="G410" t="inlineStr">
        <is>
          <t>NORDMALING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44938</v>
      </c>
      <c r="E411" s="1" t="n">
        <v>46315</v>
      </c>
      <c r="F411" t="inlineStr">
        <is>
          <t>VÄSTERBOTTENS LÄN</t>
        </is>
      </c>
      <c r="G411" t="inlineStr">
        <is>
          <t>NORDMALING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45736</v>
      </c>
      <c r="E412" s="1" t="n">
        <v>46315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42823-2024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45566</v>
      </c>
      <c r="E413" s="1" t="n">
        <v>46315</v>
      </c>
      <c r="F413" t="inlineStr">
        <is>
          <t>VÄSTERBOTTENS LÄN</t>
        </is>
      </c>
      <c r="G413" t="inlineStr">
        <is>
          <t>NORDMALING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46315</v>
      </c>
      <c r="F414" t="inlineStr">
        <is>
          <t>VÄSTERBOTTENS LÄN</t>
        </is>
      </c>
      <c r="G414" t="inlineStr">
        <is>
          <t>NORDMALING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46315</v>
      </c>
      <c r="F415" t="inlineStr">
        <is>
          <t>VÄSTERBOTTENS LÄN</t>
        </is>
      </c>
      <c r="G415" t="inlineStr">
        <is>
          <t>NORDMALING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46127</v>
      </c>
      <c r="E416" s="1" t="n">
        <v>46315</v>
      </c>
      <c r="F416" t="inlineStr">
        <is>
          <t>VÄSTERBOTTENS LÄN</t>
        </is>
      </c>
      <c r="G416" t="inlineStr">
        <is>
          <t>NORDMALING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45616</v>
      </c>
      <c r="E417" s="1" t="n">
        <v>46315</v>
      </c>
      <c r="F417" t="inlineStr">
        <is>
          <t>VÄSTERBOTTENS LÄN</t>
        </is>
      </c>
      <c r="G417" t="inlineStr">
        <is>
          <t>NORDMALING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46315</v>
      </c>
      <c r="F418" t="inlineStr">
        <is>
          <t>VÄSTERBOTTENS LÄN</t>
        </is>
      </c>
      <c r="G418" t="inlineStr">
        <is>
          <t>NORDMALING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18839-2026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46129</v>
      </c>
      <c r="E419" s="1" t="n">
        <v>46315</v>
      </c>
      <c r="F419" t="inlineStr">
        <is>
          <t>VÄSTERBOTTENS LÄN</t>
        </is>
      </c>
      <c r="G419" t="inlineStr">
        <is>
          <t>NORDMALING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8103-2025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45707</v>
      </c>
      <c r="E420" s="1" t="n">
        <v>46315</v>
      </c>
      <c r="F420" t="inlineStr">
        <is>
          <t>VÄSTERBOTTENS LÄN</t>
        </is>
      </c>
      <c r="G420" t="inlineStr">
        <is>
          <t>NORDMALING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46315</v>
      </c>
      <c r="F421" t="inlineStr">
        <is>
          <t>VÄSTERBOTTENS LÄN</t>
        </is>
      </c>
      <c r="G421" t="inlineStr">
        <is>
          <t>NORDMALING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46132</v>
      </c>
      <c r="E422" s="1" t="n">
        <v>46315</v>
      </c>
      <c r="F422" t="inlineStr">
        <is>
          <t>VÄSTERBOTTENS LÄN</t>
        </is>
      </c>
      <c r="G422" t="inlineStr">
        <is>
          <t>NORDMALING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46315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46315</v>
      </c>
      <c r="F424" t="inlineStr">
        <is>
          <t>VÄSTERBOTTENS LÄN</t>
        </is>
      </c>
      <c r="G424" t="inlineStr">
        <is>
          <t>NORDMALING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45505</v>
      </c>
      <c r="E425" s="1" t="n">
        <v>46315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46315</v>
      </c>
      <c r="F426" t="inlineStr">
        <is>
          <t>VÄSTERBOTTENS LÄN</t>
        </is>
      </c>
      <c r="G426" t="inlineStr">
        <is>
          <t>NORDMALING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46315</v>
      </c>
      <c r="F427" t="inlineStr">
        <is>
          <t>VÄSTERBOTTENS LÄN</t>
        </is>
      </c>
      <c r="G427" t="inlineStr">
        <is>
          <t>NORDMALING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46315</v>
      </c>
      <c r="F428" t="inlineStr">
        <is>
          <t>VÄSTERBOTTENS LÄN</t>
        </is>
      </c>
      <c r="G428" t="inlineStr">
        <is>
          <t>NORDMALING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45536</v>
      </c>
      <c r="E429" s="1" t="n">
        <v>46315</v>
      </c>
      <c r="F429" t="inlineStr">
        <is>
          <t>VÄSTERBOTTENS LÄN</t>
        </is>
      </c>
      <c r="G429" t="inlineStr">
        <is>
          <t>NORDMALING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46315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62159-2022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44922</v>
      </c>
      <c r="E431" s="1" t="n">
        <v>46315</v>
      </c>
      <c r="F431" t="inlineStr">
        <is>
          <t>VÄSTERBOTTENS LÄN</t>
        </is>
      </c>
      <c r="G431" t="inlineStr">
        <is>
          <t>NORDMALING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45433</v>
      </c>
      <c r="E432" s="1" t="n">
        <v>46315</v>
      </c>
      <c r="F432" t="inlineStr">
        <is>
          <t>VÄSTERBOTTENS LÄN</t>
        </is>
      </c>
      <c r="G432" t="inlineStr">
        <is>
          <t>NORDMALING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46315</v>
      </c>
      <c r="F433" t="inlineStr">
        <is>
          <t>VÄSTERBOTTENS LÄN</t>
        </is>
      </c>
      <c r="G433" t="inlineStr">
        <is>
          <t>NORDMALING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46315</v>
      </c>
      <c r="F434" t="inlineStr">
        <is>
          <t>VÄSTERBOTTENS LÄN</t>
        </is>
      </c>
      <c r="G434" t="inlineStr">
        <is>
          <t>NORDMALING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46315</v>
      </c>
      <c r="F435" t="inlineStr">
        <is>
          <t>VÄSTERBOTTENS LÄN</t>
        </is>
      </c>
      <c r="G435" t="inlineStr">
        <is>
          <t>NORDMALING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46315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46315</v>
      </c>
      <c r="F437" t="inlineStr">
        <is>
          <t>VÄSTERBOTTENS LÄN</t>
        </is>
      </c>
      <c r="G437" t="inlineStr">
        <is>
          <t>NORDMALING</t>
        </is>
      </c>
      <c r="I437" t="n">
        <v>8.699999999999999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46315</v>
      </c>
      <c r="F438" t="inlineStr">
        <is>
          <t>VÄSTERBOTTENS LÄN</t>
        </is>
      </c>
      <c r="G438" t="inlineStr">
        <is>
          <t>NORDMALING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46315</v>
      </c>
      <c r="F439" t="inlineStr">
        <is>
          <t>VÄSTERBOTTENS LÄN</t>
        </is>
      </c>
      <c r="G439" t="inlineStr">
        <is>
          <t>NORDMALING</t>
        </is>
      </c>
      <c r="I439" t="n">
        <v>16.1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37362-2025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46315</v>
      </c>
      <c r="F440" t="inlineStr">
        <is>
          <t>VÄSTERBOTTENS LÄN</t>
        </is>
      </c>
      <c r="G440" t="inlineStr">
        <is>
          <t>NORDMALING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46315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25018-2025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45799</v>
      </c>
      <c r="E442" s="1" t="n">
        <v>46315</v>
      </c>
      <c r="F442" t="inlineStr">
        <is>
          <t>VÄSTERBOTTENS LÄN</t>
        </is>
      </c>
      <c r="G442" t="inlineStr">
        <is>
          <t>NORDMALING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61657-2022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44916</v>
      </c>
      <c r="E443" s="1" t="n">
        <v>46315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46593-2025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46315</v>
      </c>
      <c r="F444" t="inlineStr">
        <is>
          <t>VÄSTERBOTTENS LÄN</t>
        </is>
      </c>
      <c r="G444" t="inlineStr">
        <is>
          <t>NORDMALING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46139</v>
      </c>
      <c r="E445" s="1" t="n">
        <v>46315</v>
      </c>
      <c r="F445" t="inlineStr">
        <is>
          <t>VÄSTERBOTTENS LÄN</t>
        </is>
      </c>
      <c r="G445" t="inlineStr">
        <is>
          <t>NORDMALING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46315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46315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46315</v>
      </c>
      <c r="F448" t="inlineStr">
        <is>
          <t>VÄSTERBOTTENS LÄN</t>
        </is>
      </c>
      <c r="G448" t="inlineStr">
        <is>
          <t>NORDMALING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44706</v>
      </c>
      <c r="E449" s="1" t="n">
        <v>46315</v>
      </c>
      <c r="F449" t="inlineStr">
        <is>
          <t>VÄSTERBOTTENS LÄN</t>
        </is>
      </c>
      <c r="G449" t="inlineStr">
        <is>
          <t>NORDMALING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45247</v>
      </c>
      <c r="E450" s="1" t="n">
        <v>46315</v>
      </c>
      <c r="F450" t="inlineStr">
        <is>
          <t>VÄSTERBOTTENS LÄN</t>
        </is>
      </c>
      <c r="G450" t="inlineStr">
        <is>
          <t>NORDMALING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58480-2023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45251</v>
      </c>
      <c r="E451" s="1" t="n">
        <v>46315</v>
      </c>
      <c r="F451" t="inlineStr">
        <is>
          <t>VÄSTERBOTTENS LÄN</t>
        </is>
      </c>
      <c r="G451" t="inlineStr">
        <is>
          <t>NORDMALING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45348</v>
      </c>
      <c r="E452" s="1" t="n">
        <v>46315</v>
      </c>
      <c r="F452" t="inlineStr">
        <is>
          <t>VÄSTERBOTTENS LÄN</t>
        </is>
      </c>
      <c r="G452" t="inlineStr">
        <is>
          <t>NORDMALING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7007-2024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45343</v>
      </c>
      <c r="E453" s="1" t="n">
        <v>46315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Kommuner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46315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46315</v>
      </c>
      <c r="F455" t="inlineStr">
        <is>
          <t>VÄSTERBOTTENS LÄN</t>
        </is>
      </c>
      <c r="G455" t="inlineStr">
        <is>
          <t>NORDMALING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9860-2022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46315</v>
      </c>
      <c r="F456" t="inlineStr">
        <is>
          <t>VÄSTERBOTTENS LÄN</t>
        </is>
      </c>
      <c r="G456" t="inlineStr">
        <is>
          <t>NORDMALING</t>
        </is>
      </c>
      <c r="I456" t="n">
        <v>82.40000000000001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46315</v>
      </c>
      <c r="F457" t="inlineStr">
        <is>
          <t>VÄSTERBOTTENS LÄN</t>
        </is>
      </c>
      <c r="G457" t="inlineStr">
        <is>
          <t>NORDMALING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45034</v>
      </c>
      <c r="E458" s="1" t="n">
        <v>46315</v>
      </c>
      <c r="F458" t="inlineStr">
        <is>
          <t>VÄSTERBOTTENS LÄN</t>
        </is>
      </c>
      <c r="G458" t="inlineStr">
        <is>
          <t>NORDMALING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46136</v>
      </c>
      <c r="E459" s="1" t="n">
        <v>46315</v>
      </c>
      <c r="F459" t="inlineStr">
        <is>
          <t>VÄSTERBOTTENS LÄN</t>
        </is>
      </c>
      <c r="G459" t="inlineStr">
        <is>
          <t>NORDMALING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21079-2024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45439</v>
      </c>
      <c r="E460" s="1" t="n">
        <v>46315</v>
      </c>
      <c r="F460" t="inlineStr">
        <is>
          <t>VÄSTERBOTTENS LÄN</t>
        </is>
      </c>
      <c r="G460" t="inlineStr">
        <is>
          <t>NORDMALING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53986-2022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46315</v>
      </c>
      <c r="F461" t="inlineStr">
        <is>
          <t>VÄSTERBOTTENS LÄN</t>
        </is>
      </c>
      <c r="G461" t="inlineStr">
        <is>
          <t>NORDMALING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48632-2025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45936</v>
      </c>
      <c r="E462" s="1" t="n">
        <v>46315</v>
      </c>
      <c r="F462" t="inlineStr">
        <is>
          <t>VÄSTERBOTTENS LÄN</t>
        </is>
      </c>
      <c r="G462" t="inlineStr">
        <is>
          <t>NORDMALING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46274</v>
      </c>
      <c r="E463" s="1" t="n">
        <v>46315</v>
      </c>
      <c r="F463" t="inlineStr">
        <is>
          <t>VÄSTERBOTTENS LÄN</t>
        </is>
      </c>
      <c r="G463" t="inlineStr">
        <is>
          <t>NORDMALING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45673</v>
      </c>
      <c r="E464" s="1" t="n">
        <v>46315</v>
      </c>
      <c r="F464" t="inlineStr">
        <is>
          <t>VÄSTERBOTTENS LÄN</t>
        </is>
      </c>
      <c r="G464" t="inlineStr">
        <is>
          <t>NORDMALING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26197-2022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44735</v>
      </c>
      <c r="E465" s="1" t="n">
        <v>46315</v>
      </c>
      <c r="F465" t="inlineStr">
        <is>
          <t>VÄSTERBOTTENS LÄN</t>
        </is>
      </c>
      <c r="G465" t="inlineStr">
        <is>
          <t>NORDMALING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37344-2026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46275</v>
      </c>
      <c r="E466" s="1" t="n">
        <v>46315</v>
      </c>
      <c r="F466" t="inlineStr">
        <is>
          <t>VÄSTERBOTTENS LÄN</t>
        </is>
      </c>
      <c r="G466" t="inlineStr">
        <is>
          <t>NORDMALING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46315</v>
      </c>
      <c r="F467" t="inlineStr">
        <is>
          <t>VÄSTERBOTTENS LÄN</t>
        </is>
      </c>
      <c r="G467" t="inlineStr">
        <is>
          <t>NORDMALING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46275</v>
      </c>
      <c r="E468" s="1" t="n">
        <v>46315</v>
      </c>
      <c r="F468" t="inlineStr">
        <is>
          <t>VÄSTERBOTTENS LÄN</t>
        </is>
      </c>
      <c r="G468" t="inlineStr">
        <is>
          <t>NORDMALING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44859</v>
      </c>
      <c r="E469" s="1" t="n">
        <v>46315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14689-2025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45742</v>
      </c>
      <c r="E470" s="1" t="n">
        <v>46315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45021</v>
      </c>
      <c r="E471" s="1" t="n">
        <v>46315</v>
      </c>
      <c r="F471" t="inlineStr">
        <is>
          <t>VÄSTERBOTTENS LÄN</t>
        </is>
      </c>
      <c r="G471" t="inlineStr">
        <is>
          <t>NORDMALING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46237</v>
      </c>
      <c r="E472" s="1" t="n">
        <v>46315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27370-2023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45096</v>
      </c>
      <c r="E473" s="1" t="n">
        <v>46315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37709-2026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46315</v>
      </c>
      <c r="F474" t="inlineStr">
        <is>
          <t>VÄSTERBOTTENS LÄN</t>
        </is>
      </c>
      <c r="G474" t="inlineStr">
        <is>
          <t>NORDMALING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46280</v>
      </c>
      <c r="E475" s="1" t="n">
        <v>46315</v>
      </c>
      <c r="F475" t="inlineStr">
        <is>
          <t>VÄSTERBOTTENS LÄN</t>
        </is>
      </c>
      <c r="G475" t="inlineStr">
        <is>
          <t>NORDMALING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46239</v>
      </c>
      <c r="E476" s="1" t="n">
        <v>46315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Kyrkan</t>
        </is>
      </c>
      <c r="I476" t="n">
        <v>9.699999999999999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55810-2022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44888</v>
      </c>
      <c r="E477" s="1" t="n">
        <v>46315</v>
      </c>
      <c r="F477" t="inlineStr">
        <is>
          <t>VÄSTERBOTTENS LÄN</t>
        </is>
      </c>
      <c r="G477" t="inlineStr">
        <is>
          <t>NORDMALING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44972</v>
      </c>
      <c r="E478" s="1" t="n">
        <v>46315</v>
      </c>
      <c r="F478" t="inlineStr">
        <is>
          <t>VÄSTERBOTTENS LÄN</t>
        </is>
      </c>
      <c r="G478" t="inlineStr">
        <is>
          <t>NORDMALING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45608</v>
      </c>
      <c r="E479" s="1" t="n">
        <v>46315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46239</v>
      </c>
      <c r="E480" s="1" t="n">
        <v>46315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Kyrkan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45517</v>
      </c>
      <c r="E481" s="1" t="n">
        <v>46315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Holmen skog AB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45435</v>
      </c>
      <c r="E482" s="1" t="n">
        <v>46315</v>
      </c>
      <c r="F482" t="inlineStr">
        <is>
          <t>VÄSTERBOTTENS LÄN</t>
        </is>
      </c>
      <c r="G482" t="inlineStr">
        <is>
          <t>NORDMALING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45407</v>
      </c>
      <c r="E483" s="1" t="n">
        <v>46315</v>
      </c>
      <c r="F483" t="inlineStr">
        <is>
          <t>VÄSTERBOTTENS LÄN</t>
        </is>
      </c>
      <c r="G483" t="inlineStr">
        <is>
          <t>NORDMALING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45754</v>
      </c>
      <c r="E484" s="1" t="n">
        <v>46315</v>
      </c>
      <c r="F484" t="inlineStr">
        <is>
          <t>VÄSTERBOTTENS LÄN</t>
        </is>
      </c>
      <c r="G484" t="inlineStr">
        <is>
          <t>NORDMALING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38871-2026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46315</v>
      </c>
      <c r="F485" t="inlineStr">
        <is>
          <t>VÄSTERBOTTENS LÄN</t>
        </is>
      </c>
      <c r="G485" t="inlineStr">
        <is>
          <t>NORDMALING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46315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46315</v>
      </c>
      <c r="F487" t="inlineStr">
        <is>
          <t>VÄSTERBOTTENS LÄN</t>
        </is>
      </c>
      <c r="G487" t="inlineStr">
        <is>
          <t>NORDMALING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46315</v>
      </c>
      <c r="F488" t="inlineStr">
        <is>
          <t>VÄSTERBOTTENS LÄN</t>
        </is>
      </c>
      <c r="G488" t="inlineStr">
        <is>
          <t>NORDMALING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46315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46315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44387-2023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45188</v>
      </c>
      <c r="E491" s="1" t="n">
        <v>46315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46315</v>
      </c>
      <c r="F492" t="inlineStr">
        <is>
          <t>VÄSTERBOTTENS LÄN</t>
        </is>
      </c>
      <c r="G492" t="inlineStr">
        <is>
          <t>NORDMALING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46315</v>
      </c>
      <c r="F493" t="inlineStr">
        <is>
          <t>VÄSTERBOTTENS LÄN</t>
        </is>
      </c>
      <c r="G493" t="inlineStr">
        <is>
          <t>NORDMALING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46315</v>
      </c>
      <c r="F494" t="inlineStr">
        <is>
          <t>VÄSTERBOTTENS LÄN</t>
        </is>
      </c>
      <c r="G494" t="inlineStr">
        <is>
          <t>NORDMALING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46315</v>
      </c>
      <c r="F495" t="inlineStr">
        <is>
          <t>VÄSTERBOTTENS LÄN</t>
        </is>
      </c>
      <c r="G495" t="inlineStr">
        <is>
          <t>NORDMALING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46315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46315</v>
      </c>
      <c r="F497" t="inlineStr">
        <is>
          <t>VÄSTERBOTTENS LÄN</t>
        </is>
      </c>
      <c r="G497" t="inlineStr">
        <is>
          <t>NORDMALING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32905-2026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46315</v>
      </c>
      <c r="F498" t="inlineStr">
        <is>
          <t>VÄSTERBOTTENS LÄN</t>
        </is>
      </c>
      <c r="G498" t="inlineStr">
        <is>
          <t>NORDMALING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46266</v>
      </c>
      <c r="E499" s="1" t="n">
        <v>46315</v>
      </c>
      <c r="F499" t="inlineStr">
        <is>
          <t>VÄSTERBOTTENS LÄN</t>
        </is>
      </c>
      <c r="G499" t="inlineStr">
        <is>
          <t>NORDMALING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46315</v>
      </c>
      <c r="F500" t="inlineStr">
        <is>
          <t>VÄSTERBOTTENS LÄN</t>
        </is>
      </c>
      <c r="G500" t="inlineStr">
        <is>
          <t>NORDMALING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46315</v>
      </c>
      <c r="F501" t="inlineStr">
        <is>
          <t>VÄSTERBOTTENS LÄN</t>
        </is>
      </c>
      <c r="G501" t="inlineStr">
        <is>
          <t>NORDMALING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33343-2022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44788</v>
      </c>
      <c r="E502" s="1" t="n">
        <v>46315</v>
      </c>
      <c r="F502" t="inlineStr">
        <is>
          <t>VÄSTERBOTTENS LÄN</t>
        </is>
      </c>
      <c r="G502" t="inlineStr">
        <is>
          <t>NORDMALING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46315</v>
      </c>
      <c r="F503" t="inlineStr">
        <is>
          <t>VÄSTERBOTTENS LÄN</t>
        </is>
      </c>
      <c r="G503" t="inlineStr">
        <is>
          <t>NORDMALING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33164-2026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46315</v>
      </c>
      <c r="F504" t="inlineStr">
        <is>
          <t>VÄSTERBOTTENS LÄN</t>
        </is>
      </c>
      <c r="G504" t="inlineStr">
        <is>
          <t>NORDMALING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46245</v>
      </c>
      <c r="E505" s="1" t="n">
        <v>46315</v>
      </c>
      <c r="F505" t="inlineStr">
        <is>
          <t>VÄSTERBOTTENS LÄN</t>
        </is>
      </c>
      <c r="G505" t="inlineStr">
        <is>
          <t>NORDMALING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46315</v>
      </c>
      <c r="F506" t="inlineStr">
        <is>
          <t>VÄSTERBOTTENS LÄN</t>
        </is>
      </c>
      <c r="G506" t="inlineStr">
        <is>
          <t>NORDMALING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46315</v>
      </c>
      <c r="F507" t="inlineStr">
        <is>
          <t>VÄSTERBOTTENS LÄN</t>
        </is>
      </c>
      <c r="G507" t="inlineStr">
        <is>
          <t>NORDMALING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46315</v>
      </c>
      <c r="F508" t="inlineStr">
        <is>
          <t>VÄSTERBOTTENS LÄN</t>
        </is>
      </c>
      <c r="G508" t="inlineStr">
        <is>
          <t>NORDMALING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46315</v>
      </c>
      <c r="F509" t="inlineStr">
        <is>
          <t>VÄSTERBOTTENS LÄN</t>
        </is>
      </c>
      <c r="G509" t="inlineStr">
        <is>
          <t>NORDMALING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46315</v>
      </c>
      <c r="F510" t="inlineStr">
        <is>
          <t>VÄSTERBOTTENS LÄN</t>
        </is>
      </c>
      <c r="G510" t="inlineStr">
        <is>
          <t>NORDMALING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46315</v>
      </c>
      <c r="F511" t="inlineStr">
        <is>
          <t>VÄSTERBOTTENS LÄN</t>
        </is>
      </c>
      <c r="G511" t="inlineStr">
        <is>
          <t>NORDMALING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39162-2026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46287</v>
      </c>
      <c r="E512" s="1" t="n">
        <v>46315</v>
      </c>
      <c r="F512" t="inlineStr">
        <is>
          <t>VÄSTERBOTTENS LÄN</t>
        </is>
      </c>
      <c r="G512" t="inlineStr">
        <is>
          <t>NORDMALING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46315</v>
      </c>
      <c r="F513" t="inlineStr">
        <is>
          <t>VÄSTERBOTTENS LÄN</t>
        </is>
      </c>
      <c r="G513" t="inlineStr">
        <is>
          <t>NORDMALING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46244</v>
      </c>
      <c r="E514" s="1" t="n">
        <v>46315</v>
      </c>
      <c r="F514" t="inlineStr">
        <is>
          <t>VÄSTERBOTTENS LÄN</t>
        </is>
      </c>
      <c r="G514" t="inlineStr">
        <is>
          <t>NORDMALING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33008-2026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46315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46287</v>
      </c>
      <c r="E516" s="1" t="n">
        <v>46315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44968</v>
      </c>
      <c r="E517" s="1" t="n">
        <v>46315</v>
      </c>
      <c r="F517" t="inlineStr">
        <is>
          <t>VÄSTERBOTTENS LÄN</t>
        </is>
      </c>
      <c r="G517" t="inlineStr">
        <is>
          <t>NORDMALING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24850-2023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45078</v>
      </c>
      <c r="E518" s="1" t="n">
        <v>46315</v>
      </c>
      <c r="F518" t="inlineStr">
        <is>
          <t>VÄSTERBOTTENS LÄN</t>
        </is>
      </c>
      <c r="G518" t="inlineStr">
        <is>
          <t>NORDMALING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46315</v>
      </c>
      <c r="F519" t="inlineStr">
        <is>
          <t>VÄSTERBOTTENS LÄN</t>
        </is>
      </c>
      <c r="G519" t="inlineStr">
        <is>
          <t>NORDMALING</t>
        </is>
      </c>
      <c r="I519" t="n">
        <v>8.5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39647-2026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46289</v>
      </c>
      <c r="E520" s="1" t="n">
        <v>46315</v>
      </c>
      <c r="F520" t="inlineStr">
        <is>
          <t>VÄSTERBOTTENS LÄN</t>
        </is>
      </c>
      <c r="G520" t="inlineStr">
        <is>
          <t>NORDMALING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45665</v>
      </c>
      <c r="E521" s="1" t="n">
        <v>46315</v>
      </c>
      <c r="F521" t="inlineStr">
        <is>
          <t>VÄSTERBOTTENS LÄN</t>
        </is>
      </c>
      <c r="G521" t="inlineStr">
        <is>
          <t>NORDMALING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46315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45676</v>
      </c>
      <c r="E523" s="1" t="n">
        <v>46315</v>
      </c>
      <c r="F523" t="inlineStr">
        <is>
          <t>VÄSTERBOTTENS LÄN</t>
        </is>
      </c>
      <c r="G523" t="inlineStr">
        <is>
          <t>NORDMALING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46293</v>
      </c>
      <c r="E524" s="1" t="n">
        <v>46315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45713</v>
      </c>
      <c r="E525" s="1" t="n">
        <v>46315</v>
      </c>
      <c r="F525" t="inlineStr">
        <is>
          <t>VÄSTERBOTTENS LÄN</t>
        </is>
      </c>
      <c r="G525" t="inlineStr">
        <is>
          <t>NORDMALING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46315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Sveaskog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56277-2023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45241</v>
      </c>
      <c r="E527" s="1" t="n">
        <v>46315</v>
      </c>
      <c r="F527" t="inlineStr">
        <is>
          <t>VÄSTERBOTTENS LÄN</t>
        </is>
      </c>
      <c r="G527" t="inlineStr">
        <is>
          <t>NORDMALING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43491-2024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45568</v>
      </c>
      <c r="E528" s="1" t="n">
        <v>46315</v>
      </c>
      <c r="F528" t="inlineStr">
        <is>
          <t>VÄSTERBOTTENS LÄN</t>
        </is>
      </c>
      <c r="G528" t="inlineStr">
        <is>
          <t>NORDMALING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43492-2024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45568</v>
      </c>
      <c r="E529" s="1" t="n">
        <v>46315</v>
      </c>
      <c r="F529" t="inlineStr">
        <is>
          <t>VÄSTERBOTTENS LÄN</t>
        </is>
      </c>
      <c r="G529" t="inlineStr">
        <is>
          <t>NORDMALING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46315</v>
      </c>
      <c r="F530" t="inlineStr">
        <is>
          <t>VÄSTERBOTTENS LÄN</t>
        </is>
      </c>
      <c r="G530" t="inlineStr">
        <is>
          <t>NORDMALING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46315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46315</v>
      </c>
      <c r="F532" t="inlineStr">
        <is>
          <t>VÄSTERBOTTENS LÄN</t>
        </is>
      </c>
      <c r="G532" t="inlineStr">
        <is>
          <t>NORDMALING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46295</v>
      </c>
      <c r="E533" s="1" t="n">
        <v>46315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40583-2026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46295</v>
      </c>
      <c r="E534" s="1" t="n">
        <v>46315</v>
      </c>
      <c r="F534" t="inlineStr">
        <is>
          <t>VÄSTERBOTTENS LÄN</t>
        </is>
      </c>
      <c r="G534" t="inlineStr">
        <is>
          <t>NORDMALING</t>
        </is>
      </c>
      <c r="H534" t="inlineStr">
        <is>
          <t>SCA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45664</v>
      </c>
      <c r="E535" s="1" t="n">
        <v>46315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46315</v>
      </c>
      <c r="F536" t="inlineStr">
        <is>
          <t>VÄSTERBOTTENS LÄN</t>
        </is>
      </c>
      <c r="G536" t="inlineStr">
        <is>
          <t>NORDMALING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45764</v>
      </c>
      <c r="E537" s="1" t="n">
        <v>46315</v>
      </c>
      <c r="F537" t="inlineStr">
        <is>
          <t>VÄSTERBOTTENS LÄN</t>
        </is>
      </c>
      <c r="G537" t="inlineStr">
        <is>
          <t>NORDMALING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46315</v>
      </c>
      <c r="F538" t="inlineStr">
        <is>
          <t>VÄSTERBOTTENS LÄN</t>
        </is>
      </c>
      <c r="G538" t="inlineStr">
        <is>
          <t>NORDMALING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46315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45030</v>
      </c>
      <c r="E540" s="1" t="n">
        <v>46315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46315</v>
      </c>
      <c r="F541" t="inlineStr">
        <is>
          <t>VÄSTERBOTTENS LÄN</t>
        </is>
      </c>
      <c r="G541" t="inlineStr">
        <is>
          <t>NORDMALING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46315</v>
      </c>
      <c r="F542" t="inlineStr">
        <is>
          <t>VÄSTERBOTTENS LÄN</t>
        </is>
      </c>
      <c r="G542" t="inlineStr">
        <is>
          <t>NORDMALING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45783</v>
      </c>
      <c r="E543" s="1" t="n">
        <v>46315</v>
      </c>
      <c r="F543" t="inlineStr">
        <is>
          <t>VÄSTERBOTTENS LÄN</t>
        </is>
      </c>
      <c r="G543" t="inlineStr">
        <is>
          <t>NORDMALING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45783</v>
      </c>
      <c r="E544" s="1" t="n">
        <v>46315</v>
      </c>
      <c r="F544" t="inlineStr">
        <is>
          <t>VÄSTERBOTTENS LÄN</t>
        </is>
      </c>
      <c r="G544" t="inlineStr">
        <is>
          <t>NORDMALING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61616-2023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45261</v>
      </c>
      <c r="E545" s="1" t="n">
        <v>46315</v>
      </c>
      <c r="F545" t="inlineStr">
        <is>
          <t>VÄSTERBOTTENS LÄN</t>
        </is>
      </c>
      <c r="G545" t="inlineStr">
        <is>
          <t>NORDMALING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45603</v>
      </c>
      <c r="E546" s="1" t="n">
        <v>46315</v>
      </c>
      <c r="F546" t="inlineStr">
        <is>
          <t>VÄSTERBOTTENS LÄN</t>
        </is>
      </c>
      <c r="G546" t="inlineStr">
        <is>
          <t>NORDMALING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46315</v>
      </c>
      <c r="F547" t="inlineStr">
        <is>
          <t>VÄSTERBOTTENS LÄN</t>
        </is>
      </c>
      <c r="G547" t="inlineStr">
        <is>
          <t>NORDMALING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23029-2025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45790</v>
      </c>
      <c r="E548" s="1" t="n">
        <v>46315</v>
      </c>
      <c r="F548" t="inlineStr">
        <is>
          <t>VÄSTERBOTTENS LÄN</t>
        </is>
      </c>
      <c r="G548" t="inlineStr">
        <is>
          <t>NORDMALING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46315</v>
      </c>
      <c r="F549" t="inlineStr">
        <is>
          <t>VÄSTERBOTTENS LÄN</t>
        </is>
      </c>
      <c r="G549" t="inlineStr">
        <is>
          <t>NORDMALING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46315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22739-2025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45789</v>
      </c>
      <c r="E551" s="1" t="n">
        <v>46315</v>
      </c>
      <c r="F551" t="inlineStr">
        <is>
          <t>VÄSTERBOTTENS LÄN</t>
        </is>
      </c>
      <c r="G551" t="inlineStr">
        <is>
          <t>NORDMALING</t>
        </is>
      </c>
      <c r="I551" t="n">
        <v>11.9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22955-2025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45790</v>
      </c>
      <c r="E552" s="1" t="n">
        <v>46315</v>
      </c>
      <c r="F552" t="inlineStr">
        <is>
          <t>VÄSTERBOTTENS LÄN</t>
        </is>
      </c>
      <c r="G552" t="inlineStr">
        <is>
          <t>NORDMALING</t>
        </is>
      </c>
      <c r="I552" t="n">
        <v>20.3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45790</v>
      </c>
      <c r="E553" s="1" t="n">
        <v>46315</v>
      </c>
      <c r="F553" t="inlineStr">
        <is>
          <t>VÄSTERBOTTENS LÄN</t>
        </is>
      </c>
      <c r="G553" t="inlineStr">
        <is>
          <t>NORDMALING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46315</v>
      </c>
      <c r="F554" t="inlineStr">
        <is>
          <t>VÄSTERBOTTENS LÄN</t>
        </is>
      </c>
      <c r="G554" t="inlineStr">
        <is>
          <t>NORDMALING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46315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Kyrkan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34876-2026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46315</v>
      </c>
      <c r="F556" t="inlineStr">
        <is>
          <t>VÄSTERBOTTENS LÄN</t>
        </is>
      </c>
      <c r="G556" t="inlineStr">
        <is>
          <t>NORDMALING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46315</v>
      </c>
      <c r="F557" t="inlineStr">
        <is>
          <t>VÄSTERBOTTENS LÄN</t>
        </is>
      </c>
      <c r="G557" t="inlineStr">
        <is>
          <t>NORDMALING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46315</v>
      </c>
      <c r="F558" t="inlineStr">
        <is>
          <t>VÄSTERBOTTENS LÄN</t>
        </is>
      </c>
      <c r="G558" t="inlineStr">
        <is>
          <t>NORDMALING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45796</v>
      </c>
      <c r="E559" s="1" t="n">
        <v>46315</v>
      </c>
      <c r="F559" t="inlineStr">
        <is>
          <t>VÄSTERBOTTENS LÄN</t>
        </is>
      </c>
      <c r="G559" t="inlineStr">
        <is>
          <t>NORDMALING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46315</v>
      </c>
      <c r="F560" t="inlineStr">
        <is>
          <t>VÄSTERBOTTENS LÄN</t>
        </is>
      </c>
      <c r="G560" t="inlineStr">
        <is>
          <t>NORDMALING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46315</v>
      </c>
      <c r="F561" t="inlineStr">
        <is>
          <t>VÄSTERBOTTENS LÄN</t>
        </is>
      </c>
      <c r="G561" t="inlineStr">
        <is>
          <t>NORDMALING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46315</v>
      </c>
      <c r="F562" t="inlineStr">
        <is>
          <t>VÄSTERBOTTENS LÄN</t>
        </is>
      </c>
      <c r="G562" t="inlineStr">
        <is>
          <t>NORDMALING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25074-2025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45799</v>
      </c>
      <c r="E563" s="1" t="n">
        <v>46315</v>
      </c>
      <c r="F563" t="inlineStr">
        <is>
          <t>VÄSTERBOTTENS LÄN</t>
        </is>
      </c>
      <c r="G563" t="inlineStr">
        <is>
          <t>NORDMALING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42161-2026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46315</v>
      </c>
      <c r="F564" t="inlineStr">
        <is>
          <t>VÄSTERBOTTENS LÄN</t>
        </is>
      </c>
      <c r="G564" t="inlineStr">
        <is>
          <t>NORDMALING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55627-2023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46315</v>
      </c>
      <c r="F565" t="inlineStr">
        <is>
          <t>VÄSTERBOTTENS LÄN</t>
        </is>
      </c>
      <c r="G565" t="inlineStr">
        <is>
          <t>NORDMALING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42369-2026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46307</v>
      </c>
      <c r="E566" s="1" t="n">
        <v>46315</v>
      </c>
      <c r="F566" t="inlineStr">
        <is>
          <t>VÄSTERBOTTENS LÄN</t>
        </is>
      </c>
      <c r="G566" t="inlineStr">
        <is>
          <t>NORDMALING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45688</v>
      </c>
      <c r="E567" s="1" t="n">
        <v>46315</v>
      </c>
      <c r="F567" t="inlineStr">
        <is>
          <t>VÄSTERBOTTENS LÄN</t>
        </is>
      </c>
      <c r="G567" t="inlineStr">
        <is>
          <t>NORDMALING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46315</v>
      </c>
      <c r="F568" t="inlineStr">
        <is>
          <t>VÄSTERBOTTENS LÄN</t>
        </is>
      </c>
      <c r="G568" t="inlineStr">
        <is>
          <t>NORDMALING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51695-2024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46315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35566-2026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46262</v>
      </c>
      <c r="E570" s="1" t="n">
        <v>46315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Kyrkan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35548-2026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46262</v>
      </c>
      <c r="E571" s="1" t="n">
        <v>46315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Kyrkan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42425-2026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46308</v>
      </c>
      <c r="E572" s="1" t="n">
        <v>46315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35843-2026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46315</v>
      </c>
      <c r="F573" t="inlineStr">
        <is>
          <t>VÄSTERBOTTENS LÄN</t>
        </is>
      </c>
      <c r="G573" t="inlineStr">
        <is>
          <t>NORDMALING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46265</v>
      </c>
      <c r="E574" s="1" t="n">
        <v>46315</v>
      </c>
      <c r="F574" t="inlineStr">
        <is>
          <t>VÄSTERBOTTENS LÄN</t>
        </is>
      </c>
      <c r="G574" t="inlineStr">
        <is>
          <t>NORDMALING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46309</v>
      </c>
      <c r="E575" s="1" t="n">
        <v>46315</v>
      </c>
      <c r="F575" t="inlineStr">
        <is>
          <t>VÄSTERBOTTENS LÄN</t>
        </is>
      </c>
      <c r="G575" t="inlineStr">
        <is>
          <t>NORDMALING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46263</v>
      </c>
      <c r="E576" s="1" t="n">
        <v>46315</v>
      </c>
      <c r="F576" t="inlineStr">
        <is>
          <t>VÄSTERBOTTENS LÄN</t>
        </is>
      </c>
      <c r="G576" t="inlineStr">
        <is>
          <t>NORDMALING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29576-2025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46315</v>
      </c>
      <c r="F577" t="inlineStr">
        <is>
          <t>VÄSTERBOTTENS LÄN</t>
        </is>
      </c>
      <c r="G577" t="inlineStr">
        <is>
          <t>NORDMALING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46309</v>
      </c>
      <c r="E578" s="1" t="n">
        <v>46315</v>
      </c>
      <c r="F578" t="inlineStr">
        <is>
          <t>VÄSTERBOTTENS LÄN</t>
        </is>
      </c>
      <c r="G578" t="inlineStr">
        <is>
          <t>NORDMALING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29606-2025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45825</v>
      </c>
      <c r="E579" s="1" t="n">
        <v>46315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46315</v>
      </c>
      <c r="F580" t="inlineStr">
        <is>
          <t>VÄSTERBOTTENS LÄN</t>
        </is>
      </c>
      <c r="G580" t="inlineStr">
        <is>
          <t>NORDMALING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42929-2026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46310</v>
      </c>
      <c r="E581" s="1" t="n">
        <v>46315</v>
      </c>
      <c r="F581" t="inlineStr">
        <is>
          <t>VÄSTERBOTTENS LÄN</t>
        </is>
      </c>
      <c r="G581" t="inlineStr">
        <is>
          <t>NORDMALING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46315</v>
      </c>
      <c r="F582" t="inlineStr">
        <is>
          <t>VÄSTERBOTTENS LÄN</t>
        </is>
      </c>
      <c r="G582" t="inlineStr">
        <is>
          <t>NORDMALING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46315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46315</v>
      </c>
      <c r="F584" t="inlineStr">
        <is>
          <t>VÄSTERBOTTENS LÄN</t>
        </is>
      </c>
      <c r="G584" t="inlineStr">
        <is>
          <t>NORDMALING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46266</v>
      </c>
      <c r="E585" s="1" t="n">
        <v>46315</v>
      </c>
      <c r="F585" t="inlineStr">
        <is>
          <t>VÄSTERBOTTENS LÄN</t>
        </is>
      </c>
      <c r="G585" t="inlineStr">
        <is>
          <t>NORDMALING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36094-2026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46267</v>
      </c>
      <c r="E586" s="1" t="n">
        <v>46315</v>
      </c>
      <c r="F586" t="inlineStr">
        <is>
          <t>VÄSTERBOTTENS LÄN</t>
        </is>
      </c>
      <c r="G586" t="inlineStr">
        <is>
          <t>NORDMALING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46267</v>
      </c>
      <c r="E587" s="1" t="n">
        <v>46315</v>
      </c>
      <c r="F587" t="inlineStr">
        <is>
          <t>VÄSTERBOTTENS LÄN</t>
        </is>
      </c>
      <c r="G587" t="inlineStr">
        <is>
          <t>NORDMALING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32575-2025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46315</v>
      </c>
      <c r="F588" t="inlineStr">
        <is>
          <t>VÄSTERBOTTENS LÄN</t>
        </is>
      </c>
      <c r="G588" t="inlineStr">
        <is>
          <t>NORDMALING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45835</v>
      </c>
      <c r="E589" s="1" t="n">
        <v>46315</v>
      </c>
      <c r="F589" t="inlineStr">
        <is>
          <t>VÄSTERBOTTENS LÄN</t>
        </is>
      </c>
      <c r="G589" t="inlineStr">
        <is>
          <t>NORDMALING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33599-2025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45841</v>
      </c>
      <c r="E590" s="1" t="n">
        <v>46315</v>
      </c>
      <c r="F590" t="inlineStr">
        <is>
          <t>VÄSTERBOTTENS LÄN</t>
        </is>
      </c>
      <c r="G590" t="inlineStr">
        <is>
          <t>NORDMALING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33938-2025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45842</v>
      </c>
      <c r="E591" s="1" t="n">
        <v>46315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34601-2025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46315</v>
      </c>
      <c r="F592" t="inlineStr">
        <is>
          <t>VÄSTERBOTTENS LÄN</t>
        </is>
      </c>
      <c r="G592" t="inlineStr">
        <is>
          <t>NORDMALING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46274</v>
      </c>
      <c r="E593" s="1" t="n">
        <v>46315</v>
      </c>
      <c r="F593" t="inlineStr">
        <is>
          <t>VÄSTERBOTTENS LÄN</t>
        </is>
      </c>
      <c r="G593" t="inlineStr">
        <is>
          <t>NORDMALING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34804-2025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45849</v>
      </c>
      <c r="E594" s="1" t="n">
        <v>46315</v>
      </c>
      <c r="F594" t="inlineStr">
        <is>
          <t>VÄSTERBOTTENS LÄN</t>
        </is>
      </c>
      <c r="G594" t="inlineStr">
        <is>
          <t>NORDMALING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35057-2025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46315</v>
      </c>
      <c r="F595" t="inlineStr">
        <is>
          <t>VÄSTERBOTTENS LÄN</t>
        </is>
      </c>
      <c r="G595" t="inlineStr">
        <is>
          <t>NORDMALING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36847-2026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46315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45470</v>
      </c>
      <c r="E597" s="1" t="n">
        <v>46315</v>
      </c>
      <c r="F597" t="inlineStr">
        <is>
          <t>VÄSTERBOTTENS LÄN</t>
        </is>
      </c>
      <c r="G597" t="inlineStr">
        <is>
          <t>NORDMALING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36077-2025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45866</v>
      </c>
      <c r="E598" s="1" t="n">
        <v>46315</v>
      </c>
      <c r="F598" t="inlineStr">
        <is>
          <t>VÄSTERBOTTENS LÄN</t>
        </is>
      </c>
      <c r="G598" t="inlineStr">
        <is>
          <t>NORDMALING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46315</v>
      </c>
      <c r="F599" t="inlineStr">
        <is>
          <t>VÄSTERBOTTENS LÄN</t>
        </is>
      </c>
      <c r="G599" t="inlineStr">
        <is>
          <t>NORDMALING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20471-2025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46315</v>
      </c>
      <c r="F600" t="inlineStr">
        <is>
          <t>VÄSTERBOTTENS LÄN</t>
        </is>
      </c>
      <c r="G600" t="inlineStr">
        <is>
          <t>NORDMALING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46315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46315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3963-2024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45567</v>
      </c>
      <c r="E603" s="1" t="n">
        <v>46315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8278-2021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44489</v>
      </c>
      <c r="E604" s="1" t="n">
        <v>46315</v>
      </c>
      <c r="F604" t="inlineStr">
        <is>
          <t>VÄSTERBOTTENS LÄN</t>
        </is>
      </c>
      <c r="G604" t="inlineStr">
        <is>
          <t>NORDMALING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73-2025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45667</v>
      </c>
      <c r="E605" s="1" t="n">
        <v>46315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9259-2021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44517</v>
      </c>
      <c r="E606" s="1" t="n">
        <v>46315</v>
      </c>
      <c r="F606" t="inlineStr">
        <is>
          <t>VÄSTERBOTTENS LÄN</t>
        </is>
      </c>
      <c r="G606" t="inlineStr">
        <is>
          <t>NORDMALING</t>
        </is>
      </c>
      <c r="I606" t="n">
        <v>17.8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4194-2023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45250</v>
      </c>
      <c r="E607" s="1" t="n">
        <v>46315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27.6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5071-2024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45638</v>
      </c>
      <c r="E608" s="1" t="n">
        <v>46315</v>
      </c>
      <c r="F608" t="inlineStr">
        <is>
          <t>VÄSTERBOTTENS LÄN</t>
        </is>
      </c>
      <c r="G608" t="inlineStr">
        <is>
          <t>NORDMALING</t>
        </is>
      </c>
      <c r="I608" t="n">
        <v>19.9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1247-2025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46315</v>
      </c>
      <c r="F609" t="inlineStr">
        <is>
          <t>VÄSTERBOTTENS LÄN</t>
        </is>
      </c>
      <c r="G609" t="inlineStr">
        <is>
          <t>NORDMALING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46315</v>
      </c>
      <c r="F610" t="inlineStr">
        <is>
          <t>VÄSTERBOTTENS LÄN</t>
        </is>
      </c>
      <c r="G610" t="inlineStr">
        <is>
          <t>NORDMALING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46315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46315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46315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444-2026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46315</v>
      </c>
      <c r="F614" t="inlineStr">
        <is>
          <t>VÄSTERBOTTENS LÄN</t>
        </is>
      </c>
      <c r="G614" t="inlineStr">
        <is>
          <t>NORDMALING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1170-2026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46135</v>
      </c>
      <c r="E615" s="1" t="n">
        <v>46315</v>
      </c>
      <c r="F615" t="inlineStr">
        <is>
          <t>VÄSTERBOTTENS LÄN</t>
        </is>
      </c>
      <c r="G615" t="inlineStr">
        <is>
          <t>NORDMALING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1299-2026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46148</v>
      </c>
      <c r="E616" s="1" t="n">
        <v>46315</v>
      </c>
      <c r="F616" t="inlineStr">
        <is>
          <t>VÄSTERBOTTENS LÄN</t>
        </is>
      </c>
      <c r="G616" t="inlineStr">
        <is>
          <t>NORDMALING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2026-10-20T01:53:40Z</dcterms:created>
  <dcterms:modified xmlns:dcterms="http://purl.org/dc/terms/" xmlns:xsi="http://www.w3.org/2001/XMLSchema-instance" xsi:type="dcterms:W3CDTF">2026-10-20T01:53:41Z</dcterms:modified>
</cp:coreProperties>
</file>