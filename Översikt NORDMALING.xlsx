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46297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46297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46297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46297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46297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46297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46297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46297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46297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46297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46297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46297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46297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46297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46297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46297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46297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46297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46297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46297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46297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40519-2026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46295</v>
      </c>
      <c r="E28" s="1" t="n">
        <v>46297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31.7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8</v>
      </c>
      <c r="U28" t="n">
        <v>0</v>
      </c>
      <c r="V28" s="2" t="inlineStr">
        <is>
          <t>Blå taggsvamp
Dropptaggsvamp
Skarp dropptaggsvamp</t>
        </is>
      </c>
      <c r="W28">
        <f>HYPERLINK("https://klasma.github.io/Logging_2401/artfynd/A 40519-2026 artfynd.xlsx", "A 40519-2026")</f>
        <v/>
      </c>
      <c r="X28">
        <f>HYPERLINK("https://klasma.github.io/Logging_2401/kartor/A 40519-2026 karta.png", "A 40519-2026")</f>
        <v/>
      </c>
      <c r="Y28">
        <f>HYPERLINK("https://klasma.github.io/Logging_2401/kartor_geotiff/A 40519-2026 georefererad karta.tif", "A 40519-2026")</f>
        <v/>
      </c>
      <c r="AA28">
        <f>HYPERLINK("https://klasma.github.io/Logging_2401/klagomål/A 40519-2026 FSC-klagomål.docx", "A 40519-2026")</f>
        <v/>
      </c>
      <c r="AB28">
        <f>HYPERLINK("https://klasma.github.io/Logging_2401/klagomålsmail/A 40519-2026 FSC-klagomål mail.docx", "A 40519-2026")</f>
        <v/>
      </c>
      <c r="AC28">
        <f>HYPERLINK("https://klasma.github.io/Logging_2401/tillsyn/A 40519-2026 tillsynsbegäran.docx", "A 40519-2026")</f>
        <v/>
      </c>
      <c r="AD28">
        <f>HYPERLINK("https://klasma.github.io/Logging_2401/tillsynsmail/A 40519-2026 tillsynsbegäran mail.docx", "A 40519-2026")</f>
        <v/>
      </c>
    </row>
    <row r="29" ht="15" customHeight="1">
      <c r="A29" t="inlineStr">
        <is>
          <t>A 44443-2024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45574</v>
      </c>
      <c r="E29" s="1" t="n">
        <v>46297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1.5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Skrovlig taggsvamp
Gammelgransskål
Talltaggsvamp</t>
        </is>
      </c>
      <c r="W29">
        <f>HYPERLINK("https://klasma.github.io/Logging_2401/artfynd/A 44443-2024 artfynd.xlsx", "A 44443-2024")</f>
        <v/>
      </c>
      <c r="X29">
        <f>HYPERLINK("https://klasma.github.io/Logging_2401/kartor/A 44443-2024 karta.png", "A 44443-2024")</f>
        <v/>
      </c>
      <c r="Y29">
        <f>HYPERLINK("https://klasma.github.io/Logging_2401/kartor_geotiff/A 44443-2024 georefererad karta.tif", "A 44443-2024")</f>
        <v/>
      </c>
      <c r="AA29">
        <f>HYPERLINK("https://klasma.github.io/Logging_2401/klagomål/A 44443-2024 FSC-klagomål.docx", "A 44443-2024")</f>
        <v/>
      </c>
      <c r="AB29">
        <f>HYPERLINK("https://klasma.github.io/Logging_2401/klagomålsmail/A 44443-2024 FSC-klagomål mail.docx", "A 44443-2024")</f>
        <v/>
      </c>
      <c r="AC29">
        <f>HYPERLINK("https://klasma.github.io/Logging_2401/tillsyn/A 44443-2024 tillsynsbegäran.docx", "A 44443-2024")</f>
        <v/>
      </c>
      <c r="AD29">
        <f>HYPERLINK("https://klasma.github.io/Logging_2401/tillsynsmail/A 44443-2024 tillsynsbegäran mail.docx", "A 44443-2024")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46297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46297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Skinnlav</t>
        </is>
      </c>
      <c r="W32">
        <f>HYPERLINK("https://klasma.github.io/Logging_2401/artfynd/A 55632-2023 artfynd.xlsx", "A 55632-2023")</f>
        <v/>
      </c>
      <c r="X32">
        <f>HYPERLINK("https://klasma.github.io/Logging_2401/kartor/A 55632-2023 karta.png", "A 55632-2023")</f>
        <v/>
      </c>
      <c r="Y32">
        <f>HYPERLINK("https://klasma.github.io/Logging_2401/kartor_geotiff/A 55632-2023 georefererad karta.tif", "A 55632-2023")</f>
        <v/>
      </c>
      <c r="AA32">
        <f>HYPERLINK("https://klasma.github.io/Logging_2401/klagomål/A 55632-2023 FSC-klagomål.docx", "A 55632-2023")</f>
        <v/>
      </c>
      <c r="AB32">
        <f>HYPERLINK("https://klasma.github.io/Logging_2401/klagomålsmail/A 55632-2023 FSC-klagomål mail.docx", "A 55632-2023")</f>
        <v/>
      </c>
      <c r="AC32">
        <f>HYPERLINK("https://klasma.github.io/Logging_2401/tillsyn/A 55632-2023 tillsynsbegäran.docx", "A 55632-2023")</f>
        <v/>
      </c>
      <c r="AD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46297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46297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9012-2025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46297</v>
      </c>
      <c r="F36" t="inlineStr">
        <is>
          <t>VÄSTERBOTTENS LÄN</t>
        </is>
      </c>
      <c r="G36" t="inlineStr">
        <is>
          <t>NORDMALING</t>
        </is>
      </c>
      <c r="I36" t="n">
        <v>6.3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Talltita
Gråspett</t>
        </is>
      </c>
      <c r="W36">
        <f>HYPERLINK("https://klasma.github.io/Logging_2401/artfynd/A 9012-2025 artfynd.xlsx", "A 9012-2025")</f>
        <v/>
      </c>
      <c r="X36">
        <f>HYPERLINK("https://klasma.github.io/Logging_2401/kartor/A 9012-2025 karta.png", "A 9012-2025")</f>
        <v/>
      </c>
      <c r="Y36">
        <f>HYPERLINK("https://klasma.github.io/Logging_2401/kartor_geotiff/A 9012-2025 georefererad karta.tif", "A 9012-2025")</f>
        <v/>
      </c>
      <c r="AA36">
        <f>HYPERLINK("https://klasma.github.io/Logging_2401/klagomål/A 9012-2025 FSC-klagomål.docx", "A 9012-2025")</f>
        <v/>
      </c>
      <c r="AB36">
        <f>HYPERLINK("https://klasma.github.io/Logging_2401/klagomålsmail/A 9012-2025 FSC-klagomål mail.docx", "A 9012-2025")</f>
        <v/>
      </c>
      <c r="AC36">
        <f>HYPERLINK("https://klasma.github.io/Logging_2401/tillsyn/A 9012-2025 tillsynsbegäran.docx", "A 9012-2025")</f>
        <v/>
      </c>
      <c r="AD36">
        <f>HYPERLINK("https://klasma.github.io/Logging_2401/tillsynsmail/A 9012-2025 tillsynsbegäran mail.docx", "A 9012-2025")</f>
        <v/>
      </c>
      <c r="AE36">
        <f>HYPERLINK("https://klasma.github.io/Logging_2401/fåglar/A 9012-2025 prioriterade fågelarter.docx", "A 9012-2025")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46297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46297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46297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46297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46297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46297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46297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46297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46297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46297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46297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46297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29323-2025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46297</v>
      </c>
      <c r="F50" t="inlineStr">
        <is>
          <t>VÄSTERBOTTENS LÄN</t>
        </is>
      </c>
      <c r="G50" t="inlineStr">
        <is>
          <t>NORDMALING</t>
        </is>
      </c>
      <c r="I50" t="n">
        <v>2.9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HYPERLINK("https://klasma.github.io/Logging_2401/artfynd/A 29323-2025 artfynd.xlsx", "A 29323-2025")</f>
        <v/>
      </c>
      <c r="X50">
        <f>HYPERLINK("https://klasma.github.io/Logging_2401/kartor/A 29323-2025 karta.png", "A 29323-2025")</f>
        <v/>
      </c>
      <c r="Y50">
        <f>HYPERLINK("https://klasma.github.io/Logging_2401/kartor_geotiff/A 29323-2025 georefererad karta.tif", "A 29323-2025")</f>
        <v/>
      </c>
      <c r="AA50">
        <f>HYPERLINK("https://klasma.github.io/Logging_2401/klagomål/A 29323-2025 FSC-klagomål.docx", "A 29323-2025")</f>
        <v/>
      </c>
      <c r="AB50">
        <f>HYPERLINK("https://klasma.github.io/Logging_2401/klagomålsmail/A 29323-2025 FSC-klagomål mail.docx", "A 29323-2025")</f>
        <v/>
      </c>
      <c r="AC50">
        <f>HYPERLINK("https://klasma.github.io/Logging_2401/tillsyn/A 29323-2025 tillsynsbegäran.docx", "A 29323-2025")</f>
        <v/>
      </c>
      <c r="AD50">
        <f>HYPERLINK("https://klasma.github.io/Logging_2401/tillsynsmail/A 29323-2025 tillsynsbegäran mail.docx", "A 29323-2025")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46297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46297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46297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61867-2024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45651</v>
      </c>
      <c r="E54" s="1" t="n">
        <v>46297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4.5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HYPERLINK("https://klasma.github.io/Logging_2401/artfynd/A 61867-2024 artfynd.xlsx", "A 61867-2024")</f>
        <v/>
      </c>
      <c r="X54">
        <f>HYPERLINK("https://klasma.github.io/Logging_2401/kartor/A 61867-2024 karta.png", "A 61867-2024")</f>
        <v/>
      </c>
      <c r="Y54">
        <f>HYPERLINK("https://klasma.github.io/Logging_2401/kartor_geotiff/A 61867-2024 georefererad karta.tif", "A 61867-2024")</f>
        <v/>
      </c>
      <c r="AA54">
        <f>HYPERLINK("https://klasma.github.io/Logging_2401/klagomål/A 61867-2024 FSC-klagomål.docx", "A 61867-2024")</f>
        <v/>
      </c>
      <c r="AB54">
        <f>HYPERLINK("https://klasma.github.io/Logging_2401/klagomålsmail/A 61867-2024 FSC-klagomål mail.docx", "A 61867-2024")</f>
        <v/>
      </c>
      <c r="AC54">
        <f>HYPERLINK("https://klasma.github.io/Logging_2401/tillsyn/A 61867-2024 tillsynsbegäran.docx", "A 61867-2024")</f>
        <v/>
      </c>
      <c r="AD54">
        <f>HYPERLINK("https://klasma.github.io/Logging_2401/tillsynsmail/A 61867-2024 tillsynsbegäran mail.docx", "A 61867-2024")</f>
        <v/>
      </c>
    </row>
    <row r="55" ht="15" customHeight="1">
      <c r="A55" t="inlineStr">
        <is>
          <t>A 63779-2023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45275</v>
      </c>
      <c r="E55" s="1" t="n">
        <v>46297</v>
      </c>
      <c r="F55" t="inlineStr">
        <is>
          <t>VÄSTERBOTTENS LÄN</t>
        </is>
      </c>
      <c r="G55" t="inlineStr">
        <is>
          <t>NORDMALING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63779-2023 artfynd.xlsx", "A 63779-2023")</f>
        <v/>
      </c>
      <c r="X55">
        <f>HYPERLINK("https://klasma.github.io/Logging_2401/kartor/A 63779-2023 karta.png", "A 63779-2023")</f>
        <v/>
      </c>
      <c r="Y55">
        <f>HYPERLINK("https://klasma.github.io/Logging_2401/kartor_geotiff/A 63779-2023 georefererad karta.tif", "A 63779-2023")</f>
        <v/>
      </c>
      <c r="AA55">
        <f>HYPERLINK("https://klasma.github.io/Logging_2401/klagomål/A 63779-2023 FSC-klagomål.docx", "A 63779-2023")</f>
        <v/>
      </c>
      <c r="AB55">
        <f>HYPERLINK("https://klasma.github.io/Logging_2401/klagomålsmail/A 63779-2023 FSC-klagomål mail.docx", "A 63779-2023")</f>
        <v/>
      </c>
      <c r="AC55">
        <f>HYPERLINK("https://klasma.github.io/Logging_2401/tillsyn/A 63779-2023 tillsynsbegäran.docx", "A 63779-2023")</f>
        <v/>
      </c>
      <c r="AD55">
        <f>HYPERLINK("https://klasma.github.io/Logging_2401/tillsynsmail/A 63779-2023 tillsynsbegäran mail.docx", "A 63779-2023")</f>
        <v/>
      </c>
      <c r="AE55">
        <f>HYPERLINK("https://klasma.github.io/Logging_2401/fåglar/A 63779-2023 prioriterade fågelarter.docx", "A 63779-2023")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46297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25996-2026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46297</v>
      </c>
      <c r="F57" t="inlineStr">
        <is>
          <t>VÄSTERBOTTENS LÄN</t>
        </is>
      </c>
      <c r="G57" t="inlineStr">
        <is>
          <t>NORDMALING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Brudborste</t>
        </is>
      </c>
      <c r="W57">
        <f>HYPERLINK("https://klasma.github.io/Logging_2401/artfynd/A 25996-2026 artfynd.xlsx", "A 25996-2026")</f>
        <v/>
      </c>
      <c r="X57">
        <f>HYPERLINK("https://klasma.github.io/Logging_2401/kartor/A 25996-2026 karta.png", "A 25996-2026")</f>
        <v/>
      </c>
      <c r="Y57">
        <f>HYPERLINK("https://klasma.github.io/Logging_2401/kartor_geotiff/A 25996-2026 georefererad karta.tif", "A 25996-2026")</f>
        <v/>
      </c>
      <c r="AA57">
        <f>HYPERLINK("https://klasma.github.io/Logging_2401/klagomål/A 25996-2026 FSC-klagomål.docx", "A 25996-2026")</f>
        <v/>
      </c>
      <c r="AB57">
        <f>HYPERLINK("https://klasma.github.io/Logging_2401/klagomålsmail/A 25996-2026 FSC-klagomål mail.docx", "A 25996-2026")</f>
        <v/>
      </c>
      <c r="AC57">
        <f>HYPERLINK("https://klasma.github.io/Logging_2401/tillsyn/A 25996-2026 tillsynsbegäran.docx", "A 25996-2026")</f>
        <v/>
      </c>
      <c r="AD57">
        <f>HYPERLINK("https://klasma.github.io/Logging_2401/tillsynsmail/A 25996-2026 tillsynsbegäran mail.docx", "A 25996-2026")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46297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46297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37546-2023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45158</v>
      </c>
      <c r="E60" s="1" t="n">
        <v>46297</v>
      </c>
      <c r="F60" t="inlineStr">
        <is>
          <t>VÄSTERBOTTENS LÄN</t>
        </is>
      </c>
      <c r="G60" t="inlineStr">
        <is>
          <t>NORDMALING</t>
        </is>
      </c>
      <c r="I60" t="n">
        <v>4.7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HYPERLINK("https://klasma.github.io/Logging_2401/artfynd/A 37546-2023 artfynd.xlsx", "A 37546-2023")</f>
        <v/>
      </c>
      <c r="X60">
        <f>HYPERLINK("https://klasma.github.io/Logging_2401/kartor/A 37546-2023 karta.png", "A 37546-2023")</f>
        <v/>
      </c>
      <c r="Y60">
        <f>HYPERLINK("https://klasma.github.io/Logging_2401/kartor_geotiff/A 37546-2023 georefererad karta.tif", "A 37546-2023")</f>
        <v/>
      </c>
      <c r="AA60">
        <f>HYPERLINK("https://klasma.github.io/Logging_2401/klagomål/A 37546-2023 FSC-klagomål.docx", "A 37546-2023")</f>
        <v/>
      </c>
      <c r="AB60">
        <f>HYPERLINK("https://klasma.github.io/Logging_2401/klagomålsmail/A 37546-2023 FSC-klagomål mail.docx", "A 37546-2023")</f>
        <v/>
      </c>
      <c r="AC60">
        <f>HYPERLINK("https://klasma.github.io/Logging_2401/tillsyn/A 37546-2023 tillsynsbegäran.docx", "A 37546-2023")</f>
        <v/>
      </c>
      <c r="AD60">
        <f>HYPERLINK("https://klasma.github.io/Logging_2401/tillsynsmail/A 37546-2023 tillsynsbegäran mail.docx", "A 37546-2023")</f>
        <v/>
      </c>
    </row>
    <row r="61" ht="15" customHeight="1">
      <c r="A61" t="inlineStr">
        <is>
          <t>A 54893-2024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46297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Gammelgransskål</t>
        </is>
      </c>
      <c r="W61">
        <f>HYPERLINK("https://klasma.github.io/Logging_2401/artfynd/A 54893-2024 artfynd.xlsx", "A 54893-2024")</f>
        <v/>
      </c>
      <c r="X61">
        <f>HYPERLINK("https://klasma.github.io/Logging_2401/kartor/A 54893-2024 karta.png", "A 54893-2024")</f>
        <v/>
      </c>
      <c r="Y61">
        <f>HYPERLINK("https://klasma.github.io/Logging_2401/kartor_geotiff/A 54893-2024 georefererad karta.tif", "A 54893-2024")</f>
        <v/>
      </c>
      <c r="AA61">
        <f>HYPERLINK("https://klasma.github.io/Logging_2401/klagomål/A 54893-2024 FSC-klagomål.docx", "A 54893-2024")</f>
        <v/>
      </c>
      <c r="AB61">
        <f>HYPERLINK("https://klasma.github.io/Logging_2401/klagomålsmail/A 54893-2024 FSC-klagomål mail.docx", "A 54893-2024")</f>
        <v/>
      </c>
      <c r="AC61">
        <f>HYPERLINK("https://klasma.github.io/Logging_2401/tillsyn/A 54893-2024 tillsynsbegäran.docx", "A 54893-2024")</f>
        <v/>
      </c>
      <c r="AD61">
        <f>HYPERLINK("https://klasma.github.io/Logging_2401/tillsynsmail/A 54893-2024 tillsynsbegäran mail.docx", "A 54893-2024")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46297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A 6993-2024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45343</v>
      </c>
      <c r="E63" s="1" t="n">
        <v>46297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23.2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HYPERLINK("https://klasma.github.io/Logging_2401/artfynd/A 6993-2024 artfynd.xlsx", "A 6993-2024")</f>
        <v/>
      </c>
      <c r="X63">
        <f>HYPERLINK("https://klasma.github.io/Logging_2401/kartor/A 6993-2024 karta.png", "A 6993-2024")</f>
        <v/>
      </c>
      <c r="Y63">
        <f>HYPERLINK("https://klasma.github.io/Logging_2401/kartor_geotiff/A 6993-2024 georefererad karta.tif", "A 6993-2024")</f>
        <v/>
      </c>
      <c r="AA63">
        <f>HYPERLINK("https://klasma.github.io/Logging_2401/klagomål/A 6993-2024 FSC-klagomål.docx", "A 6993-2024")</f>
        <v/>
      </c>
      <c r="AB63">
        <f>HYPERLINK("https://klasma.github.io/Logging_2401/klagomålsmail/A 6993-2024 FSC-klagomål mail.docx", "A 6993-2024")</f>
        <v/>
      </c>
      <c r="AC63">
        <f>HYPERLINK("https://klasma.github.io/Logging_2401/tillsyn/A 6993-2024 tillsynsbegäran.docx", "A 6993-2024")</f>
        <v/>
      </c>
      <c r="AD63">
        <f>HYPERLINK("https://klasma.github.io/Logging_2401/tillsynsmail/A 6993-2024 tillsynsbegäran mail.docx", "A 6993-2024")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46297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46297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46297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46297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46297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46297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46297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46297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46297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46297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46297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46297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46297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46297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46297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46297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46297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46297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46297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46297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46297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46297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46297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46297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46297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46297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46297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46297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46297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46297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46297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46297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46297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46297</v>
      </c>
      <c r="F98" t="inlineStr">
        <is>
          <t>VÄSTERBOTTENS LÄN</t>
        </is>
      </c>
      <c r="G98" t="inlineStr">
        <is>
          <t>NORDMALING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30715-2022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44763</v>
      </c>
      <c r="E99" s="1" t="n">
        <v>46297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46297</v>
      </c>
      <c r="F100" t="inlineStr">
        <is>
          <t>VÄSTERBOTTENS LÄN</t>
        </is>
      </c>
      <c r="G100" t="inlineStr">
        <is>
          <t>NORDMALING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46297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46297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46297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34176-2023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45126</v>
      </c>
      <c r="E104" s="1" t="n">
        <v>46297</v>
      </c>
      <c r="F104" t="inlineStr">
        <is>
          <t>VÄSTERBOTTENS LÄN</t>
        </is>
      </c>
      <c r="G104" t="inlineStr">
        <is>
          <t>NORDMALING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46297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46297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46297</v>
      </c>
      <c r="F107" t="inlineStr">
        <is>
          <t>VÄSTERBOTTENS LÄN</t>
        </is>
      </c>
      <c r="G107" t="inlineStr">
        <is>
          <t>NORDMALING</t>
        </is>
      </c>
      <c r="I107" t="n">
        <v>12.5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46297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46297</v>
      </c>
      <c r="F109" t="inlineStr">
        <is>
          <t>VÄSTERBOTTENS LÄN</t>
        </is>
      </c>
      <c r="G109" t="inlineStr">
        <is>
          <t>NORDMALING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46297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61793-2023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45265</v>
      </c>
      <c r="E111" s="1" t="n">
        <v>46297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46018</v>
      </c>
      <c r="E112" s="1" t="n">
        <v>46297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46018</v>
      </c>
      <c r="E113" s="1" t="n">
        <v>46297</v>
      </c>
      <c r="F113" t="inlineStr">
        <is>
          <t>VÄSTERBOTTENS LÄN</t>
        </is>
      </c>
      <c r="G113" t="inlineStr">
        <is>
          <t>NORDMALING</t>
        </is>
      </c>
      <c r="I113" t="n">
        <v>16.2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46018</v>
      </c>
      <c r="E114" s="1" t="n">
        <v>46297</v>
      </c>
      <c r="F114" t="inlineStr">
        <is>
          <t>VÄSTERBOTTENS LÄN</t>
        </is>
      </c>
      <c r="G114" t="inlineStr">
        <is>
          <t>NORDMALING</t>
        </is>
      </c>
      <c r="I114" t="n">
        <v>12.8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46297</v>
      </c>
      <c r="F115" t="inlineStr">
        <is>
          <t>VÄSTERBOTTENS LÄN</t>
        </is>
      </c>
      <c r="G115" t="inlineStr">
        <is>
          <t>NORDMALING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46297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46297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46022</v>
      </c>
      <c r="E118" s="1" t="n">
        <v>46297</v>
      </c>
      <c r="F118" t="inlineStr">
        <is>
          <t>VÄSTERBOTTENS LÄN</t>
        </is>
      </c>
      <c r="G118" t="inlineStr">
        <is>
          <t>NORDMALING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46028</v>
      </c>
      <c r="E119" s="1" t="n">
        <v>46297</v>
      </c>
      <c r="F119" t="inlineStr">
        <is>
          <t>VÄSTERBOTTENS LÄN</t>
        </is>
      </c>
      <c r="G119" t="inlineStr">
        <is>
          <t>NORDMALING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46297</v>
      </c>
      <c r="F120" t="inlineStr">
        <is>
          <t>VÄSTERBOTTENS LÄN</t>
        </is>
      </c>
      <c r="G120" t="inlineStr">
        <is>
          <t>NORDMALING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46297</v>
      </c>
      <c r="F121" t="inlineStr">
        <is>
          <t>VÄSTERBOTTENS LÄN</t>
        </is>
      </c>
      <c r="G121" t="inlineStr">
        <is>
          <t>NORDMALING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46297</v>
      </c>
      <c r="F122" t="inlineStr">
        <is>
          <t>VÄSTERBOTTENS LÄN</t>
        </is>
      </c>
      <c r="G122" t="inlineStr">
        <is>
          <t>NORDMALING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46297</v>
      </c>
      <c r="F123" t="inlineStr">
        <is>
          <t>VÄSTERBOTTENS LÄN</t>
        </is>
      </c>
      <c r="G123" t="inlineStr">
        <is>
          <t>NORDMALING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46297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46032</v>
      </c>
      <c r="E125" s="1" t="n">
        <v>46297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Holmen skog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46297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46297</v>
      </c>
      <c r="F127" t="inlineStr">
        <is>
          <t>VÄSTERBOTTENS LÄN</t>
        </is>
      </c>
      <c r="G127" t="inlineStr">
        <is>
          <t>NORDMALING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46297</v>
      </c>
      <c r="F128" t="inlineStr">
        <is>
          <t>VÄSTERBOTTENS LÄN</t>
        </is>
      </c>
      <c r="G128" t="inlineStr">
        <is>
          <t>NORDMALING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46297</v>
      </c>
      <c r="F129" t="inlineStr">
        <is>
          <t>VÄSTERBOTTENS LÄN</t>
        </is>
      </c>
      <c r="G129" t="inlineStr">
        <is>
          <t>NORDMALING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46297</v>
      </c>
      <c r="F130" t="inlineStr">
        <is>
          <t>VÄSTERBOTTENS LÄN</t>
        </is>
      </c>
      <c r="G130" t="inlineStr">
        <is>
          <t>NORDMALING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46297</v>
      </c>
      <c r="F131" t="inlineStr">
        <is>
          <t>VÄSTERBOTTENS LÄN</t>
        </is>
      </c>
      <c r="G131" t="inlineStr">
        <is>
          <t>NORDMALING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46297</v>
      </c>
      <c r="F132" t="inlineStr">
        <is>
          <t>VÄSTERBOTTENS LÄN</t>
        </is>
      </c>
      <c r="G132" t="inlineStr">
        <is>
          <t>NORDMALING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46297</v>
      </c>
      <c r="F133" t="inlineStr">
        <is>
          <t>VÄSTERBOTTENS LÄN</t>
        </is>
      </c>
      <c r="G133" t="inlineStr">
        <is>
          <t>NORDMALING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46297</v>
      </c>
      <c r="F134" t="inlineStr">
        <is>
          <t>VÄSTERBOTTENS LÄN</t>
        </is>
      </c>
      <c r="G134" t="inlineStr">
        <is>
          <t>NORDMALING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46297</v>
      </c>
      <c r="F135" t="inlineStr">
        <is>
          <t>VÄSTERBOTTENS LÄN</t>
        </is>
      </c>
      <c r="G135" t="inlineStr">
        <is>
          <t>NORDMALING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46297</v>
      </c>
      <c r="F136" t="inlineStr">
        <is>
          <t>VÄSTERBOTTENS LÄN</t>
        </is>
      </c>
      <c r="G136" t="inlineStr">
        <is>
          <t>NORDMALING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65688-2021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46297</v>
      </c>
      <c r="F137" t="inlineStr">
        <is>
          <t>VÄSTERBOTTENS LÄN</t>
        </is>
      </c>
      <c r="G137" t="inlineStr">
        <is>
          <t>NORDMALING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46297</v>
      </c>
      <c r="F138" t="inlineStr">
        <is>
          <t>VÄSTERBOTTENS LÄN</t>
        </is>
      </c>
      <c r="G138" t="inlineStr">
        <is>
          <t>NORDMALING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46297</v>
      </c>
      <c r="F139" t="inlineStr">
        <is>
          <t>VÄSTERBOTTENS LÄN</t>
        </is>
      </c>
      <c r="G139" t="inlineStr">
        <is>
          <t>NORDMALING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44921</v>
      </c>
      <c r="E140" s="1" t="n">
        <v>46297</v>
      </c>
      <c r="F140" t="inlineStr">
        <is>
          <t>VÄSTERBOTTENS LÄN</t>
        </is>
      </c>
      <c r="G140" t="inlineStr">
        <is>
          <t>NORDMALING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46297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46043</v>
      </c>
      <c r="E142" s="1" t="n">
        <v>46297</v>
      </c>
      <c r="F142" t="inlineStr">
        <is>
          <t>VÄSTERBOTTENS LÄN</t>
        </is>
      </c>
      <c r="G142" t="inlineStr">
        <is>
          <t>NORDMALING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46297</v>
      </c>
      <c r="F143" t="inlineStr">
        <is>
          <t>VÄSTERBOTTENS LÄN</t>
        </is>
      </c>
      <c r="G143" t="inlineStr">
        <is>
          <t>NORDMALING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4898-2026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46048</v>
      </c>
      <c r="E144" s="1" t="n">
        <v>46297</v>
      </c>
      <c r="F144" t="inlineStr">
        <is>
          <t>VÄSTERBOTTENS LÄN</t>
        </is>
      </c>
      <c r="G144" t="inlineStr">
        <is>
          <t>NORDMALING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46297</v>
      </c>
      <c r="F145" t="inlineStr">
        <is>
          <t>VÄSTERBOTTENS LÄN</t>
        </is>
      </c>
      <c r="G145" t="inlineStr">
        <is>
          <t>NORDMALING</t>
        </is>
      </c>
      <c r="I145" t="n">
        <v>22.4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44922</v>
      </c>
      <c r="E146" s="1" t="n">
        <v>46297</v>
      </c>
      <c r="F146" t="inlineStr">
        <is>
          <t>VÄSTERBOTTENS LÄN</t>
        </is>
      </c>
      <c r="G146" t="inlineStr">
        <is>
          <t>NORDMALING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46297</v>
      </c>
      <c r="F147" t="inlineStr">
        <is>
          <t>VÄSTERBOTTENS LÄN</t>
        </is>
      </c>
      <c r="G147" t="inlineStr">
        <is>
          <t>NORDMALING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46050</v>
      </c>
      <c r="E148" s="1" t="n">
        <v>46297</v>
      </c>
      <c r="F148" t="inlineStr">
        <is>
          <t>VÄSTERBOTTENS LÄN</t>
        </is>
      </c>
      <c r="G148" t="inlineStr">
        <is>
          <t>NORDMALING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46297</v>
      </c>
      <c r="F149" t="inlineStr">
        <is>
          <t>VÄSTERBOTTENS LÄN</t>
        </is>
      </c>
      <c r="G149" t="inlineStr">
        <is>
          <t>NORDMALING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46297</v>
      </c>
      <c r="F150" t="inlineStr">
        <is>
          <t>VÄSTERBOTTENS LÄN</t>
        </is>
      </c>
      <c r="G150" t="inlineStr">
        <is>
          <t>NORDMALING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46297</v>
      </c>
      <c r="F151" t="inlineStr">
        <is>
          <t>VÄSTERBOTTENS LÄN</t>
        </is>
      </c>
      <c r="G151" t="inlineStr">
        <is>
          <t>NORDMALING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46297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46297</v>
      </c>
      <c r="F153" t="inlineStr">
        <is>
          <t>VÄSTERBOTTENS LÄN</t>
        </is>
      </c>
      <c r="G153" t="inlineStr">
        <is>
          <t>NORDMALING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46297</v>
      </c>
      <c r="F154" t="inlineStr">
        <is>
          <t>VÄSTERBOTTENS LÄN</t>
        </is>
      </c>
      <c r="G154" t="inlineStr">
        <is>
          <t>NORDMALING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46297</v>
      </c>
      <c r="F155" t="inlineStr">
        <is>
          <t>VÄSTERBOTTENS LÄN</t>
        </is>
      </c>
      <c r="G155" t="inlineStr">
        <is>
          <t>NORDMALING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46297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45900</v>
      </c>
      <c r="E157" s="1" t="n">
        <v>46297</v>
      </c>
      <c r="F157" t="inlineStr">
        <is>
          <t>VÄSTERBOTTENS LÄN</t>
        </is>
      </c>
      <c r="G157" t="inlineStr">
        <is>
          <t>NORDMALING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46297</v>
      </c>
      <c r="F158" t="inlineStr">
        <is>
          <t>VÄSTERBOTTENS LÄN</t>
        </is>
      </c>
      <c r="G158" t="inlineStr">
        <is>
          <t>NORDMALING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6624-2026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46297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45327</v>
      </c>
      <c r="E160" s="1" t="n">
        <v>46297</v>
      </c>
      <c r="F160" t="inlineStr">
        <is>
          <t>VÄSTERBOTTENS LÄN</t>
        </is>
      </c>
      <c r="G160" t="inlineStr">
        <is>
          <t>NORDMALING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46297</v>
      </c>
      <c r="F161" t="inlineStr">
        <is>
          <t>VÄSTERBOTTENS LÄN</t>
        </is>
      </c>
      <c r="G161" t="inlineStr">
        <is>
          <t>NORDMALING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46297</v>
      </c>
      <c r="F162" t="inlineStr">
        <is>
          <t>VÄSTERBOTTENS LÄN</t>
        </is>
      </c>
      <c r="G162" t="inlineStr">
        <is>
          <t>NORDMALING</t>
        </is>
      </c>
      <c r="I162" t="n">
        <v>19.1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46297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46297</v>
      </c>
      <c r="F164" t="inlineStr">
        <is>
          <t>VÄSTERBOTTENS LÄN</t>
        </is>
      </c>
      <c r="G164" t="inlineStr">
        <is>
          <t>NORDMALING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46297</v>
      </c>
      <c r="F165" t="inlineStr">
        <is>
          <t>VÄSTERBOTTENS LÄN</t>
        </is>
      </c>
      <c r="G165" t="inlineStr">
        <is>
          <t>NORDMALING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46297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36814-2024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45538</v>
      </c>
      <c r="E167" s="1" t="n">
        <v>46297</v>
      </c>
      <c r="F167" t="inlineStr">
        <is>
          <t>VÄSTERBOTTENS LÄN</t>
        </is>
      </c>
      <c r="G167" t="inlineStr">
        <is>
          <t>NORDMALING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46297</v>
      </c>
      <c r="F168" t="inlineStr">
        <is>
          <t>VÄSTERBOTTENS LÄN</t>
        </is>
      </c>
      <c r="G168" t="inlineStr">
        <is>
          <t>NORDMALING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46297</v>
      </c>
      <c r="F169" t="inlineStr">
        <is>
          <t>VÄSTERBOTTENS LÄN</t>
        </is>
      </c>
      <c r="G169" t="inlineStr">
        <is>
          <t>NORDMALING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46297</v>
      </c>
      <c r="F170" t="inlineStr">
        <is>
          <t>VÄSTERBOTTENS LÄN</t>
        </is>
      </c>
      <c r="G170" t="inlineStr">
        <is>
          <t>NORDMALING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46297</v>
      </c>
      <c r="F171" t="inlineStr">
        <is>
          <t>VÄSTERBOTTENS LÄN</t>
        </is>
      </c>
      <c r="G171" t="inlineStr">
        <is>
          <t>NORDMALING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46297</v>
      </c>
      <c r="F172" t="inlineStr">
        <is>
          <t>VÄSTERBOTTENS LÄN</t>
        </is>
      </c>
      <c r="G172" t="inlineStr">
        <is>
          <t>NORDMALING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34184-2023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45126</v>
      </c>
      <c r="E173" s="1" t="n">
        <v>46297</v>
      </c>
      <c r="F173" t="inlineStr">
        <is>
          <t>VÄSTERBOTTENS LÄN</t>
        </is>
      </c>
      <c r="G173" t="inlineStr">
        <is>
          <t>NORDMALING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46297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46297</v>
      </c>
      <c r="F175" t="inlineStr">
        <is>
          <t>VÄSTERBOTTENS LÄN</t>
        </is>
      </c>
      <c r="G175" t="inlineStr">
        <is>
          <t>NORDMALING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46297</v>
      </c>
      <c r="F176" t="inlineStr">
        <is>
          <t>VÄSTERBOTTENS LÄN</t>
        </is>
      </c>
      <c r="G176" t="inlineStr">
        <is>
          <t>NORDMALING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46297</v>
      </c>
      <c r="F177" t="inlineStr">
        <is>
          <t>VÄSTERBOTTENS LÄN</t>
        </is>
      </c>
      <c r="G177" t="inlineStr">
        <is>
          <t>NORDMALING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46297</v>
      </c>
      <c r="F178" t="inlineStr">
        <is>
          <t>VÄSTERBOTTENS LÄN</t>
        </is>
      </c>
      <c r="G178" t="inlineStr">
        <is>
          <t>NORDMALING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30438-2024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45491</v>
      </c>
      <c r="E179" s="1" t="n">
        <v>46297</v>
      </c>
      <c r="F179" t="inlineStr">
        <is>
          <t>VÄSTERBOTTENS LÄN</t>
        </is>
      </c>
      <c r="G179" t="inlineStr">
        <is>
          <t>NORDMALING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46072</v>
      </c>
      <c r="E180" s="1" t="n">
        <v>46297</v>
      </c>
      <c r="F180" t="inlineStr">
        <is>
          <t>VÄSTERBOTTENS LÄN</t>
        </is>
      </c>
      <c r="G180" t="inlineStr">
        <is>
          <t>NORDMALING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46297</v>
      </c>
      <c r="F181" t="inlineStr">
        <is>
          <t>VÄSTERBOTTENS LÄN</t>
        </is>
      </c>
      <c r="G181" t="inlineStr">
        <is>
          <t>NORDMALING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46297</v>
      </c>
      <c r="F182" t="inlineStr">
        <is>
          <t>VÄSTERBOTTENS LÄN</t>
        </is>
      </c>
      <c r="G182" t="inlineStr">
        <is>
          <t>NORDMALING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46297</v>
      </c>
      <c r="F183" t="inlineStr">
        <is>
          <t>VÄSTERBOTTENS LÄN</t>
        </is>
      </c>
      <c r="G183" t="inlineStr">
        <is>
          <t>NORDMALING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46297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Kommuner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46297</v>
      </c>
      <c r="F185" t="inlineStr">
        <is>
          <t>VÄSTERBOTTENS LÄN</t>
        </is>
      </c>
      <c r="G185" t="inlineStr">
        <is>
          <t>NORDMALING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46297</v>
      </c>
      <c r="F186" t="inlineStr">
        <is>
          <t>VÄSTERBOTTENS LÄN</t>
        </is>
      </c>
      <c r="G186" t="inlineStr">
        <is>
          <t>NORDMALING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46297</v>
      </c>
      <c r="F187" t="inlineStr">
        <is>
          <t>VÄSTERBOTTENS LÄN</t>
        </is>
      </c>
      <c r="G187" t="inlineStr">
        <is>
          <t>NORDMALING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46297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46297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46297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46297</v>
      </c>
      <c r="F191" t="inlineStr">
        <is>
          <t>VÄSTERBOTTENS LÄN</t>
        </is>
      </c>
      <c r="G191" t="inlineStr">
        <is>
          <t>NORDMALING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46297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45932</v>
      </c>
      <c r="E193" s="1" t="n">
        <v>46297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46297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46297</v>
      </c>
      <c r="F195" t="inlineStr">
        <is>
          <t>VÄSTERBOTTENS LÄN</t>
        </is>
      </c>
      <c r="G195" t="inlineStr">
        <is>
          <t>NORDMALING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46297</v>
      </c>
      <c r="F196" t="inlineStr">
        <is>
          <t>VÄSTERBOTTENS LÄN</t>
        </is>
      </c>
      <c r="G196" t="inlineStr">
        <is>
          <t>NORDMALING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46297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46297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46297</v>
      </c>
      <c r="F199" t="inlineStr">
        <is>
          <t>VÄSTERBOTTENS LÄN</t>
        </is>
      </c>
      <c r="G199" t="inlineStr">
        <is>
          <t>NORDMALING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46297</v>
      </c>
      <c r="F200" t="inlineStr">
        <is>
          <t>VÄSTERBOTTENS LÄN</t>
        </is>
      </c>
      <c r="G200" t="inlineStr">
        <is>
          <t>NORDMALING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46297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46297</v>
      </c>
      <c r="F202" t="inlineStr">
        <is>
          <t>VÄSTERBOTTENS LÄN</t>
        </is>
      </c>
      <c r="G202" t="inlineStr">
        <is>
          <t>NORDMALING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46297</v>
      </c>
      <c r="F203" t="inlineStr">
        <is>
          <t>VÄSTERBOTTENS LÄN</t>
        </is>
      </c>
      <c r="G203" t="inlineStr">
        <is>
          <t>NORDMALING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46297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46297</v>
      </c>
      <c r="F205" t="inlineStr">
        <is>
          <t>VÄSTERBOTTENS LÄN</t>
        </is>
      </c>
      <c r="G205" t="inlineStr">
        <is>
          <t>NORDMALING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46297</v>
      </c>
      <c r="F206" t="inlineStr">
        <is>
          <t>VÄSTERBOTTENS LÄN</t>
        </is>
      </c>
      <c r="G206" t="inlineStr">
        <is>
          <t>NORDMALING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46297</v>
      </c>
      <c r="F207" t="inlineStr">
        <is>
          <t>VÄSTERBOTTENS LÄN</t>
        </is>
      </c>
      <c r="G207" t="inlineStr">
        <is>
          <t>NORDMALING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46297</v>
      </c>
      <c r="F208" t="inlineStr">
        <is>
          <t>VÄSTERBOTTENS LÄN</t>
        </is>
      </c>
      <c r="G208" t="inlineStr">
        <is>
          <t>NORDMALING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46297</v>
      </c>
      <c r="F209" t="inlineStr">
        <is>
          <t>VÄSTERBOTTENS LÄN</t>
        </is>
      </c>
      <c r="G209" t="inlineStr">
        <is>
          <t>NORDMALING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46297</v>
      </c>
      <c r="F210" t="inlineStr">
        <is>
          <t>VÄSTERBOTTENS LÄN</t>
        </is>
      </c>
      <c r="G210" t="inlineStr">
        <is>
          <t>NORDMALING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51542-2025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45950</v>
      </c>
      <c r="E211" s="1" t="n">
        <v>46297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45688</v>
      </c>
      <c r="E212" s="1" t="n">
        <v>46297</v>
      </c>
      <c r="F212" t="inlineStr">
        <is>
          <t>VÄSTERBOTTENS LÄN</t>
        </is>
      </c>
      <c r="G212" t="inlineStr">
        <is>
          <t>NORDMALING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46297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46297</v>
      </c>
      <c r="F214" t="inlineStr">
        <is>
          <t>VÄSTERBOTTENS LÄN</t>
        </is>
      </c>
      <c r="G214" t="inlineStr">
        <is>
          <t>NORDMALING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46297</v>
      </c>
      <c r="F215" t="inlineStr">
        <is>
          <t>VÄSTERBOTTENS LÄN</t>
        </is>
      </c>
      <c r="G215" t="inlineStr">
        <is>
          <t>NORDMALING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46297</v>
      </c>
      <c r="F216" t="inlineStr">
        <is>
          <t>VÄSTERBOTTENS LÄN</t>
        </is>
      </c>
      <c r="G216" t="inlineStr">
        <is>
          <t>NORDMALING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44905</v>
      </c>
      <c r="E217" s="1" t="n">
        <v>46297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46297</v>
      </c>
      <c r="F218" t="inlineStr">
        <is>
          <t>VÄSTERBOTTENS LÄN</t>
        </is>
      </c>
      <c r="G218" t="inlineStr">
        <is>
          <t>NORDMALING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46297</v>
      </c>
      <c r="F219" t="inlineStr">
        <is>
          <t>VÄSTERBOTTENS LÄN</t>
        </is>
      </c>
      <c r="G219" t="inlineStr">
        <is>
          <t>NORDMALING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46297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46297</v>
      </c>
      <c r="F221" t="inlineStr">
        <is>
          <t>VÄSTERBOTTENS LÄN</t>
        </is>
      </c>
      <c r="G221" t="inlineStr">
        <is>
          <t>NORDMALING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46297</v>
      </c>
      <c r="F222" t="inlineStr">
        <is>
          <t>VÄSTERBOTTENS LÄN</t>
        </is>
      </c>
      <c r="G222" t="inlineStr">
        <is>
          <t>NORDMALING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46297</v>
      </c>
      <c r="F223" t="inlineStr">
        <is>
          <t>VÄSTERBOTTENS LÄN</t>
        </is>
      </c>
      <c r="G223" t="inlineStr">
        <is>
          <t>NORDMALING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46297</v>
      </c>
      <c r="F224" t="inlineStr">
        <is>
          <t>VÄSTERBOTTENS LÄN</t>
        </is>
      </c>
      <c r="G224" t="inlineStr">
        <is>
          <t>NORDMALING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29547-2022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44753</v>
      </c>
      <c r="E225" s="1" t="n">
        <v>46297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45962</v>
      </c>
      <c r="E226" s="1" t="n">
        <v>46297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46297</v>
      </c>
      <c r="F227" t="inlineStr">
        <is>
          <t>VÄSTERBOTTENS LÄN</t>
        </is>
      </c>
      <c r="G227" t="inlineStr">
        <is>
          <t>NORDMALING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19300-2023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45049</v>
      </c>
      <c r="E228" s="1" t="n">
        <v>46297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Kyrkan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46297</v>
      </c>
      <c r="F229" t="inlineStr">
        <is>
          <t>VÄSTERBOTTENS LÄN</t>
        </is>
      </c>
      <c r="G229" t="inlineStr">
        <is>
          <t>NORDMALING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46297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46297</v>
      </c>
      <c r="F231" t="inlineStr">
        <is>
          <t>VÄSTERBOTTENS LÄN</t>
        </is>
      </c>
      <c r="G231" t="inlineStr">
        <is>
          <t>NORDMALING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46297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45961</v>
      </c>
      <c r="E233" s="1" t="n">
        <v>46297</v>
      </c>
      <c r="F233" t="inlineStr">
        <is>
          <t>VÄSTERBOTTENS LÄN</t>
        </is>
      </c>
      <c r="G233" t="inlineStr">
        <is>
          <t>NORDMALING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46297</v>
      </c>
      <c r="F234" t="inlineStr">
        <is>
          <t>VÄSTERBOTTENS LÄN</t>
        </is>
      </c>
      <c r="G234" t="inlineStr">
        <is>
          <t>NORDMALING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46297</v>
      </c>
      <c r="F235" t="inlineStr">
        <is>
          <t>VÄSTERBOTTENS LÄN</t>
        </is>
      </c>
      <c r="G235" t="inlineStr">
        <is>
          <t>NORDMALING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46297</v>
      </c>
      <c r="F236" t="inlineStr">
        <is>
          <t>VÄSTERBOTTENS LÄN</t>
        </is>
      </c>
      <c r="G236" t="inlineStr">
        <is>
          <t>NORDMALING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54800-2025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46297</v>
      </c>
      <c r="F237" t="inlineStr">
        <is>
          <t>VÄSTERBOTTENS LÄN</t>
        </is>
      </c>
      <c r="G237" t="inlineStr">
        <is>
          <t>NORDMALING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46297</v>
      </c>
      <c r="F238" t="inlineStr">
        <is>
          <t>VÄSTERBOTTENS LÄN</t>
        </is>
      </c>
      <c r="G238" t="inlineStr">
        <is>
          <t>NORDMALING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46297</v>
      </c>
      <c r="F239" t="inlineStr">
        <is>
          <t>VÄSTERBOTTENS LÄN</t>
        </is>
      </c>
      <c r="G239" t="inlineStr">
        <is>
          <t>NORDMALING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46297</v>
      </c>
      <c r="F240" t="inlineStr">
        <is>
          <t>VÄSTERBOTTENS LÄN</t>
        </is>
      </c>
      <c r="G240" t="inlineStr">
        <is>
          <t>NORDMALING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46297</v>
      </c>
      <c r="F241" t="inlineStr">
        <is>
          <t>VÄSTERBOTTENS LÄN</t>
        </is>
      </c>
      <c r="G241" t="inlineStr">
        <is>
          <t>NORDMALING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46297</v>
      </c>
      <c r="F242" t="inlineStr">
        <is>
          <t>VÄSTERBOTTENS LÄN</t>
        </is>
      </c>
      <c r="G242" t="inlineStr">
        <is>
          <t>NORDMALING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46297</v>
      </c>
      <c r="F243" t="inlineStr">
        <is>
          <t>VÄSTERBOTTENS LÄN</t>
        </is>
      </c>
      <c r="G243" t="inlineStr">
        <is>
          <t>NORDMALING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46297</v>
      </c>
      <c r="F244" t="inlineStr">
        <is>
          <t>VÄSTERBOTTENS LÄN</t>
        </is>
      </c>
      <c r="G244" t="inlineStr">
        <is>
          <t>NORDMALING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46297</v>
      </c>
      <c r="F245" t="inlineStr">
        <is>
          <t>VÄSTERBOTTENS LÄN</t>
        </is>
      </c>
      <c r="G245" t="inlineStr">
        <is>
          <t>NORDMALING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46297</v>
      </c>
      <c r="F246" t="inlineStr">
        <is>
          <t>VÄSTERBOTTENS LÄN</t>
        </is>
      </c>
      <c r="G246" t="inlineStr">
        <is>
          <t>NORDMALING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46297</v>
      </c>
      <c r="F247" t="inlineStr">
        <is>
          <t>VÄSTERBOTTENS LÄN</t>
        </is>
      </c>
      <c r="G247" t="inlineStr">
        <is>
          <t>NORDMALING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46297</v>
      </c>
      <c r="F248" t="inlineStr">
        <is>
          <t>VÄSTERBOTTENS LÄN</t>
        </is>
      </c>
      <c r="G248" t="inlineStr">
        <is>
          <t>NORDMALING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46297</v>
      </c>
      <c r="F249" t="inlineStr">
        <is>
          <t>VÄSTERBOTTENS LÄN</t>
        </is>
      </c>
      <c r="G249" t="inlineStr">
        <is>
          <t>NORDMALING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46297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46297</v>
      </c>
      <c r="F251" t="inlineStr">
        <is>
          <t>VÄSTERBOTTENS LÄN</t>
        </is>
      </c>
      <c r="G251" t="inlineStr">
        <is>
          <t>NORDMALING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46297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18839-2026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46129</v>
      </c>
      <c r="E253" s="1" t="n">
        <v>46297</v>
      </c>
      <c r="F253" t="inlineStr">
        <is>
          <t>VÄSTERBOTTENS LÄN</t>
        </is>
      </c>
      <c r="G253" t="inlineStr">
        <is>
          <t>NORDMALING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46297</v>
      </c>
      <c r="F254" t="inlineStr">
        <is>
          <t>VÄSTERBOTTENS LÄN</t>
        </is>
      </c>
      <c r="G254" t="inlineStr">
        <is>
          <t>NORDMALING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46297</v>
      </c>
      <c r="F255" t="inlineStr">
        <is>
          <t>VÄSTERBOTTENS LÄN</t>
        </is>
      </c>
      <c r="G255" t="inlineStr">
        <is>
          <t>NORDMALING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46297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45034</v>
      </c>
      <c r="E257" s="1" t="n">
        <v>46297</v>
      </c>
      <c r="F257" t="inlineStr">
        <is>
          <t>VÄSTERBOTTENS LÄN</t>
        </is>
      </c>
      <c r="G257" t="inlineStr">
        <is>
          <t>NORDMALING</t>
        </is>
      </c>
      <c r="I257" t="n">
        <v>13.1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46297</v>
      </c>
      <c r="F258" t="inlineStr">
        <is>
          <t>VÄSTERBOTTENS LÄN</t>
        </is>
      </c>
      <c r="G258" t="inlineStr">
        <is>
          <t>NORDMALING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46297</v>
      </c>
      <c r="F259" t="inlineStr">
        <is>
          <t>VÄSTERBOTTENS LÄN</t>
        </is>
      </c>
      <c r="G259" t="inlineStr">
        <is>
          <t>NORDMALING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46297</v>
      </c>
      <c r="F260" t="inlineStr">
        <is>
          <t>VÄSTERBOTTENS LÄN</t>
        </is>
      </c>
      <c r="G260" t="inlineStr">
        <is>
          <t>NORDMALING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46297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46297</v>
      </c>
      <c r="F262" t="inlineStr">
        <is>
          <t>VÄSTERBOTTENS LÄN</t>
        </is>
      </c>
      <c r="G262" t="inlineStr">
        <is>
          <t>NORDMALING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46297</v>
      </c>
      <c r="F263" t="inlineStr">
        <is>
          <t>VÄSTERBOTTENS LÄN</t>
        </is>
      </c>
      <c r="G263" t="inlineStr">
        <is>
          <t>NORDMALING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46297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46297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24712-2023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45075</v>
      </c>
      <c r="E266" s="1" t="n">
        <v>46297</v>
      </c>
      <c r="F266" t="inlineStr">
        <is>
          <t>VÄSTERBOTTENS LÄN</t>
        </is>
      </c>
      <c r="G266" t="inlineStr">
        <is>
          <t>NORDMALING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46297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Holmen skog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46297</v>
      </c>
      <c r="F268" t="inlineStr">
        <is>
          <t>VÄSTERBOTTENS LÄN</t>
        </is>
      </c>
      <c r="G268" t="inlineStr">
        <is>
          <t>NORDMALING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45800</v>
      </c>
      <c r="E269" s="1" t="n">
        <v>46297</v>
      </c>
      <c r="F269" t="inlineStr">
        <is>
          <t>VÄSTERBOTTENS LÄN</t>
        </is>
      </c>
      <c r="G269" t="inlineStr">
        <is>
          <t>NORDMALING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46297</v>
      </c>
      <c r="F270" t="inlineStr">
        <is>
          <t>VÄSTERBOTTENS LÄN</t>
        </is>
      </c>
      <c r="G270" t="inlineStr">
        <is>
          <t>NORDMALING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46297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32183-2023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45119</v>
      </c>
      <c r="E272" s="1" t="n">
        <v>46297</v>
      </c>
      <c r="F272" t="inlineStr">
        <is>
          <t>VÄSTERBOTTENS LÄN</t>
        </is>
      </c>
      <c r="G272" t="inlineStr">
        <is>
          <t>NORDMALING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46297</v>
      </c>
      <c r="F273" t="inlineStr">
        <is>
          <t>VÄSTERBOTTENS LÄN</t>
        </is>
      </c>
      <c r="G273" t="inlineStr">
        <is>
          <t>NORDMALING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60064-2025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46297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46297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46297</v>
      </c>
      <c r="F276" t="inlineStr">
        <is>
          <t>VÄSTERBOTTENS LÄN</t>
        </is>
      </c>
      <c r="G276" t="inlineStr">
        <is>
          <t>NORDMALING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46297</v>
      </c>
      <c r="F277" t="inlineStr">
        <is>
          <t>VÄSTERBOTTENS LÄN</t>
        </is>
      </c>
      <c r="G277" t="inlineStr">
        <is>
          <t>NORDMALING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46297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46050</v>
      </c>
      <c r="E279" s="1" t="n">
        <v>46297</v>
      </c>
      <c r="F279" t="inlineStr">
        <is>
          <t>VÄSTERBOTTENS LÄN</t>
        </is>
      </c>
      <c r="G279" t="inlineStr">
        <is>
          <t>NORDMALING</t>
        </is>
      </c>
      <c r="I279" t="n">
        <v>16.1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45994</v>
      </c>
      <c r="E280" s="1" t="n">
        <v>46297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46297</v>
      </c>
      <c r="F281" t="inlineStr">
        <is>
          <t>VÄSTERBOTTENS LÄN</t>
        </is>
      </c>
      <c r="G281" t="inlineStr">
        <is>
          <t>NORDMALING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45877</v>
      </c>
      <c r="E282" s="1" t="n">
        <v>46297</v>
      </c>
      <c r="F282" t="inlineStr">
        <is>
          <t>VÄSTERBOTTENS LÄN</t>
        </is>
      </c>
      <c r="G282" t="inlineStr">
        <is>
          <t>NORDMALING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45187</v>
      </c>
      <c r="E283" s="1" t="n">
        <v>46297</v>
      </c>
      <c r="F283" t="inlineStr">
        <is>
          <t>VÄSTERBOTTENS LÄN</t>
        </is>
      </c>
      <c r="G283" t="inlineStr">
        <is>
          <t>NORDMALING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46297</v>
      </c>
      <c r="F284" t="inlineStr">
        <is>
          <t>VÄSTERBOTTENS LÄN</t>
        </is>
      </c>
      <c r="G284" t="inlineStr">
        <is>
          <t>NORDMALING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46297</v>
      </c>
      <c r="F285" t="inlineStr">
        <is>
          <t>VÄSTERBOTTENS LÄN</t>
        </is>
      </c>
      <c r="G285" t="inlineStr">
        <is>
          <t>NORDMALING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46297</v>
      </c>
      <c r="F286" t="inlineStr">
        <is>
          <t>VÄSTERBOTTENS LÄN</t>
        </is>
      </c>
      <c r="G286" t="inlineStr">
        <is>
          <t>NORDMALING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46297</v>
      </c>
      <c r="F287" t="inlineStr">
        <is>
          <t>VÄSTERBOTTENS LÄN</t>
        </is>
      </c>
      <c r="G287" t="inlineStr">
        <is>
          <t>NORDMALING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46297</v>
      </c>
      <c r="F288" t="inlineStr">
        <is>
          <t>VÄSTERBOTTENS LÄN</t>
        </is>
      </c>
      <c r="G288" t="inlineStr">
        <is>
          <t>NORDMALING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46297</v>
      </c>
      <c r="F289" t="inlineStr">
        <is>
          <t>VÄSTERBOTTENS LÄN</t>
        </is>
      </c>
      <c r="G289" t="inlineStr">
        <is>
          <t>NORDMALING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46297</v>
      </c>
      <c r="F290" t="inlineStr">
        <is>
          <t>VÄSTERBOTTENS LÄN</t>
        </is>
      </c>
      <c r="G290" t="inlineStr">
        <is>
          <t>NORDMALING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46297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29606-2025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45825</v>
      </c>
      <c r="E292" s="1" t="n">
        <v>46297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46297</v>
      </c>
      <c r="F293" t="inlineStr">
        <is>
          <t>VÄSTERBOTTENS LÄN</t>
        </is>
      </c>
      <c r="G293" t="inlineStr">
        <is>
          <t>NORDMALING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46297</v>
      </c>
      <c r="F294" t="inlineStr">
        <is>
          <t>VÄSTERBOTTENS LÄN</t>
        </is>
      </c>
      <c r="G294" t="inlineStr">
        <is>
          <t>NORDMALING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46297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46297</v>
      </c>
      <c r="F296" t="inlineStr">
        <is>
          <t>VÄSTERBOTTENS LÄN</t>
        </is>
      </c>
      <c r="G296" t="inlineStr">
        <is>
          <t>NORDMALING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46297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46297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46297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46297</v>
      </c>
      <c r="F300" t="inlineStr">
        <is>
          <t>VÄSTERBOTTENS LÄN</t>
        </is>
      </c>
      <c r="G300" t="inlineStr">
        <is>
          <t>NORDMALING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46297</v>
      </c>
      <c r="F301" t="inlineStr">
        <is>
          <t>VÄSTERBOTTENS LÄN</t>
        </is>
      </c>
      <c r="G301" t="inlineStr">
        <is>
          <t>NORDMALING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46297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46297</v>
      </c>
      <c r="F303" t="inlineStr">
        <is>
          <t>VÄSTERBOTTENS LÄN</t>
        </is>
      </c>
      <c r="G303" t="inlineStr">
        <is>
          <t>NORDMALING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46297</v>
      </c>
      <c r="F304" t="inlineStr">
        <is>
          <t>VÄSTERBOTTENS LÄN</t>
        </is>
      </c>
      <c r="G304" t="inlineStr">
        <is>
          <t>NORDMALING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46297</v>
      </c>
      <c r="F305" t="inlineStr">
        <is>
          <t>VÄSTERBOTTENS LÄN</t>
        </is>
      </c>
      <c r="G305" t="inlineStr">
        <is>
          <t>NORDMALING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46297</v>
      </c>
      <c r="F306" t="inlineStr">
        <is>
          <t>VÄSTERBOTTENS LÄN</t>
        </is>
      </c>
      <c r="G306" t="inlineStr">
        <is>
          <t>NORDMALING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45825</v>
      </c>
      <c r="E307" s="1" t="n">
        <v>46297</v>
      </c>
      <c r="F307" t="inlineStr">
        <is>
          <t>VÄSTERBOTTENS LÄN</t>
        </is>
      </c>
      <c r="G307" t="inlineStr">
        <is>
          <t>NORDMALING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46297</v>
      </c>
      <c r="F308" t="inlineStr">
        <is>
          <t>VÄSTERBOTTENS LÄN</t>
        </is>
      </c>
      <c r="G308" t="inlineStr">
        <is>
          <t>NORDMALING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45618</v>
      </c>
      <c r="E309" s="1" t="n">
        <v>46297</v>
      </c>
      <c r="F309" t="inlineStr">
        <is>
          <t>VÄSTERBOTTENS LÄN</t>
        </is>
      </c>
      <c r="G309" t="inlineStr">
        <is>
          <t>NORDMALING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45021</v>
      </c>
      <c r="E310" s="1" t="n">
        <v>46297</v>
      </c>
      <c r="F310" t="inlineStr">
        <is>
          <t>VÄSTERBOTTENS LÄN</t>
        </is>
      </c>
      <c r="G310" t="inlineStr">
        <is>
          <t>NORDMALING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35803-2023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45147</v>
      </c>
      <c r="E311" s="1" t="n">
        <v>46297</v>
      </c>
      <c r="F311" t="inlineStr">
        <is>
          <t>VÄSTERBOTTENS LÄN</t>
        </is>
      </c>
      <c r="G311" t="inlineStr">
        <is>
          <t>NORDMALING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46297</v>
      </c>
      <c r="F312" t="inlineStr">
        <is>
          <t>VÄSTERBOTTENS LÄN</t>
        </is>
      </c>
      <c r="G312" t="inlineStr">
        <is>
          <t>NORDMALING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46297</v>
      </c>
      <c r="F313" t="inlineStr">
        <is>
          <t>VÄSTERBOTTENS LÄN</t>
        </is>
      </c>
      <c r="G313" t="inlineStr">
        <is>
          <t>NORDMALING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46297</v>
      </c>
      <c r="F314" t="inlineStr">
        <is>
          <t>VÄSTERBOTTENS LÄN</t>
        </is>
      </c>
      <c r="G314" t="inlineStr">
        <is>
          <t>NORDMALING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45552</v>
      </c>
      <c r="E315" s="1" t="n">
        <v>46297</v>
      </c>
      <c r="F315" t="inlineStr">
        <is>
          <t>VÄSTERBOTTENS LÄN</t>
        </is>
      </c>
      <c r="G315" t="inlineStr">
        <is>
          <t>NORDMALING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46297</v>
      </c>
      <c r="F316" t="inlineStr">
        <is>
          <t>VÄSTERBOTTENS LÄN</t>
        </is>
      </c>
      <c r="G316" t="inlineStr">
        <is>
          <t>NORDMALING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46297</v>
      </c>
      <c r="F317" t="inlineStr">
        <is>
          <t>VÄSTERBOTTENS LÄN</t>
        </is>
      </c>
      <c r="G317" t="inlineStr">
        <is>
          <t>NORDMALING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46297</v>
      </c>
      <c r="F318" t="inlineStr">
        <is>
          <t>VÄSTERBOTTENS LÄN</t>
        </is>
      </c>
      <c r="G318" t="inlineStr">
        <is>
          <t>NORDMALING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46297</v>
      </c>
      <c r="F319" t="inlineStr">
        <is>
          <t>VÄSTERBOTTENS LÄN</t>
        </is>
      </c>
      <c r="G319" t="inlineStr">
        <is>
          <t>NORDMALING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46297</v>
      </c>
      <c r="F320" t="inlineStr">
        <is>
          <t>VÄSTERBOTTENS LÄN</t>
        </is>
      </c>
      <c r="G320" t="inlineStr">
        <is>
          <t>NORDMALING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46297</v>
      </c>
      <c r="F321" t="inlineStr">
        <is>
          <t>VÄSTERBOTTENS LÄN</t>
        </is>
      </c>
      <c r="G321" t="inlineStr">
        <is>
          <t>NORDMALING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46297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46297</v>
      </c>
      <c r="F323" t="inlineStr">
        <is>
          <t>VÄSTERBOTTENS LÄN</t>
        </is>
      </c>
      <c r="G323" t="inlineStr">
        <is>
          <t>NORDMALING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46297</v>
      </c>
      <c r="F324" t="inlineStr">
        <is>
          <t>VÄSTERBOTTENS LÄN</t>
        </is>
      </c>
      <c r="G324" t="inlineStr">
        <is>
          <t>NORDMALING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46297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46297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46297</v>
      </c>
      <c r="F327" t="inlineStr">
        <is>
          <t>VÄSTERBOTTENS LÄN</t>
        </is>
      </c>
      <c r="G327" t="inlineStr">
        <is>
          <t>NORDMALING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45842</v>
      </c>
      <c r="E328" s="1" t="n">
        <v>46297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46297</v>
      </c>
      <c r="F329" t="inlineStr">
        <is>
          <t>VÄSTERBOTTENS LÄN</t>
        </is>
      </c>
      <c r="G329" t="inlineStr">
        <is>
          <t>NORDMALING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46297</v>
      </c>
      <c r="F330" t="inlineStr">
        <is>
          <t>VÄSTERBOTTENS LÄN</t>
        </is>
      </c>
      <c r="G330" t="inlineStr">
        <is>
          <t>NORDMALING</t>
        </is>
      </c>
      <c r="I330" t="n">
        <v>14.8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46297</v>
      </c>
      <c r="F331" t="inlineStr">
        <is>
          <t>VÄSTERBOTTENS LÄN</t>
        </is>
      </c>
      <c r="G331" t="inlineStr">
        <is>
          <t>NORDMALING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45852</v>
      </c>
      <c r="E332" s="1" t="n">
        <v>46297</v>
      </c>
      <c r="F332" t="inlineStr">
        <is>
          <t>VÄSTERBOTTENS LÄN</t>
        </is>
      </c>
      <c r="G332" t="inlineStr">
        <is>
          <t>NORDMALING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45051</v>
      </c>
      <c r="E333" s="1" t="n">
        <v>46297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45470</v>
      </c>
      <c r="E334" s="1" t="n">
        <v>46297</v>
      </c>
      <c r="F334" t="inlineStr">
        <is>
          <t>VÄSTERBOTTENS LÄN</t>
        </is>
      </c>
      <c r="G334" t="inlineStr">
        <is>
          <t>NORDMALING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45866</v>
      </c>
      <c r="E335" s="1" t="n">
        <v>46297</v>
      </c>
      <c r="F335" t="inlineStr">
        <is>
          <t>VÄSTERBOTTENS LÄN</t>
        </is>
      </c>
      <c r="G335" t="inlineStr">
        <is>
          <t>NORDMALING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46297</v>
      </c>
      <c r="F336" t="inlineStr">
        <is>
          <t>VÄSTERBOTTENS LÄN</t>
        </is>
      </c>
      <c r="G336" t="inlineStr">
        <is>
          <t>NORDMALING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45890</v>
      </c>
      <c r="E337" s="1" t="n">
        <v>46297</v>
      </c>
      <c r="F337" t="inlineStr">
        <is>
          <t>VÄSTERBOTTENS LÄN</t>
        </is>
      </c>
      <c r="G337" t="inlineStr">
        <is>
          <t>NORDMALING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46297</v>
      </c>
      <c r="F338" t="inlineStr">
        <is>
          <t>VÄSTERBOTTENS LÄN</t>
        </is>
      </c>
      <c r="G338" t="inlineStr">
        <is>
          <t>NORDMALING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45028</v>
      </c>
      <c r="E339" s="1" t="n">
        <v>46297</v>
      </c>
      <c r="F339" t="inlineStr">
        <is>
          <t>VÄSTERBOTTENS LÄN</t>
        </is>
      </c>
      <c r="G339" t="inlineStr">
        <is>
          <t>NORDMALING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44907</v>
      </c>
      <c r="E340" s="1" t="n">
        <v>46297</v>
      </c>
      <c r="F340" t="inlineStr">
        <is>
          <t>VÄSTERBOTTENS LÄN</t>
        </is>
      </c>
      <c r="G340" t="inlineStr">
        <is>
          <t>NORDMALING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45586</v>
      </c>
      <c r="E341" s="1" t="n">
        <v>46297</v>
      </c>
      <c r="F341" t="inlineStr">
        <is>
          <t>VÄSTERBOTTENS LÄN</t>
        </is>
      </c>
      <c r="G341" t="inlineStr">
        <is>
          <t>NORDMALING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70028-2021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44533</v>
      </c>
      <c r="E342" s="1" t="n">
        <v>46297</v>
      </c>
      <c r="F342" t="inlineStr">
        <is>
          <t>VÄSTERBOTTENS LÄN</t>
        </is>
      </c>
      <c r="G342" t="inlineStr">
        <is>
          <t>NORDMALING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46297</v>
      </c>
      <c r="F343" t="inlineStr">
        <is>
          <t>VÄSTERBOTTENS LÄN</t>
        </is>
      </c>
      <c r="G343" t="inlineStr">
        <is>
          <t>NORDMALING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45996</v>
      </c>
      <c r="E344" s="1" t="n">
        <v>46297</v>
      </c>
      <c r="F344" t="inlineStr">
        <is>
          <t>VÄSTERBOTTENS LÄN</t>
        </is>
      </c>
      <c r="G344" t="inlineStr">
        <is>
          <t>NORDMALING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46297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45503</v>
      </c>
      <c r="E346" s="1" t="n">
        <v>46297</v>
      </c>
      <c r="F346" t="inlineStr">
        <is>
          <t>VÄSTERBOTTENS LÄN</t>
        </is>
      </c>
      <c r="G346" t="inlineStr">
        <is>
          <t>NORDMALING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46297</v>
      </c>
      <c r="F347" t="inlineStr">
        <is>
          <t>VÄSTERBOTTENS LÄN</t>
        </is>
      </c>
      <c r="G347" t="inlineStr">
        <is>
          <t>NORDMALING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46297</v>
      </c>
      <c r="F348" t="inlineStr">
        <is>
          <t>VÄSTERBOTTENS LÄN</t>
        </is>
      </c>
      <c r="G348" t="inlineStr">
        <is>
          <t>NORDMALING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45524</v>
      </c>
      <c r="E349" s="1" t="n">
        <v>46297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45736</v>
      </c>
      <c r="E350" s="1" t="n">
        <v>46297</v>
      </c>
      <c r="F350" t="inlineStr">
        <is>
          <t>VÄSTERBOTTENS LÄN</t>
        </is>
      </c>
      <c r="G350" t="inlineStr">
        <is>
          <t>NORDMALING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64498-2023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45280</v>
      </c>
      <c r="E351" s="1" t="n">
        <v>46297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46297</v>
      </c>
      <c r="F352" t="inlineStr">
        <is>
          <t>VÄSTERBOTTENS LÄN</t>
        </is>
      </c>
      <c r="G352" t="inlineStr">
        <is>
          <t>NORDMALING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69516-2021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44531</v>
      </c>
      <c r="E353" s="1" t="n">
        <v>46297</v>
      </c>
      <c r="F353" t="inlineStr">
        <is>
          <t>VÄSTERBOTTENS LÄN</t>
        </is>
      </c>
      <c r="G353" t="inlineStr">
        <is>
          <t>NORDMALING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46297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Holmen skog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45883</v>
      </c>
      <c r="E355" s="1" t="n">
        <v>46297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45102</v>
      </c>
      <c r="E356" s="1" t="n">
        <v>46297</v>
      </c>
      <c r="F356" t="inlineStr">
        <is>
          <t>VÄSTERBOTTENS LÄN</t>
        </is>
      </c>
      <c r="G356" t="inlineStr">
        <is>
          <t>NORDMALING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35291-2023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45145</v>
      </c>
      <c r="E357" s="1" t="n">
        <v>46297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46297</v>
      </c>
      <c r="F358" t="inlineStr">
        <is>
          <t>VÄSTERBOTTENS LÄN</t>
        </is>
      </c>
      <c r="G358" t="inlineStr">
        <is>
          <t>NORDMALING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46297</v>
      </c>
      <c r="F359" t="inlineStr">
        <is>
          <t>VÄSTERBOTTENS LÄN</t>
        </is>
      </c>
      <c r="G359" t="inlineStr">
        <is>
          <t>NORDMALING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46151</v>
      </c>
      <c r="E360" s="1" t="n">
        <v>46297</v>
      </c>
      <c r="F360" t="inlineStr">
        <is>
          <t>VÄSTERBOTTENS LÄN</t>
        </is>
      </c>
      <c r="G360" t="inlineStr">
        <is>
          <t>NORDMALING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44812</v>
      </c>
      <c r="E361" s="1" t="n">
        <v>46297</v>
      </c>
      <c r="F361" t="inlineStr">
        <is>
          <t>VÄSTERBOTTENS LÄN</t>
        </is>
      </c>
      <c r="G361" t="inlineStr">
        <is>
          <t>NORDMALING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45378</v>
      </c>
      <c r="E362" s="1" t="n">
        <v>46297</v>
      </c>
      <c r="F362" t="inlineStr">
        <is>
          <t>VÄSTERBOTTENS LÄN</t>
        </is>
      </c>
      <c r="G362" t="inlineStr">
        <is>
          <t>NORDMALING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45419</v>
      </c>
      <c r="E363" s="1" t="n">
        <v>46297</v>
      </c>
      <c r="F363" t="inlineStr">
        <is>
          <t>VÄSTERBOTTENS LÄN</t>
        </is>
      </c>
      <c r="G363" t="inlineStr">
        <is>
          <t>NORDMALING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45096</v>
      </c>
      <c r="E364" s="1" t="n">
        <v>46297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48945-2022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44859</v>
      </c>
      <c r="E365" s="1" t="n">
        <v>46297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46151</v>
      </c>
      <c r="E366" s="1" t="n">
        <v>46297</v>
      </c>
      <c r="F366" t="inlineStr">
        <is>
          <t>VÄSTERBOTTENS LÄN</t>
        </is>
      </c>
      <c r="G366" t="inlineStr">
        <is>
          <t>NORDMALING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45105</v>
      </c>
      <c r="E367" s="1" t="n">
        <v>46297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45491</v>
      </c>
      <c r="E368" s="1" t="n">
        <v>46297</v>
      </c>
      <c r="F368" t="inlineStr">
        <is>
          <t>VÄSTERBOTTENS LÄN</t>
        </is>
      </c>
      <c r="G368" t="inlineStr">
        <is>
          <t>NORDMALING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53775-2023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46297</v>
      </c>
      <c r="F369" t="inlineStr">
        <is>
          <t>VÄSTERBOTTENS LÄN</t>
        </is>
      </c>
      <c r="G369" t="inlineStr">
        <is>
          <t>NORDMALING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44893</v>
      </c>
      <c r="E370" s="1" t="n">
        <v>46297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46297</v>
      </c>
      <c r="F371" t="inlineStr">
        <is>
          <t>VÄSTERBOTTENS LÄN</t>
        </is>
      </c>
      <c r="G371" t="inlineStr">
        <is>
          <t>NORDMALING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46297</v>
      </c>
      <c r="F372" t="inlineStr">
        <is>
          <t>VÄSTERBOTTENS LÄN</t>
        </is>
      </c>
      <c r="G372" t="inlineStr">
        <is>
          <t>NORDMALING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44949</v>
      </c>
      <c r="E373" s="1" t="n">
        <v>46297</v>
      </c>
      <c r="F373" t="inlineStr">
        <is>
          <t>VÄSTERBOTTENS LÄN</t>
        </is>
      </c>
      <c r="G373" t="inlineStr">
        <is>
          <t>NORDMALING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23005-2026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46160</v>
      </c>
      <c r="E374" s="1" t="n">
        <v>46297</v>
      </c>
      <c r="F374" t="inlineStr">
        <is>
          <t>VÄSTERBOTTENS LÄN</t>
        </is>
      </c>
      <c r="G374" t="inlineStr">
        <is>
          <t>NORDMALING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57251-2023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45245</v>
      </c>
      <c r="E375" s="1" t="n">
        <v>46297</v>
      </c>
      <c r="F375" t="inlineStr">
        <is>
          <t>VÄSTERBOTTENS LÄN</t>
        </is>
      </c>
      <c r="G375" t="inlineStr">
        <is>
          <t>NORDMALING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45139</v>
      </c>
      <c r="E376" s="1" t="n">
        <v>46297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46297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45187</v>
      </c>
      <c r="E378" s="1" t="n">
        <v>46297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46297</v>
      </c>
      <c r="F379" t="inlineStr">
        <is>
          <t>VÄSTERBOTTENS LÄN</t>
        </is>
      </c>
      <c r="G379" t="inlineStr">
        <is>
          <t>NORDMALING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46297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46297</v>
      </c>
      <c r="F381" t="inlineStr">
        <is>
          <t>VÄSTERBOTTENS LÄN</t>
        </is>
      </c>
      <c r="G381" t="inlineStr">
        <is>
          <t>NORDMALING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46297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23047-2026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46297</v>
      </c>
      <c r="F383" t="inlineStr">
        <is>
          <t>VÄSTERBOTTENS LÄN</t>
        </is>
      </c>
      <c r="G383" t="inlineStr">
        <is>
          <t>NORDMALING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46297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46297</v>
      </c>
      <c r="F385" t="inlineStr">
        <is>
          <t>VÄSTERBOTTENS LÄN</t>
        </is>
      </c>
      <c r="G385" t="inlineStr">
        <is>
          <t>NORDMALING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23049-2026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46297</v>
      </c>
      <c r="F386" t="inlineStr">
        <is>
          <t>VÄSTERBOTTENS LÄN</t>
        </is>
      </c>
      <c r="G386" t="inlineStr">
        <is>
          <t>NORDMALING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46297</v>
      </c>
      <c r="F387" t="inlineStr">
        <is>
          <t>VÄSTERBOTTENS LÄN</t>
        </is>
      </c>
      <c r="G387" t="inlineStr">
        <is>
          <t>NORDMALING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43541-2024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45569</v>
      </c>
      <c r="E388" s="1" t="n">
        <v>46297</v>
      </c>
      <c r="F388" t="inlineStr">
        <is>
          <t>VÄSTERBOTTENS LÄN</t>
        </is>
      </c>
      <c r="G388" t="inlineStr">
        <is>
          <t>NORDMALING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45575</v>
      </c>
      <c r="E389" s="1" t="n">
        <v>46297</v>
      </c>
      <c r="F389" t="inlineStr">
        <is>
          <t>VÄSTERBOTTENS LÄN</t>
        </is>
      </c>
      <c r="G389" t="inlineStr">
        <is>
          <t>NORDMALING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45344</v>
      </c>
      <c r="E390" s="1" t="n">
        <v>46297</v>
      </c>
      <c r="F390" t="inlineStr">
        <is>
          <t>VÄSTERBOTTENS LÄN</t>
        </is>
      </c>
      <c r="G390" t="inlineStr">
        <is>
          <t>NORDMALING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46297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45764</v>
      </c>
      <c r="E392" s="1" t="n">
        <v>46297</v>
      </c>
      <c r="F392" t="inlineStr">
        <is>
          <t>VÄSTERBOTTENS LÄN</t>
        </is>
      </c>
      <c r="G392" t="inlineStr">
        <is>
          <t>NORDMALING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46297</v>
      </c>
      <c r="F393" t="inlineStr">
        <is>
          <t>VÄSTERBOTTENS LÄN</t>
        </is>
      </c>
      <c r="G393" t="inlineStr">
        <is>
          <t>NORDMALING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22618-2024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45447</v>
      </c>
      <c r="E394" s="1" t="n">
        <v>46297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Holmen skog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69519-2021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44531</v>
      </c>
      <c r="E395" s="1" t="n">
        <v>46297</v>
      </c>
      <c r="F395" t="inlineStr">
        <is>
          <t>VÄSTERBOTTENS LÄN</t>
        </is>
      </c>
      <c r="G395" t="inlineStr">
        <is>
          <t>NORDMALING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46297</v>
      </c>
      <c r="F396" t="inlineStr">
        <is>
          <t>VÄSTERBOTTENS LÄN</t>
        </is>
      </c>
      <c r="G396" t="inlineStr">
        <is>
          <t>NORDMALING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72018-2021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44540</v>
      </c>
      <c r="E397" s="1" t="n">
        <v>46297</v>
      </c>
      <c r="F397" t="inlineStr">
        <is>
          <t>VÄSTERBOTTENS LÄN</t>
        </is>
      </c>
      <c r="G397" t="inlineStr">
        <is>
          <t>NORDMALING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24415-2024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45457</v>
      </c>
      <c r="E398" s="1" t="n">
        <v>46297</v>
      </c>
      <c r="F398" t="inlineStr">
        <is>
          <t>VÄSTERBOTTENS LÄN</t>
        </is>
      </c>
      <c r="G398" t="inlineStr">
        <is>
          <t>NORDMALING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25214-2026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46171</v>
      </c>
      <c r="E399" s="1" t="n">
        <v>46297</v>
      </c>
      <c r="F399" t="inlineStr">
        <is>
          <t>VÄSTERBOTTENS LÄN</t>
        </is>
      </c>
      <c r="G399" t="inlineStr">
        <is>
          <t>NORDMALING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45180</v>
      </c>
      <c r="E400" s="1" t="n">
        <v>46297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46297</v>
      </c>
      <c r="F401" t="inlineStr">
        <is>
          <t>VÄSTERBOTTENS LÄN</t>
        </is>
      </c>
      <c r="G401" t="inlineStr">
        <is>
          <t>NORDMALING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45673</v>
      </c>
      <c r="E402" s="1" t="n">
        <v>46297</v>
      </c>
      <c r="F402" t="inlineStr">
        <is>
          <t>VÄSTERBOTTENS LÄN</t>
        </is>
      </c>
      <c r="G402" t="inlineStr">
        <is>
          <t>NORDMALING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45022</v>
      </c>
      <c r="E403" s="1" t="n">
        <v>46297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46297</v>
      </c>
      <c r="F404" t="inlineStr">
        <is>
          <t>VÄSTERBOTTENS LÄN</t>
        </is>
      </c>
      <c r="G404" t="inlineStr">
        <is>
          <t>NORDMALING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44981</v>
      </c>
      <c r="E405" s="1" t="n">
        <v>46297</v>
      </c>
      <c r="F405" t="inlineStr">
        <is>
          <t>VÄSTERBOTTENS LÄN</t>
        </is>
      </c>
      <c r="G405" t="inlineStr">
        <is>
          <t>NORDMALING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53889-2024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46297</v>
      </c>
      <c r="F406" t="inlineStr">
        <is>
          <t>VÄSTERBOTTENS LÄN</t>
        </is>
      </c>
      <c r="G406" t="inlineStr">
        <is>
          <t>NORDMALING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46297</v>
      </c>
      <c r="F407" t="inlineStr">
        <is>
          <t>VÄSTERBOTTENS LÄN</t>
        </is>
      </c>
      <c r="G407" t="inlineStr">
        <is>
          <t>NORDMALING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46297</v>
      </c>
      <c r="F408" t="inlineStr">
        <is>
          <t>VÄSTERBOTTENS LÄN</t>
        </is>
      </c>
      <c r="G408" t="inlineStr">
        <is>
          <t>NORDMALING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45141</v>
      </c>
      <c r="E409" s="1" t="n">
        <v>46297</v>
      </c>
      <c r="F409" t="inlineStr">
        <is>
          <t>VÄSTERBOTTENS LÄN</t>
        </is>
      </c>
      <c r="G409" t="inlineStr">
        <is>
          <t>NORDMALING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47516-2024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45587</v>
      </c>
      <c r="E410" s="1" t="n">
        <v>46297</v>
      </c>
      <c r="F410" t="inlineStr">
        <is>
          <t>VÄSTERBOTTENS LÄN</t>
        </is>
      </c>
      <c r="G410" t="inlineStr">
        <is>
          <t>NORDMALING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46297</v>
      </c>
      <c r="F411" t="inlineStr">
        <is>
          <t>VÄSTERBOTTENS LÄN</t>
        </is>
      </c>
      <c r="G411" t="inlineStr">
        <is>
          <t>NORDMALING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45158</v>
      </c>
      <c r="E412" s="1" t="n">
        <v>46297</v>
      </c>
      <c r="F412" t="inlineStr">
        <is>
          <t>VÄSTERBOTTENS LÄN</t>
        </is>
      </c>
      <c r="G412" t="inlineStr">
        <is>
          <t>NORDMALING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46297</v>
      </c>
      <c r="F413" t="inlineStr">
        <is>
          <t>VÄSTERBOTTENS LÄN</t>
        </is>
      </c>
      <c r="G413" t="inlineStr">
        <is>
          <t>NORDMALING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44993</v>
      </c>
      <c r="E414" s="1" t="n">
        <v>46297</v>
      </c>
      <c r="F414" t="inlineStr">
        <is>
          <t>VÄSTERBOTTENS LÄN</t>
        </is>
      </c>
      <c r="G414" t="inlineStr">
        <is>
          <t>NORDMALING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45524</v>
      </c>
      <c r="E415" s="1" t="n">
        <v>46297</v>
      </c>
      <c r="F415" t="inlineStr">
        <is>
          <t>VÄSTERBOTTENS LÄN</t>
        </is>
      </c>
      <c r="G415" t="inlineStr">
        <is>
          <t>NORDMALING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44475-2024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46297</v>
      </c>
      <c r="F416" t="inlineStr">
        <is>
          <t>VÄSTERBOTTENS LÄN</t>
        </is>
      </c>
      <c r="G416" t="inlineStr">
        <is>
          <t>NORDMALING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5258-2024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45330</v>
      </c>
      <c r="E417" s="1" t="n">
        <v>46297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45525</v>
      </c>
      <c r="E418" s="1" t="n">
        <v>46297</v>
      </c>
      <c r="F418" t="inlineStr">
        <is>
          <t>VÄSTERBOTTENS LÄN</t>
        </is>
      </c>
      <c r="G418" t="inlineStr">
        <is>
          <t>NORDMALING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46297</v>
      </c>
      <c r="F419" t="inlineStr">
        <is>
          <t>VÄSTERBOTTENS LÄN</t>
        </is>
      </c>
      <c r="G419" t="inlineStr">
        <is>
          <t>NORDMALING</t>
        </is>
      </c>
      <c r="I419" t="n">
        <v>20.1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45187</v>
      </c>
      <c r="E420" s="1" t="n">
        <v>46297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25344-2024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46297</v>
      </c>
      <c r="F421" t="inlineStr">
        <is>
          <t>VÄSTERBOTTENS LÄN</t>
        </is>
      </c>
      <c r="G421" t="inlineStr">
        <is>
          <t>NORDMALING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45462</v>
      </c>
      <c r="E422" s="1" t="n">
        <v>46297</v>
      </c>
      <c r="F422" t="inlineStr">
        <is>
          <t>VÄSTERBOTTENS LÄN</t>
        </is>
      </c>
      <c r="G422" t="inlineStr">
        <is>
          <t>NORDMALING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46297</v>
      </c>
      <c r="F423" t="inlineStr">
        <is>
          <t>VÄSTERBOTTENS LÄN</t>
        </is>
      </c>
      <c r="G423" t="inlineStr">
        <is>
          <t>NORDMALING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45638</v>
      </c>
      <c r="E424" s="1" t="n">
        <v>46297</v>
      </c>
      <c r="F424" t="inlineStr">
        <is>
          <t>VÄSTERBOTTENS LÄN</t>
        </is>
      </c>
      <c r="G424" t="inlineStr">
        <is>
          <t>NORDMALING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45712</v>
      </c>
      <c r="E425" s="1" t="n">
        <v>46297</v>
      </c>
      <c r="F425" t="inlineStr">
        <is>
          <t>VÄSTERBOTTENS LÄN</t>
        </is>
      </c>
      <c r="G425" t="inlineStr">
        <is>
          <t>NORDMALING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26796-2026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46185</v>
      </c>
      <c r="E426" s="1" t="n">
        <v>46297</v>
      </c>
      <c r="F426" t="inlineStr">
        <is>
          <t>VÄSTERBOTTENS LÄN</t>
        </is>
      </c>
      <c r="G426" t="inlineStr">
        <is>
          <t>NORDMALING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18232-2024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45420</v>
      </c>
      <c r="E427" s="1" t="n">
        <v>46297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46297</v>
      </c>
      <c r="F428" t="inlineStr">
        <is>
          <t>VÄSTERBOTTENS LÄN</t>
        </is>
      </c>
      <c r="G428" t="inlineStr">
        <is>
          <t>NORDMALING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46297</v>
      </c>
      <c r="F429" t="inlineStr">
        <is>
          <t>VÄSTERBOTTENS LÄN</t>
        </is>
      </c>
      <c r="G429" t="inlineStr">
        <is>
          <t>NORDMALING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45326-2025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46297</v>
      </c>
      <c r="F430" t="inlineStr">
        <is>
          <t>VÄSTERBOTTENS LÄN</t>
        </is>
      </c>
      <c r="G430" t="inlineStr">
        <is>
          <t>NORDMALING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46297</v>
      </c>
      <c r="F431" t="inlineStr">
        <is>
          <t>VÄSTERBOTTENS LÄN</t>
        </is>
      </c>
      <c r="G431" t="inlineStr">
        <is>
          <t>NORDMALING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47777-2022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44854</v>
      </c>
      <c r="E432" s="1" t="n">
        <v>46297</v>
      </c>
      <c r="F432" t="inlineStr">
        <is>
          <t>VÄSTERBOTTENS LÄN</t>
        </is>
      </c>
      <c r="G432" t="inlineStr">
        <is>
          <t>NORDMALING</t>
        </is>
      </c>
      <c r="I432" t="n">
        <v>10.5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48940-2022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44859</v>
      </c>
      <c r="E433" s="1" t="n">
        <v>46297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45607</v>
      </c>
      <c r="E434" s="1" t="n">
        <v>46297</v>
      </c>
      <c r="F434" t="inlineStr">
        <is>
          <t>VÄSTERBOTTENS LÄN</t>
        </is>
      </c>
      <c r="G434" t="inlineStr">
        <is>
          <t>NORDMALING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46297</v>
      </c>
      <c r="F435" t="inlineStr">
        <is>
          <t>VÄSTERBOTTENS LÄN</t>
        </is>
      </c>
      <c r="G435" t="inlineStr">
        <is>
          <t>NORDMALING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72841-2021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46297</v>
      </c>
      <c r="F436" t="inlineStr">
        <is>
          <t>VÄSTERBOTTENS LÄN</t>
        </is>
      </c>
      <c r="G436" t="inlineStr">
        <is>
          <t>NORDMALING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46297</v>
      </c>
      <c r="F437" t="inlineStr">
        <is>
          <t>VÄSTERBOTTENS LÄN</t>
        </is>
      </c>
      <c r="G437" t="inlineStr">
        <is>
          <t>NORDMALING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46297</v>
      </c>
      <c r="F438" t="inlineStr">
        <is>
          <t>VÄSTERBOTTENS LÄN</t>
        </is>
      </c>
      <c r="G438" t="inlineStr">
        <is>
          <t>NORDMALING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33612-2022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44789</v>
      </c>
      <c r="E439" s="1" t="n">
        <v>46297</v>
      </c>
      <c r="F439" t="inlineStr">
        <is>
          <t>VÄSTERBOTTENS LÄN</t>
        </is>
      </c>
      <c r="G439" t="inlineStr">
        <is>
          <t>NORDMALING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46297</v>
      </c>
      <c r="F440" t="inlineStr">
        <is>
          <t>VÄSTERBOTTENS LÄN</t>
        </is>
      </c>
      <c r="G440" t="inlineStr">
        <is>
          <t>NORDMALING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34685-2023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45140</v>
      </c>
      <c r="E441" s="1" t="n">
        <v>46297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46297</v>
      </c>
      <c r="F442" t="inlineStr">
        <is>
          <t>VÄSTERBOTTENS LÄN</t>
        </is>
      </c>
      <c r="G442" t="inlineStr">
        <is>
          <t>NORDMALING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45139</v>
      </c>
      <c r="E443" s="1" t="n">
        <v>46297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46297</v>
      </c>
      <c r="F444" t="inlineStr">
        <is>
          <t>VÄSTERBOTTENS LÄN</t>
        </is>
      </c>
      <c r="G444" t="inlineStr">
        <is>
          <t>NORDMALING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46297</v>
      </c>
      <c r="F445" t="inlineStr">
        <is>
          <t>VÄSTERBOTTENS LÄN</t>
        </is>
      </c>
      <c r="G445" t="inlineStr">
        <is>
          <t>NORDMALING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46297</v>
      </c>
      <c r="F446" t="inlineStr">
        <is>
          <t>VÄSTERBOTTENS LÄN</t>
        </is>
      </c>
      <c r="G446" t="inlineStr">
        <is>
          <t>NORDMALING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46297</v>
      </c>
      <c r="F447" t="inlineStr">
        <is>
          <t>VÄSTERBOTTENS LÄN</t>
        </is>
      </c>
      <c r="G447" t="inlineStr">
        <is>
          <t>NORDMALING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46297</v>
      </c>
      <c r="F448" t="inlineStr">
        <is>
          <t>VÄSTERBOTTENS LÄN</t>
        </is>
      </c>
      <c r="G448" t="inlineStr">
        <is>
          <t>NORDMALING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46297</v>
      </c>
      <c r="F449" t="inlineStr">
        <is>
          <t>VÄSTERBOTTENS LÄN</t>
        </is>
      </c>
      <c r="G449" t="inlineStr">
        <is>
          <t>NORDMALING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46297</v>
      </c>
      <c r="F450" t="inlineStr">
        <is>
          <t>VÄSTERBOTTENS LÄN</t>
        </is>
      </c>
      <c r="G450" t="inlineStr">
        <is>
          <t>NORDMALING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45237</v>
      </c>
      <c r="E451" s="1" t="n">
        <v>46297</v>
      </c>
      <c r="F451" t="inlineStr">
        <is>
          <t>VÄSTERBOTTENS LÄN</t>
        </is>
      </c>
      <c r="G451" t="inlineStr">
        <is>
          <t>NORDMALING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46205</v>
      </c>
      <c r="E452" s="1" t="n">
        <v>46297</v>
      </c>
      <c r="F452" t="inlineStr">
        <is>
          <t>VÄSTERBOTTENS LÄN</t>
        </is>
      </c>
      <c r="G452" t="inlineStr">
        <is>
          <t>NORDMALING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46297</v>
      </c>
      <c r="F453" t="inlineStr">
        <is>
          <t>VÄSTERBOTTENS LÄN</t>
        </is>
      </c>
      <c r="G453" t="inlineStr">
        <is>
          <t>NORDMALING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46297</v>
      </c>
      <c r="F454" t="inlineStr">
        <is>
          <t>VÄSTERBOTTENS LÄN</t>
        </is>
      </c>
      <c r="G454" t="inlineStr">
        <is>
          <t>NORDMALING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39816-2023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45167</v>
      </c>
      <c r="E455" s="1" t="n">
        <v>46297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44687</v>
      </c>
      <c r="E456" s="1" t="n">
        <v>46297</v>
      </c>
      <c r="F456" t="inlineStr">
        <is>
          <t>VÄSTERBOTTENS LÄN</t>
        </is>
      </c>
      <c r="G456" t="inlineStr">
        <is>
          <t>NORDMALING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45665</v>
      </c>
      <c r="E457" s="1" t="n">
        <v>46297</v>
      </c>
      <c r="F457" t="inlineStr">
        <is>
          <t>VÄSTERBOTTENS LÄN</t>
        </is>
      </c>
      <c r="G457" t="inlineStr">
        <is>
          <t>NORDMALING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46297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45158</v>
      </c>
      <c r="E459" s="1" t="n">
        <v>46297</v>
      </c>
      <c r="F459" t="inlineStr">
        <is>
          <t>VÄSTERBOTTENS LÄN</t>
        </is>
      </c>
      <c r="G459" t="inlineStr">
        <is>
          <t>NORDMALING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45770</v>
      </c>
      <c r="E460" s="1" t="n">
        <v>46297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34812-2026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46297</v>
      </c>
      <c r="F461" t="inlineStr">
        <is>
          <t>VÄSTERBOTTENS LÄN</t>
        </is>
      </c>
      <c r="G461" t="inlineStr">
        <is>
          <t>NORDMALING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46297</v>
      </c>
      <c r="F462" t="inlineStr">
        <is>
          <t>VÄSTERBOTTENS LÄN</t>
        </is>
      </c>
      <c r="G462" t="inlineStr">
        <is>
          <t>NORDMALING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46297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Kyrkan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46297</v>
      </c>
      <c r="F464" t="inlineStr">
        <is>
          <t>VÄSTERBOTTENS LÄN</t>
        </is>
      </c>
      <c r="G464" t="inlineStr">
        <is>
          <t>NORDMALING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44756</v>
      </c>
      <c r="E465" s="1" t="n">
        <v>46297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46297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46297</v>
      </c>
      <c r="F467" t="inlineStr">
        <is>
          <t>VÄSTERBOTTENS LÄN</t>
        </is>
      </c>
      <c r="G467" t="inlineStr">
        <is>
          <t>NORDMALING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61795-2023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45265</v>
      </c>
      <c r="E468" s="1" t="n">
        <v>46297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30778-2026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46212</v>
      </c>
      <c r="E469" s="1" t="n">
        <v>46297</v>
      </c>
      <c r="F469" t="inlineStr">
        <is>
          <t>VÄSTERBOTTENS LÄN</t>
        </is>
      </c>
      <c r="G469" t="inlineStr">
        <is>
          <t>NORDMALING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46297</v>
      </c>
      <c r="F470" t="inlineStr">
        <is>
          <t>VÄSTERBOTTENS LÄN</t>
        </is>
      </c>
      <c r="G470" t="inlineStr">
        <is>
          <t>NORDMALING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46297</v>
      </c>
      <c r="F471" t="inlineStr">
        <is>
          <t>VÄSTERBOTTENS LÄN</t>
        </is>
      </c>
      <c r="G471" t="inlineStr">
        <is>
          <t>NORDMALING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46297</v>
      </c>
      <c r="F472" t="inlineStr">
        <is>
          <t>VÄSTERBOTTENS LÄN</t>
        </is>
      </c>
      <c r="G472" t="inlineStr">
        <is>
          <t>NORDMALING</t>
        </is>
      </c>
      <c r="H472" t="inlineStr">
        <is>
          <t>Kyrkan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46297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46297</v>
      </c>
      <c r="F474" t="inlineStr">
        <is>
          <t>VÄSTERBOTTENS LÄN</t>
        </is>
      </c>
      <c r="G474" t="inlineStr">
        <is>
          <t>NORDMALING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46265</v>
      </c>
      <c r="E475" s="1" t="n">
        <v>46297</v>
      </c>
      <c r="F475" t="inlineStr">
        <is>
          <t>VÄSTERBOTTENS LÄN</t>
        </is>
      </c>
      <c r="G475" t="inlineStr">
        <is>
          <t>NORDMALING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46297</v>
      </c>
      <c r="F476" t="inlineStr">
        <is>
          <t>VÄSTERBOTTENS LÄN</t>
        </is>
      </c>
      <c r="G476" t="inlineStr">
        <is>
          <t>NORDMALING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46297</v>
      </c>
      <c r="F477" t="inlineStr">
        <is>
          <t>VÄSTERBOTTENS LÄN</t>
        </is>
      </c>
      <c r="G477" t="inlineStr">
        <is>
          <t>NORDMALING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46263</v>
      </c>
      <c r="E478" s="1" t="n">
        <v>46297</v>
      </c>
      <c r="F478" t="inlineStr">
        <is>
          <t>VÄSTERBOTTENS LÄN</t>
        </is>
      </c>
      <c r="G478" t="inlineStr">
        <is>
          <t>NORDMALING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46266</v>
      </c>
      <c r="E479" s="1" t="n">
        <v>46297</v>
      </c>
      <c r="F479" t="inlineStr">
        <is>
          <t>VÄSTERBOTTENS LÄN</t>
        </is>
      </c>
      <c r="G479" t="inlineStr">
        <is>
          <t>NORDMALING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39198-2022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44816</v>
      </c>
      <c r="E480" s="1" t="n">
        <v>46297</v>
      </c>
      <c r="F480" t="inlineStr">
        <is>
          <t>VÄSTERBOTTENS LÄN</t>
        </is>
      </c>
      <c r="G480" t="inlineStr">
        <is>
          <t>NORDMALING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46297</v>
      </c>
      <c r="F481" t="inlineStr">
        <is>
          <t>VÄSTERBOTTENS LÄN</t>
        </is>
      </c>
      <c r="G481" t="inlineStr">
        <is>
          <t>NORDMALING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36094-2026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46297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46297</v>
      </c>
      <c r="F483" t="inlineStr">
        <is>
          <t>VÄSTERBOTTENS LÄN</t>
        </is>
      </c>
      <c r="G483" t="inlineStr">
        <is>
          <t>NORDMALING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46297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45736</v>
      </c>
      <c r="E485" s="1" t="n">
        <v>46297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42823-2024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46297</v>
      </c>
      <c r="F486" t="inlineStr">
        <is>
          <t>VÄSTERBOTTENS LÄN</t>
        </is>
      </c>
      <c r="G486" t="inlineStr">
        <is>
          <t>NORDMALING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46297</v>
      </c>
      <c r="F487" t="inlineStr">
        <is>
          <t>VÄSTERBOTTENS LÄN</t>
        </is>
      </c>
      <c r="G487" t="inlineStr">
        <is>
          <t>NORDMALING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46297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46297</v>
      </c>
      <c r="F489" t="inlineStr">
        <is>
          <t>VÄSTERBOTTENS LÄN</t>
        </is>
      </c>
      <c r="G489" t="inlineStr">
        <is>
          <t>NORDMALING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45167</v>
      </c>
      <c r="E490" s="1" t="n">
        <v>46297</v>
      </c>
      <c r="F490" t="inlineStr">
        <is>
          <t>VÄSTERBOTTENS LÄN</t>
        </is>
      </c>
      <c r="G490" t="inlineStr">
        <is>
          <t>NORDMALING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8103-2025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45707</v>
      </c>
      <c r="E491" s="1" t="n">
        <v>46297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45505</v>
      </c>
      <c r="E492" s="1" t="n">
        <v>46297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37178-2026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46297</v>
      </c>
      <c r="F493" t="inlineStr">
        <is>
          <t>VÄSTERBOTTENS LÄN</t>
        </is>
      </c>
      <c r="G493" t="inlineStr">
        <is>
          <t>NORDMALING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45536</v>
      </c>
      <c r="E494" s="1" t="n">
        <v>46297</v>
      </c>
      <c r="F494" t="inlineStr">
        <is>
          <t>VÄSTERBOTTENS LÄN</t>
        </is>
      </c>
      <c r="G494" t="inlineStr">
        <is>
          <t>NORDMALING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62159-2022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44922</v>
      </c>
      <c r="E495" s="1" t="n">
        <v>46297</v>
      </c>
      <c r="F495" t="inlineStr">
        <is>
          <t>VÄSTERBOTTENS LÄN</t>
        </is>
      </c>
      <c r="G495" t="inlineStr">
        <is>
          <t>NORDMALING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46275</v>
      </c>
      <c r="E496" s="1" t="n">
        <v>46297</v>
      </c>
      <c r="F496" t="inlineStr">
        <is>
          <t>VÄSTERBOTTENS LÄN</t>
        </is>
      </c>
      <c r="G496" t="inlineStr">
        <is>
          <t>NORDMALING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19865-2024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45433</v>
      </c>
      <c r="E497" s="1" t="n">
        <v>46297</v>
      </c>
      <c r="F497" t="inlineStr">
        <is>
          <t>VÄSTERBOTTENS LÄN</t>
        </is>
      </c>
      <c r="G497" t="inlineStr">
        <is>
          <t>NORDMALING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45775</v>
      </c>
      <c r="E498" s="1" t="n">
        <v>46297</v>
      </c>
      <c r="F498" t="inlineStr">
        <is>
          <t>VÄSTERBOTTENS LÄN</t>
        </is>
      </c>
      <c r="G498" t="inlineStr">
        <is>
          <t>NORDMALING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44916</v>
      </c>
      <c r="E499" s="1" t="n">
        <v>46297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37354-2026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46275</v>
      </c>
      <c r="E500" s="1" t="n">
        <v>46297</v>
      </c>
      <c r="F500" t="inlineStr">
        <is>
          <t>VÄSTERBOTTENS LÄN</t>
        </is>
      </c>
      <c r="G500" t="inlineStr">
        <is>
          <t>NORDMALING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44949</v>
      </c>
      <c r="E501" s="1" t="n">
        <v>46297</v>
      </c>
      <c r="F501" t="inlineStr">
        <is>
          <t>VÄSTERBOTTENS LÄN</t>
        </is>
      </c>
      <c r="G501" t="inlineStr">
        <is>
          <t>NORDMALING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39104-2022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44816</v>
      </c>
      <c r="E502" s="1" t="n">
        <v>46297</v>
      </c>
      <c r="F502" t="inlineStr">
        <is>
          <t>VÄSTERBOTTENS LÄN</t>
        </is>
      </c>
      <c r="G502" t="inlineStr">
        <is>
          <t>NORDMALING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46297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46297</v>
      </c>
      <c r="F504" t="inlineStr">
        <is>
          <t>VÄSTERBOTTENS LÄN</t>
        </is>
      </c>
      <c r="G504" t="inlineStr">
        <is>
          <t>NORDMALING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21607-2022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44706</v>
      </c>
      <c r="E505" s="1" t="n">
        <v>46297</v>
      </c>
      <c r="F505" t="inlineStr">
        <is>
          <t>VÄSTERBOTTENS LÄN</t>
        </is>
      </c>
      <c r="G505" t="inlineStr">
        <is>
          <t>NORDMALING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46297</v>
      </c>
      <c r="F506" t="inlineStr">
        <is>
          <t>VÄSTERBOTTENS LÄN</t>
        </is>
      </c>
      <c r="G506" t="inlineStr">
        <is>
          <t>NORDMALING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46297</v>
      </c>
      <c r="F507" t="inlineStr">
        <is>
          <t>VÄSTERBOTTENS LÄN</t>
        </is>
      </c>
      <c r="G507" t="inlineStr">
        <is>
          <t>NORDMALING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58480-2023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45251</v>
      </c>
      <c r="E508" s="1" t="n">
        <v>46297</v>
      </c>
      <c r="F508" t="inlineStr">
        <is>
          <t>VÄSTERBOTTENS LÄN</t>
        </is>
      </c>
      <c r="G508" t="inlineStr">
        <is>
          <t>NORDMALING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46239</v>
      </c>
      <c r="E509" s="1" t="n">
        <v>46297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Kyrkan</t>
        </is>
      </c>
      <c r="I509" t="n">
        <v>9.699999999999999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45348</v>
      </c>
      <c r="E510" s="1" t="n">
        <v>46297</v>
      </c>
      <c r="F510" t="inlineStr">
        <is>
          <t>VÄSTERBOTTENS LÄN</t>
        </is>
      </c>
      <c r="G510" t="inlineStr">
        <is>
          <t>NORDMALING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7007-2024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45343</v>
      </c>
      <c r="E511" s="1" t="n">
        <v>46297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Kommuner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9860-2022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46297</v>
      </c>
      <c r="F512" t="inlineStr">
        <is>
          <t>VÄSTERBOTTENS LÄN</t>
        </is>
      </c>
      <c r="G512" t="inlineStr">
        <is>
          <t>NORDMALING</t>
        </is>
      </c>
      <c r="I512" t="n">
        <v>82.40000000000001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46239</v>
      </c>
      <c r="E513" s="1" t="n">
        <v>46297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Kyrkan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46297</v>
      </c>
      <c r="F514" t="inlineStr">
        <is>
          <t>VÄSTERBOTTENS LÄN</t>
        </is>
      </c>
      <c r="G514" t="inlineStr">
        <is>
          <t>NORDMALING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45439</v>
      </c>
      <c r="E515" s="1" t="n">
        <v>46297</v>
      </c>
      <c r="F515" t="inlineStr">
        <is>
          <t>VÄSTERBOTTENS LÄN</t>
        </is>
      </c>
      <c r="G515" t="inlineStr">
        <is>
          <t>NORDMALING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53986-2022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44881</v>
      </c>
      <c r="E516" s="1" t="n">
        <v>46297</v>
      </c>
      <c r="F516" t="inlineStr">
        <is>
          <t>VÄSTERBOTTENS LÄN</t>
        </is>
      </c>
      <c r="G516" t="inlineStr">
        <is>
          <t>NORDMALING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46297</v>
      </c>
      <c r="F517" t="inlineStr">
        <is>
          <t>VÄSTERBOTTENS LÄN</t>
        </is>
      </c>
      <c r="G517" t="inlineStr">
        <is>
          <t>NORDMALING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46297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46297</v>
      </c>
      <c r="F519" t="inlineStr">
        <is>
          <t>VÄSTERBOTTENS LÄN</t>
        </is>
      </c>
      <c r="G519" t="inlineStr">
        <is>
          <t>NORDMALING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46297</v>
      </c>
      <c r="F520" t="inlineStr">
        <is>
          <t>VÄSTERBOTTENS LÄN</t>
        </is>
      </c>
      <c r="G520" t="inlineStr">
        <is>
          <t>NORDMALING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46297</v>
      </c>
      <c r="F521" t="inlineStr">
        <is>
          <t>VÄSTERBOTTENS LÄN</t>
        </is>
      </c>
      <c r="G521" t="inlineStr">
        <is>
          <t>NORDMALING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46297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46297</v>
      </c>
      <c r="F523" t="inlineStr">
        <is>
          <t>VÄSTERBOTTENS LÄN</t>
        </is>
      </c>
      <c r="G523" t="inlineStr">
        <is>
          <t>NORDMALING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46297</v>
      </c>
      <c r="F524" t="inlineStr">
        <is>
          <t>VÄSTERBOTTENS LÄN</t>
        </is>
      </c>
      <c r="G524" t="inlineStr">
        <is>
          <t>NORDMALING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46297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46297</v>
      </c>
      <c r="F526" t="inlineStr">
        <is>
          <t>VÄSTERBOTTENS LÄN</t>
        </is>
      </c>
      <c r="G526" t="inlineStr">
        <is>
          <t>NORDMALING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46297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46297</v>
      </c>
      <c r="F528" t="inlineStr">
        <is>
          <t>VÄSTERBOTTENS LÄN</t>
        </is>
      </c>
      <c r="G528" t="inlineStr">
        <is>
          <t>NORDMALING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46297</v>
      </c>
      <c r="F529" t="inlineStr">
        <is>
          <t>VÄSTERBOTTENS LÄN</t>
        </is>
      </c>
      <c r="G529" t="inlineStr">
        <is>
          <t>NORDMALING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46297</v>
      </c>
      <c r="F530" t="inlineStr">
        <is>
          <t>VÄSTERBOTTENS LÄN</t>
        </is>
      </c>
      <c r="G530" t="inlineStr">
        <is>
          <t>NORDMALING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35923-2026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46266</v>
      </c>
      <c r="E531" s="1" t="n">
        <v>46297</v>
      </c>
      <c r="F531" t="inlineStr">
        <is>
          <t>VÄSTERBOTTENS LÄN</t>
        </is>
      </c>
      <c r="G531" t="inlineStr">
        <is>
          <t>NORDMALING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46245</v>
      </c>
      <c r="E532" s="1" t="n">
        <v>46297</v>
      </c>
      <c r="F532" t="inlineStr">
        <is>
          <t>VÄSTERBOTTENS LÄN</t>
        </is>
      </c>
      <c r="G532" t="inlineStr">
        <is>
          <t>NORDMALING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46287</v>
      </c>
      <c r="E533" s="1" t="n">
        <v>46297</v>
      </c>
      <c r="F533" t="inlineStr">
        <is>
          <t>VÄSTERBOTTENS LÄN</t>
        </is>
      </c>
      <c r="G533" t="inlineStr">
        <is>
          <t>NORDMALING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46297</v>
      </c>
      <c r="F534" t="inlineStr">
        <is>
          <t>VÄSTERBOTTENS LÄN</t>
        </is>
      </c>
      <c r="G534" t="inlineStr">
        <is>
          <t>NORDMALING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46297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46244</v>
      </c>
      <c r="E536" s="1" t="n">
        <v>46297</v>
      </c>
      <c r="F536" t="inlineStr">
        <is>
          <t>VÄSTERBOTTENS LÄN</t>
        </is>
      </c>
      <c r="G536" t="inlineStr">
        <is>
          <t>NORDMALING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46244</v>
      </c>
      <c r="E537" s="1" t="n">
        <v>46297</v>
      </c>
      <c r="F537" t="inlineStr">
        <is>
          <t>VÄSTERBOTTENS LÄN</t>
        </is>
      </c>
      <c r="G537" t="inlineStr">
        <is>
          <t>NORDMALING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46297</v>
      </c>
      <c r="F538" t="inlineStr">
        <is>
          <t>VÄSTERBOTTENS LÄN</t>
        </is>
      </c>
      <c r="G538" t="inlineStr">
        <is>
          <t>NORDMALING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32901-2026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46297</v>
      </c>
      <c r="F539" t="inlineStr">
        <is>
          <t>VÄSTERBOTTENS LÄN</t>
        </is>
      </c>
      <c r="G539" t="inlineStr">
        <is>
          <t>NORDMALING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46297</v>
      </c>
      <c r="F540" t="inlineStr">
        <is>
          <t>VÄSTERBOTTENS LÄN</t>
        </is>
      </c>
      <c r="G540" t="inlineStr">
        <is>
          <t>NORDMALING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45673</v>
      </c>
      <c r="E541" s="1" t="n">
        <v>46297</v>
      </c>
      <c r="F541" t="inlineStr">
        <is>
          <t>VÄSTERBOTTENS LÄN</t>
        </is>
      </c>
      <c r="G541" t="inlineStr">
        <is>
          <t>NORDMALING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26197-2022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44735</v>
      </c>
      <c r="E542" s="1" t="n">
        <v>46297</v>
      </c>
      <c r="F542" t="inlineStr">
        <is>
          <t>VÄSTERBOTTENS LÄN</t>
        </is>
      </c>
      <c r="G542" t="inlineStr">
        <is>
          <t>NORDMALING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46297</v>
      </c>
      <c r="F543" t="inlineStr">
        <is>
          <t>VÄSTERBOTTENS LÄN</t>
        </is>
      </c>
      <c r="G543" t="inlineStr">
        <is>
          <t>NORDMALING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46297</v>
      </c>
      <c r="F544" t="inlineStr">
        <is>
          <t>VÄSTERBOTTENS LÄN</t>
        </is>
      </c>
      <c r="G544" t="inlineStr">
        <is>
          <t>NORDMALING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62247-2025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46006</v>
      </c>
      <c r="E545" s="1" t="n">
        <v>46297</v>
      </c>
      <c r="F545" t="inlineStr">
        <is>
          <t>VÄSTERBOTTENS LÄN</t>
        </is>
      </c>
      <c r="G545" t="inlineStr">
        <is>
          <t>NORDMALING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46297</v>
      </c>
      <c r="F546" t="inlineStr">
        <is>
          <t>VÄSTERBOTTENS LÄN</t>
        </is>
      </c>
      <c r="G546" t="inlineStr">
        <is>
          <t>NORDMALING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46297</v>
      </c>
      <c r="F547" t="inlineStr">
        <is>
          <t>VÄSTERBOTTENS LÄN</t>
        </is>
      </c>
      <c r="G547" t="inlineStr">
        <is>
          <t>NORDMALING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46287</v>
      </c>
      <c r="E548" s="1" t="n">
        <v>46297</v>
      </c>
      <c r="F548" t="inlineStr">
        <is>
          <t>VÄSTERBOTTENS LÄN</t>
        </is>
      </c>
      <c r="G548" t="inlineStr">
        <is>
          <t>NORDMALING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46297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44859</v>
      </c>
      <c r="E550" s="1" t="n">
        <v>46297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14689-2025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45742</v>
      </c>
      <c r="E551" s="1" t="n">
        <v>46297</v>
      </c>
      <c r="F551" t="inlineStr">
        <is>
          <t>VÄSTERBOTTENS LÄN</t>
        </is>
      </c>
      <c r="G551" t="inlineStr">
        <is>
          <t>NORDMALING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46246</v>
      </c>
      <c r="E552" s="1" t="n">
        <v>46297</v>
      </c>
      <c r="F552" t="inlineStr">
        <is>
          <t>VÄSTERBOTTENS LÄN</t>
        </is>
      </c>
      <c r="G552" t="inlineStr">
        <is>
          <t>NORDMALING</t>
        </is>
      </c>
      <c r="I552" t="n">
        <v>8.5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46297</v>
      </c>
      <c r="F553" t="inlineStr">
        <is>
          <t>VÄSTERBOTTENS LÄN</t>
        </is>
      </c>
      <c r="G553" t="inlineStr">
        <is>
          <t>NORDMALING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45021</v>
      </c>
      <c r="E554" s="1" t="n">
        <v>46297</v>
      </c>
      <c r="F554" t="inlineStr">
        <is>
          <t>VÄSTERBOTTENS LÄN</t>
        </is>
      </c>
      <c r="G554" t="inlineStr">
        <is>
          <t>NORDMALING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45096</v>
      </c>
      <c r="E555" s="1" t="n">
        <v>46297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46297</v>
      </c>
      <c r="F556" t="inlineStr">
        <is>
          <t>VÄSTERBOTTENS LÄN</t>
        </is>
      </c>
      <c r="G556" t="inlineStr">
        <is>
          <t>NORDMALING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44888</v>
      </c>
      <c r="E557" s="1" t="n">
        <v>46297</v>
      </c>
      <c r="F557" t="inlineStr">
        <is>
          <t>VÄSTERBOTTENS LÄN</t>
        </is>
      </c>
      <c r="G557" t="inlineStr">
        <is>
          <t>NORDMALING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46297</v>
      </c>
      <c r="F558" t="inlineStr">
        <is>
          <t>VÄSTERBOTTENS LÄN</t>
        </is>
      </c>
      <c r="G558" t="inlineStr">
        <is>
          <t>NORDMALING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45608</v>
      </c>
      <c r="E559" s="1" t="n">
        <v>46297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46297</v>
      </c>
      <c r="F560" t="inlineStr">
        <is>
          <t>VÄSTERBOTTENS LÄN</t>
        </is>
      </c>
      <c r="G560" t="inlineStr">
        <is>
          <t>NORDMALING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32965-2024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45517</v>
      </c>
      <c r="E561" s="1" t="n">
        <v>46297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Holmen skog AB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46297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20328-2024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45435</v>
      </c>
      <c r="E563" s="1" t="n">
        <v>46297</v>
      </c>
      <c r="F563" t="inlineStr">
        <is>
          <t>VÄSTERBOTTENS LÄN</t>
        </is>
      </c>
      <c r="G563" t="inlineStr">
        <is>
          <t>NORDMALING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46297</v>
      </c>
      <c r="F564" t="inlineStr">
        <is>
          <t>VÄSTERBOTTENS LÄN</t>
        </is>
      </c>
      <c r="G564" t="inlineStr">
        <is>
          <t>NORDMALING</t>
        </is>
      </c>
      <c r="I564" t="n">
        <v>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46297</v>
      </c>
      <c r="F565" t="inlineStr">
        <is>
          <t>VÄSTERBOTTENS LÄN</t>
        </is>
      </c>
      <c r="G565" t="inlineStr">
        <is>
          <t>NORDMALING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46297</v>
      </c>
      <c r="F566" t="inlineStr">
        <is>
          <t>VÄSTERBOTTENS LÄN</t>
        </is>
      </c>
      <c r="G566" t="inlineStr">
        <is>
          <t>NORDMALING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46297</v>
      </c>
      <c r="F567" t="inlineStr">
        <is>
          <t>VÄSTERBOTTENS LÄN</t>
        </is>
      </c>
      <c r="G567" t="inlineStr">
        <is>
          <t>NORDMALING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46297</v>
      </c>
      <c r="F568" t="inlineStr">
        <is>
          <t>VÄSTERBOTTENS LÄN</t>
        </is>
      </c>
      <c r="G568" t="inlineStr">
        <is>
          <t>NORDMALING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46297</v>
      </c>
      <c r="F569" t="inlineStr">
        <is>
          <t>VÄSTERBOTTENS LÄN</t>
        </is>
      </c>
      <c r="G569" t="inlineStr">
        <is>
          <t>NORDMALING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34284-2026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46297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40542-2026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46295</v>
      </c>
      <c r="E571" s="1" t="n">
        <v>46297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46295</v>
      </c>
      <c r="E572" s="1" t="n">
        <v>46297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44387-2023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45188</v>
      </c>
      <c r="E573" s="1" t="n">
        <v>46297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46295</v>
      </c>
      <c r="E574" s="1" t="n">
        <v>46297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44788</v>
      </c>
      <c r="E575" s="1" t="n">
        <v>46297</v>
      </c>
      <c r="F575" t="inlineStr">
        <is>
          <t>VÄSTERBOTTENS LÄN</t>
        </is>
      </c>
      <c r="G575" t="inlineStr">
        <is>
          <t>NORDMALING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51824-2024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45607</v>
      </c>
      <c r="E576" s="1" t="n">
        <v>46297</v>
      </c>
      <c r="F576" t="inlineStr">
        <is>
          <t>VÄSTERBOTTENS LÄN</t>
        </is>
      </c>
      <c r="G576" t="inlineStr">
        <is>
          <t>NORDMALING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7048-2023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44968</v>
      </c>
      <c r="E577" s="1" t="n">
        <v>46297</v>
      </c>
      <c r="F577" t="inlineStr">
        <is>
          <t>VÄSTERBOTTENS LÄN</t>
        </is>
      </c>
      <c r="G577" t="inlineStr">
        <is>
          <t>NORDMALING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24850-2023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45078</v>
      </c>
      <c r="E578" s="1" t="n">
        <v>46297</v>
      </c>
      <c r="F578" t="inlineStr">
        <is>
          <t>VÄSTERBOTTENS LÄN</t>
        </is>
      </c>
      <c r="G578" t="inlineStr">
        <is>
          <t>NORDMALING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45665</v>
      </c>
      <c r="E579" s="1" t="n">
        <v>46297</v>
      </c>
      <c r="F579" t="inlineStr">
        <is>
          <t>VÄSTERBOTTENS LÄN</t>
        </is>
      </c>
      <c r="G579" t="inlineStr">
        <is>
          <t>NORDMALING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45676</v>
      </c>
      <c r="E580" s="1" t="n">
        <v>46297</v>
      </c>
      <c r="F580" t="inlineStr">
        <is>
          <t>VÄSTERBOTTENS LÄN</t>
        </is>
      </c>
      <c r="G580" t="inlineStr">
        <is>
          <t>NORDMALING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9015-2025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45713</v>
      </c>
      <c r="E581" s="1" t="n">
        <v>46297</v>
      </c>
      <c r="F581" t="inlineStr">
        <is>
          <t>VÄSTERBOTTENS LÄN</t>
        </is>
      </c>
      <c r="G581" t="inlineStr">
        <is>
          <t>NORDMALING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46297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Sveaskog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56277-2023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45241</v>
      </c>
      <c r="E583" s="1" t="n">
        <v>46297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43491-2024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45568</v>
      </c>
      <c r="E584" s="1" t="n">
        <v>46297</v>
      </c>
      <c r="F584" t="inlineStr">
        <is>
          <t>VÄSTERBOTTENS LÄN</t>
        </is>
      </c>
      <c r="G584" t="inlineStr">
        <is>
          <t>NORDMALING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45568</v>
      </c>
      <c r="E585" s="1" t="n">
        <v>46297</v>
      </c>
      <c r="F585" t="inlineStr">
        <is>
          <t>VÄSTERBOTTENS LÄN</t>
        </is>
      </c>
      <c r="G585" t="inlineStr">
        <is>
          <t>NORDMALING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45664</v>
      </c>
      <c r="E586" s="1" t="n">
        <v>46297</v>
      </c>
      <c r="F586" t="inlineStr">
        <is>
          <t>VÄSTERBOTTENS LÄN</t>
        </is>
      </c>
      <c r="G586" t="inlineStr">
        <is>
          <t>NORDMALING</t>
        </is>
      </c>
      <c r="H586" t="inlineStr">
        <is>
          <t>SCA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45429</v>
      </c>
      <c r="E587" s="1" t="n">
        <v>46297</v>
      </c>
      <c r="F587" t="inlineStr">
        <is>
          <t>VÄSTERBOTTENS LÄN</t>
        </is>
      </c>
      <c r="G587" t="inlineStr">
        <is>
          <t>NORDMALING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46297</v>
      </c>
      <c r="F588" t="inlineStr">
        <is>
          <t>VÄSTERBOTTENS LÄN</t>
        </is>
      </c>
      <c r="G588" t="inlineStr">
        <is>
          <t>NORDMALING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45204</v>
      </c>
      <c r="E589" s="1" t="n">
        <v>46297</v>
      </c>
      <c r="F589" t="inlineStr">
        <is>
          <t>VÄSTERBOTTENS LÄN</t>
        </is>
      </c>
      <c r="G589" t="inlineStr">
        <is>
          <t>NORDMALING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45030</v>
      </c>
      <c r="E590" s="1" t="n">
        <v>46297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21736-2025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45783</v>
      </c>
      <c r="E591" s="1" t="n">
        <v>46297</v>
      </c>
      <c r="F591" t="inlineStr">
        <is>
          <t>VÄSTERBOTTENS LÄN</t>
        </is>
      </c>
      <c r="G591" t="inlineStr">
        <is>
          <t>NORDMALING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46297</v>
      </c>
      <c r="F592" t="inlineStr">
        <is>
          <t>VÄSTERBOTTENS LÄN</t>
        </is>
      </c>
      <c r="G592" t="inlineStr">
        <is>
          <t>NORDMALING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61616-2023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45261</v>
      </c>
      <c r="E593" s="1" t="n">
        <v>46297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50969-2024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45603</v>
      </c>
      <c r="E594" s="1" t="n">
        <v>46297</v>
      </c>
      <c r="F594" t="inlineStr">
        <is>
          <t>VÄSTERBOTTENS LÄN</t>
        </is>
      </c>
      <c r="G594" t="inlineStr">
        <is>
          <t>NORDMALING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23029-2025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46297</v>
      </c>
      <c r="F595" t="inlineStr">
        <is>
          <t>VÄSTERBOTTENS LÄN</t>
        </is>
      </c>
      <c r="G595" t="inlineStr">
        <is>
          <t>NORDMALING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23041-2025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45790</v>
      </c>
      <c r="E596" s="1" t="n">
        <v>46297</v>
      </c>
      <c r="F596" t="inlineStr">
        <is>
          <t>VÄSTERBOTTENS LÄN</t>
        </is>
      </c>
      <c r="G596" t="inlineStr">
        <is>
          <t>NORDMALING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45036</v>
      </c>
      <c r="E597" s="1" t="n">
        <v>46297</v>
      </c>
      <c r="F597" t="inlineStr">
        <is>
          <t>VÄSTERBOTTENS LÄN</t>
        </is>
      </c>
      <c r="G597" t="inlineStr">
        <is>
          <t>NORDMALING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45789</v>
      </c>
      <c r="E598" s="1" t="n">
        <v>46297</v>
      </c>
      <c r="F598" t="inlineStr">
        <is>
          <t>VÄSTERBOTTENS LÄN</t>
        </is>
      </c>
      <c r="G598" t="inlineStr">
        <is>
          <t>NORDMALING</t>
        </is>
      </c>
      <c r="I598" t="n">
        <v>11.9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22955-2025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46297</v>
      </c>
      <c r="F599" t="inlineStr">
        <is>
          <t>VÄSTERBOTTENS LÄN</t>
        </is>
      </c>
      <c r="G599" t="inlineStr">
        <is>
          <t>NORDMALING</t>
        </is>
      </c>
      <c r="I599" t="n">
        <v>20.3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45790</v>
      </c>
      <c r="E600" s="1" t="n">
        <v>46297</v>
      </c>
      <c r="F600" t="inlineStr">
        <is>
          <t>VÄSTERBOTTENS LÄN</t>
        </is>
      </c>
      <c r="G600" t="inlineStr">
        <is>
          <t>NORDMALING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46297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46297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3963-2024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45567</v>
      </c>
      <c r="E603" s="1" t="n">
        <v>46297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8278-2021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44489</v>
      </c>
      <c r="E604" s="1" t="n">
        <v>46297</v>
      </c>
      <c r="F604" t="inlineStr">
        <is>
          <t>VÄSTERBOTTENS LÄN</t>
        </is>
      </c>
      <c r="G604" t="inlineStr">
        <is>
          <t>NORDMALING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73-2025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45667</v>
      </c>
      <c r="E605" s="1" t="n">
        <v>46297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9259-2021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44517</v>
      </c>
      <c r="E606" s="1" t="n">
        <v>46297</v>
      </c>
      <c r="F606" t="inlineStr">
        <is>
          <t>VÄSTERBOTTENS LÄN</t>
        </is>
      </c>
      <c r="G606" t="inlineStr">
        <is>
          <t>NORDMALING</t>
        </is>
      </c>
      <c r="I606" t="n">
        <v>17.8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4194-2023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45250</v>
      </c>
      <c r="E607" s="1" t="n">
        <v>46297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27.6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5071-2024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45638</v>
      </c>
      <c r="E608" s="1" t="n">
        <v>46297</v>
      </c>
      <c r="F608" t="inlineStr">
        <is>
          <t>VÄSTERBOTTENS LÄN</t>
        </is>
      </c>
      <c r="G608" t="inlineStr">
        <is>
          <t>NORDMALING</t>
        </is>
      </c>
      <c r="I608" t="n">
        <v>19.9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1247-2025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46297</v>
      </c>
      <c r="F609" t="inlineStr">
        <is>
          <t>VÄSTERBOTTENS LÄN</t>
        </is>
      </c>
      <c r="G609" t="inlineStr">
        <is>
          <t>NORDMALING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46297</v>
      </c>
      <c r="F610" t="inlineStr">
        <is>
          <t>VÄSTERBOTTENS LÄN</t>
        </is>
      </c>
      <c r="G610" t="inlineStr">
        <is>
          <t>NORDMALING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46297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46297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46297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444-2026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46297</v>
      </c>
      <c r="F614" t="inlineStr">
        <is>
          <t>VÄSTERBOTTENS LÄN</t>
        </is>
      </c>
      <c r="G614" t="inlineStr">
        <is>
          <t>NORDMALING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1170-2026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46135</v>
      </c>
      <c r="E615" s="1" t="n">
        <v>46297</v>
      </c>
      <c r="F615" t="inlineStr">
        <is>
          <t>VÄSTERBOTTENS LÄN</t>
        </is>
      </c>
      <c r="G615" t="inlineStr">
        <is>
          <t>NORDMALING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1299-2026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46148</v>
      </c>
      <c r="E616" s="1" t="n">
        <v>46297</v>
      </c>
      <c r="F616" t="inlineStr">
        <is>
          <t>VÄSTERBOTTENS LÄN</t>
        </is>
      </c>
      <c r="G616" t="inlineStr">
        <is>
          <t>NORDMALING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2026-10-02T02:03:34Z</dcterms:created>
  <dcterms:modified xmlns:dcterms="http://purl.org/dc/terms/" xmlns:xsi="http://www.w3.org/2001/XMLSchema-instance" xsi:type="dcterms:W3CDTF">2026-10-02T02:03:35Z</dcterms:modified>
</cp:coreProperties>
</file>