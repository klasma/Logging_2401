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46314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46314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46314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46314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46314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46314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46314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46314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37547-2023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45158</v>
      </c>
      <c r="E10" s="1" t="n">
        <v>46314</v>
      </c>
      <c r="F10" t="inlineStr">
        <is>
          <t>VÄSTERBOTTENS LÄN</t>
        </is>
      </c>
      <c r="G10" t="inlineStr">
        <is>
          <t>NORDMALING</t>
        </is>
      </c>
      <c r="I10" t="n">
        <v>4.2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7</v>
      </c>
      <c r="U10" t="n">
        <v>7</v>
      </c>
      <c r="V10" s="2" t="inlineStr">
        <is>
          <t>Garnlav
Dropptaggsvamp
Orange taggsvamp
Svartvit taggsvamp
Tjockfotad fingersvamp
Vågbandad barkbock</t>
        </is>
      </c>
      <c r="W10">
        <f>HYPERLINK("https://klasma.github.io/Logging_2401/artfynd/A 37547-2023 artfynd.xlsx", "A 37547-2023")</f>
        <v/>
      </c>
      <c r="X10">
        <f>HYPERLINK("https://klasma.github.io/Logging_2401/kartor/A 37547-2023 karta.png", "A 37547-2023")</f>
        <v/>
      </c>
      <c r="Y10">
        <f>HYPERLINK("https://klasma.github.io/Logging_2401/kartor_geotiff/A 37547-2023 georefererad karta.tif", "A 37547-2023")</f>
        <v/>
      </c>
      <c r="AA10">
        <f>HYPERLINK("https://klasma.github.io/Logging_2401/klagomål/A 37547-2023 FSC-klagomål.docx", "A 37547-2023")</f>
        <v/>
      </c>
      <c r="AB10">
        <f>HYPERLINK("https://klasma.github.io/Logging_2401/klagomålsmail/A 37547-2023 FSC-klagomål mail.docx", "A 37547-2023")</f>
        <v/>
      </c>
      <c r="AC10">
        <f>HYPERLINK("https://klasma.github.io/Logging_2401/tillsyn/A 37547-2023 tillsynsbegäran.docx", "A 37547-2023")</f>
        <v/>
      </c>
      <c r="AD10">
        <f>HYPERLINK("https://klasma.github.io/Logging_2401/tillsynsmail/A 37547-2023 tillsynsbegäran mail.docx", "A 37547-2023")</f>
        <v/>
      </c>
    </row>
    <row r="11" ht="15" customHeight="1">
      <c r="A11" t="inlineStr">
        <is>
          <t>A 37141-2023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45154</v>
      </c>
      <c r="E11" s="1" t="n">
        <v>46314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0</v>
      </c>
      <c r="K11" t="n">
        <v>0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6</v>
      </c>
      <c r="T11" t="n">
        <v>48</v>
      </c>
      <c r="U11" t="n">
        <v>48</v>
      </c>
      <c r="V11" s="2" t="inlineStr">
        <is>
          <t>Garnlav
Goliatmusseron
Blå taggsvamp
Dropptaggsvamp
Motaggsvamp
Orange taggsvamp</t>
        </is>
      </c>
      <c r="W11">
        <f>HYPERLINK("https://klasma.github.io/Logging_2401/artfynd/A 37141-2023 artfynd.xlsx", "A 37141-2023")</f>
        <v/>
      </c>
      <c r="X11">
        <f>HYPERLINK("https://klasma.github.io/Logging_2401/kartor/A 37141-2023 karta.png", "A 37141-2023")</f>
        <v/>
      </c>
      <c r="Y11">
        <f>HYPERLINK("https://klasma.github.io/Logging_2401/kartor_geotiff/A 37141-2023 georefererad karta.tif", "A 37141-2023")</f>
        <v/>
      </c>
      <c r="AA11">
        <f>HYPERLINK("https://klasma.github.io/Logging_2401/klagomål/A 37141-2023 FSC-klagomål.docx", "A 37141-2023")</f>
        <v/>
      </c>
      <c r="AB11">
        <f>HYPERLINK("https://klasma.github.io/Logging_2401/klagomålsmail/A 37141-2023 FSC-klagomål mail.docx", "A 37141-2023")</f>
        <v/>
      </c>
      <c r="AC11">
        <f>HYPERLINK("https://klasma.github.io/Logging_2401/tillsyn/A 37141-2023 tillsynsbegäran.docx", "A 37141-2023")</f>
        <v/>
      </c>
      <c r="AD11">
        <f>HYPERLINK("https://klasma.github.io/Logging_2401/tillsynsmail/A 37141-2023 tillsynsbegäran mail.docx", "A 37141-2023")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46314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45294-2025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45920</v>
      </c>
      <c r="E13" s="1" t="n">
        <v>46314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7.2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Fläckporing
Dvärgbägarlav
Skarp dropptaggsvamp
Bronshjon
Skinnlav</t>
        </is>
      </c>
      <c r="W13">
        <f>HYPERLINK("https://klasma.github.io/Logging_2401/artfynd/A 45294-2025 artfynd.xlsx", "A 45294-2025")</f>
        <v/>
      </c>
      <c r="X13">
        <f>HYPERLINK("https://klasma.github.io/Logging_2401/kartor/A 45294-2025 karta.png", "A 45294-2025")</f>
        <v/>
      </c>
      <c r="Y13">
        <f>HYPERLINK("https://klasma.github.io/Logging_2401/kartor_geotiff/A 45294-2025 georefererad karta.tif", "A 45294-2025")</f>
        <v/>
      </c>
      <c r="AA13">
        <f>HYPERLINK("https://klasma.github.io/Logging_2401/klagomål/A 45294-2025 FSC-klagomål.docx", "A 45294-2025")</f>
        <v/>
      </c>
      <c r="AB13">
        <f>HYPERLINK("https://klasma.github.io/Logging_2401/klagomålsmail/A 45294-2025 FSC-klagomål mail.docx", "A 45294-2025")</f>
        <v/>
      </c>
      <c r="AC13">
        <f>HYPERLINK("https://klasma.github.io/Logging_2401/tillsyn/A 45294-2025 tillsynsbegäran.docx", "A 45294-2025")</f>
        <v/>
      </c>
      <c r="AD13">
        <f>HYPERLINK("https://klasma.github.io/Logging_2401/tillsynsmail/A 45294-2025 tillsynsbegäran mail.docx", "A 45294-2025")</f>
        <v/>
      </c>
    </row>
    <row r="14" ht="15" customHeight="1">
      <c r="A14" t="inlineStr">
        <is>
          <t>A 63255-2023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45273</v>
      </c>
      <c r="E14" s="1" t="n">
        <v>46314</v>
      </c>
      <c r="F14" t="inlineStr">
        <is>
          <t>VÄSTERBOTTENS LÄN</t>
        </is>
      </c>
      <c r="G14" t="inlineStr">
        <is>
          <t>NORDMALING</t>
        </is>
      </c>
      <c r="I14" t="n">
        <v>2.4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Dropptaggsvamp
Nästlav
Skinnlav
Trådticka
Svartvit flugsnappare</t>
        </is>
      </c>
      <c r="W14">
        <f>HYPERLINK("https://klasma.github.io/Logging_2401/artfynd/A 63255-2023 artfynd.xlsx", "A 63255-2023")</f>
        <v/>
      </c>
      <c r="X14">
        <f>HYPERLINK("https://klasma.github.io/Logging_2401/kartor/A 63255-2023 karta.png", "A 63255-2023")</f>
        <v/>
      </c>
      <c r="Y14">
        <f>HYPERLINK("https://klasma.github.io/Logging_2401/kartor_geotiff/A 63255-2023 georefererad karta.tif", "A 63255-2023")</f>
        <v/>
      </c>
      <c r="AA14">
        <f>HYPERLINK("https://klasma.github.io/Logging_2401/klagomål/A 63255-2023 FSC-klagomål.docx", "A 63255-2023")</f>
        <v/>
      </c>
      <c r="AB14">
        <f>HYPERLINK("https://klasma.github.io/Logging_2401/klagomålsmail/A 63255-2023 FSC-klagomål mail.docx", "A 63255-2023")</f>
        <v/>
      </c>
      <c r="AC14">
        <f>HYPERLINK("https://klasma.github.io/Logging_2401/tillsyn/A 63255-2023 tillsynsbegäran.docx", "A 63255-2023")</f>
        <v/>
      </c>
      <c r="AD14">
        <f>HYPERLINK("https://klasma.github.io/Logging_2401/tillsynsmail/A 63255-2023 tillsynsbegäran mail.docx", "A 63255-2023")</f>
        <v/>
      </c>
    </row>
    <row r="15" ht="15" customHeight="1">
      <c r="A15" t="inlineStr">
        <is>
          <t>A 52787-2023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45219</v>
      </c>
      <c r="E15" s="1" t="n">
        <v>46314</v>
      </c>
      <c r="F15" t="inlineStr">
        <is>
          <t>VÄSTERBOTTENS LÄN</t>
        </is>
      </c>
      <c r="G15" t="inlineStr">
        <is>
          <t>NORDMALING</t>
        </is>
      </c>
      <c r="I15" t="n">
        <v>6.2</v>
      </c>
      <c r="J15" t="n">
        <v>2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Garnlav
Tretåig hackspett
Rostfläck
Skinnlav
Spillkråka</t>
        </is>
      </c>
      <c r="W15">
        <f>HYPERLINK("https://klasma.github.io/Logging_2401/artfynd/A 52787-2023 artfynd.xlsx", "A 52787-2023")</f>
        <v/>
      </c>
      <c r="X15">
        <f>HYPERLINK("https://klasma.github.io/Logging_2401/kartor/A 52787-2023 karta.png", "A 52787-2023")</f>
        <v/>
      </c>
      <c r="Y15">
        <f>HYPERLINK("https://klasma.github.io/Logging_2401/kartor_geotiff/A 52787-2023 georefererad karta.tif", "A 52787-2023")</f>
        <v/>
      </c>
      <c r="AA15">
        <f>HYPERLINK("https://klasma.github.io/Logging_2401/klagomål/A 52787-2023 FSC-klagomål.docx", "A 52787-2023")</f>
        <v/>
      </c>
      <c r="AB15">
        <f>HYPERLINK("https://klasma.github.io/Logging_2401/klagomålsmail/A 52787-2023 FSC-klagomål mail.docx", "A 52787-2023")</f>
        <v/>
      </c>
      <c r="AC15">
        <f>HYPERLINK("https://klasma.github.io/Logging_2401/tillsyn/A 52787-2023 tillsynsbegäran.docx", "A 52787-2023")</f>
        <v/>
      </c>
      <c r="AD15">
        <f>HYPERLINK("https://klasma.github.io/Logging_2401/tillsynsmail/A 52787-2023 tillsynsbegäran mail.docx", "A 52787-2023")</f>
        <v/>
      </c>
      <c r="AE15">
        <f>HYPERLINK("https://klasma.github.io/Logging_2401/fåglar/A 52787-2023 prioriterade fågelarter.docx", "A 52787-2023")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46314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46314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46314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46314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55814-2023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46314</v>
      </c>
      <c r="F20" t="inlineStr">
        <is>
          <t>VÄSTERBOTTENS LÄN</t>
        </is>
      </c>
      <c r="G20" t="inlineStr">
        <is>
          <t>NORDMALING</t>
        </is>
      </c>
      <c r="I20" t="n">
        <v>2.7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5</v>
      </c>
      <c r="U20" t="n">
        <v>0</v>
      </c>
      <c r="V20" s="2" t="inlineStr">
        <is>
          <t>Garnlav
Tretåig hackspett
Ullticka
Vågbandad barkbock</t>
        </is>
      </c>
      <c r="W20">
        <f>HYPERLINK("https://klasma.github.io/Logging_2401/artfynd/A 55814-2023 artfynd.xlsx", "A 55814-2023")</f>
        <v/>
      </c>
      <c r="X20">
        <f>HYPERLINK("https://klasma.github.io/Logging_2401/kartor/A 55814-2023 karta.png", "A 55814-2023")</f>
        <v/>
      </c>
      <c r="Y20">
        <f>HYPERLINK("https://klasma.github.io/Logging_2401/kartor_geotiff/A 55814-2023 georefererad karta.tif", "A 55814-2023")</f>
        <v/>
      </c>
      <c r="AA20">
        <f>HYPERLINK("https://klasma.github.io/Logging_2401/klagomål/A 55814-2023 FSC-klagomål.docx", "A 55814-2023")</f>
        <v/>
      </c>
      <c r="AB20">
        <f>HYPERLINK("https://klasma.github.io/Logging_2401/klagomålsmail/A 55814-2023 FSC-klagomål mail.docx", "A 55814-2023")</f>
        <v/>
      </c>
      <c r="AC20">
        <f>HYPERLINK("https://klasma.github.io/Logging_2401/tillsyn/A 55814-2023 tillsynsbegäran.docx", "A 55814-2023")</f>
        <v/>
      </c>
      <c r="AD20">
        <f>HYPERLINK("https://klasma.github.io/Logging_2401/tillsynsmail/A 55814-2023 tillsynsbegäran mail.docx", "A 55814-2023")</f>
        <v/>
      </c>
      <c r="AE20">
        <f>HYPERLINK("https://klasma.github.io/Logging_2401/fåglar/A 55814-2023 prioriterade fågelarter.docx", "A 55814-2023")</f>
        <v/>
      </c>
    </row>
    <row r="21" ht="15" customHeight="1">
      <c r="A21" t="inlineStr">
        <is>
          <t>A 24944-2022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44728</v>
      </c>
      <c r="E21" s="1" t="n">
        <v>46314</v>
      </c>
      <c r="F21" t="inlineStr">
        <is>
          <t>VÄSTERBOTTENS LÄN</t>
        </is>
      </c>
      <c r="G21" t="inlineStr">
        <is>
          <t>NORDMALING</t>
        </is>
      </c>
      <c r="I21" t="n">
        <v>1.2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Knärot
Jättesvampmal
Vanlig groda
Fläcknycklar</t>
        </is>
      </c>
      <c r="W21">
        <f>HYPERLINK("https://klasma.github.io/Logging_2401/artfynd/A 24944-2022 artfynd.xlsx", "A 24944-2022")</f>
        <v/>
      </c>
      <c r="X21">
        <f>HYPERLINK("https://klasma.github.io/Logging_2401/kartor/A 24944-2022 karta.png", "A 24944-2022")</f>
        <v/>
      </c>
      <c r="Y21">
        <f>HYPERLINK("https://klasma.github.io/Logging_2401/kartor_geotiff/A 24944-2022 georefererad karta.tif", "A 24944-2022")</f>
        <v/>
      </c>
      <c r="Z21">
        <f>HYPERLINK("https://klasma.github.io/Logging_2401/knärot/A 24944-2022 karta knärot.png", "A 24944-2022")</f>
        <v/>
      </c>
      <c r="AA21">
        <f>HYPERLINK("https://klasma.github.io/Logging_2401/klagomål/A 24944-2022 FSC-klagomål.docx", "A 24944-2022")</f>
        <v/>
      </c>
      <c r="AB21">
        <f>HYPERLINK("https://klasma.github.io/Logging_2401/klagomålsmail/A 24944-2022 FSC-klagomål mail.docx", "A 24944-2022")</f>
        <v/>
      </c>
      <c r="AC21">
        <f>HYPERLINK("https://klasma.github.io/Logging_2401/tillsyn/A 24944-2022 tillsynsbegäran.docx", "A 24944-2022")</f>
        <v/>
      </c>
      <c r="AD21">
        <f>HYPERLINK("https://klasma.github.io/Logging_2401/tillsynsmail/A 24944-2022 tillsynsbegäran mail.docx", "A 24944-2022")</f>
        <v/>
      </c>
    </row>
    <row r="22" ht="15" customHeight="1">
      <c r="A22" t="inlineStr">
        <is>
          <t>A 36810-2025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45873</v>
      </c>
      <c r="E22" s="1" t="n">
        <v>46314</v>
      </c>
      <c r="F22" t="inlineStr">
        <is>
          <t>VÄSTERBOTTENS LÄN</t>
        </is>
      </c>
      <c r="G22" t="inlineStr">
        <is>
          <t>NORDMALING</t>
        </is>
      </c>
      <c r="I22" t="n">
        <v>1.3</v>
      </c>
      <c r="J22" t="n">
        <v>0</v>
      </c>
      <c r="K22" t="n">
        <v>1</v>
      </c>
      <c r="L22" t="n">
        <v>0</v>
      </c>
      <c r="M22" t="n">
        <v>3</v>
      </c>
      <c r="N22" t="n">
        <v>0</v>
      </c>
      <c r="O22" t="n">
        <v>0</v>
      </c>
      <c r="P22" t="n">
        <v>0</v>
      </c>
      <c r="Q22" t="n">
        <v>3</v>
      </c>
      <c r="R22" t="n">
        <v>3</v>
      </c>
      <c r="S22" t="n">
        <v>4</v>
      </c>
      <c r="T22" t="n">
        <v>5</v>
      </c>
      <c r="U22" t="n">
        <v>0</v>
      </c>
      <c r="V22" s="2" t="inlineStr">
        <is>
          <t>Garnlav
Goliatmusseron
Rotfingersvamp
Granbarkgnagare</t>
        </is>
      </c>
      <c r="W22">
        <f>HYPERLINK("https://klasma.github.io/Logging_2401/artfynd/A 36810-2025 artfynd.xlsx", "A 36810-2025")</f>
        <v/>
      </c>
      <c r="X22">
        <f>HYPERLINK("https://klasma.github.io/Logging_2401/kartor/A 36810-2025 karta.png", "A 36810-2025")</f>
        <v/>
      </c>
      <c r="Y22">
        <f>HYPERLINK("https://klasma.github.io/Logging_2401/kartor_geotiff/A 36810-2025 georefererad karta.tif", "A 36810-2025")</f>
        <v/>
      </c>
      <c r="AA22">
        <f>HYPERLINK("https://klasma.github.io/Logging_2401/klagomål/A 36810-2025 FSC-klagomål.docx", "A 36810-2025")</f>
        <v/>
      </c>
      <c r="AB22">
        <f>HYPERLINK("https://klasma.github.io/Logging_2401/klagomålsmail/A 36810-2025 FSC-klagomål mail.docx", "A 36810-2025")</f>
        <v/>
      </c>
      <c r="AC22">
        <f>HYPERLINK("https://klasma.github.io/Logging_2401/tillsyn/A 36810-2025 tillsynsbegäran.docx", "A 36810-2025")</f>
        <v/>
      </c>
      <c r="AD22">
        <f>HYPERLINK("https://klasma.github.io/Logging_2401/tillsynsmail/A 36810-2025 tillsynsbegäran mail.docx", "A 36810-2025")</f>
        <v/>
      </c>
    </row>
    <row r="23" ht="15" customHeight="1">
      <c r="A23" t="inlineStr">
        <is>
          <t>A 44443-2024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45574</v>
      </c>
      <c r="E23" s="1" t="n">
        <v>46314</v>
      </c>
      <c r="F23" t="inlineStr">
        <is>
          <t>VÄSTERBOTTENS LÄN</t>
        </is>
      </c>
      <c r="G23" t="inlineStr">
        <is>
          <t>NORDMALING</t>
        </is>
      </c>
      <c r="H23" t="inlineStr">
        <is>
          <t>SCA</t>
        </is>
      </c>
      <c r="I23" t="n">
        <v>1.5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Skrovlig taggsvamp
Gammelgransskål
Talltaggsvamp</t>
        </is>
      </c>
      <c r="W23">
        <f>HYPERLINK("https://klasma.github.io/Logging_2401/artfynd/A 44443-2024 artfynd.xlsx", "A 44443-2024")</f>
        <v/>
      </c>
      <c r="X23">
        <f>HYPERLINK("https://klasma.github.io/Logging_2401/kartor/A 44443-2024 karta.png", "A 44443-2024")</f>
        <v/>
      </c>
      <c r="Y23">
        <f>HYPERLINK("https://klasma.github.io/Logging_2401/kartor_geotiff/A 44443-2024 georefererad karta.tif", "A 44443-2024")</f>
        <v/>
      </c>
      <c r="AA23">
        <f>HYPERLINK("https://klasma.github.io/Logging_2401/klagomål/A 44443-2024 FSC-klagomål.docx", "A 44443-2024")</f>
        <v/>
      </c>
      <c r="AB23">
        <f>HYPERLINK("https://klasma.github.io/Logging_2401/klagomålsmail/A 44443-2024 FSC-klagomål mail.docx", "A 44443-2024")</f>
        <v/>
      </c>
      <c r="AC23">
        <f>HYPERLINK("https://klasma.github.io/Logging_2401/tillsyn/A 44443-2024 tillsynsbegäran.docx", "A 44443-2024")</f>
        <v/>
      </c>
      <c r="AD23">
        <f>HYPERLINK("https://klasma.github.io/Logging_2401/tillsynsmail/A 44443-2024 tillsynsbegäran mail.docx", "A 44443-2024")</f>
        <v/>
      </c>
    </row>
    <row r="24" ht="15" customHeight="1">
      <c r="A24" t="inlineStr">
        <is>
          <t>A 6225-2023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44964</v>
      </c>
      <c r="E24" s="1" t="n">
        <v>46314</v>
      </c>
      <c r="F24" t="inlineStr">
        <is>
          <t>VÄSTERBOTTENS LÄN</t>
        </is>
      </c>
      <c r="G24" t="inlineStr">
        <is>
          <t>NORDMALING</t>
        </is>
      </c>
      <c r="I24" t="n">
        <v>0.8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Björktrast
Tjäder
Ärtsångare</t>
        </is>
      </c>
      <c r="W24">
        <f>HYPERLINK("https://klasma.github.io/Logging_2401/artfynd/A 6225-2023 artfynd.xlsx", "A 6225-2023")</f>
        <v/>
      </c>
      <c r="X24">
        <f>HYPERLINK("https://klasma.github.io/Logging_2401/kartor/A 6225-2023 karta.png", "A 6225-2023")</f>
        <v/>
      </c>
      <c r="Y24">
        <f>HYPERLINK("https://klasma.github.io/Logging_2401/kartor_geotiff/A 6225-2023 georefererad karta.tif", "A 6225-2023")</f>
        <v/>
      </c>
      <c r="AA24">
        <f>HYPERLINK("https://klasma.github.io/Logging_2401/klagomål/A 6225-2023 FSC-klagomål.docx", "A 6225-2023")</f>
        <v/>
      </c>
      <c r="AB24">
        <f>HYPERLINK("https://klasma.github.io/Logging_2401/klagomålsmail/A 6225-2023 FSC-klagomål mail.docx", "A 6225-2023")</f>
        <v/>
      </c>
      <c r="AC24">
        <f>HYPERLINK("https://klasma.github.io/Logging_2401/tillsyn/A 6225-2023 tillsynsbegäran.docx", "A 6225-2023")</f>
        <v/>
      </c>
      <c r="AD24">
        <f>HYPERLINK("https://klasma.github.io/Logging_2401/tillsynsmail/A 6225-2023 tillsynsbegäran mail.docx", "A 6225-2023")</f>
        <v/>
      </c>
      <c r="AE24">
        <f>HYPERLINK("https://klasma.github.io/Logging_2401/fåglar/A 6225-2023 prioriterade fågelarter.docx", "A 6225-2023")</f>
        <v/>
      </c>
    </row>
    <row r="25" ht="15" customHeight="1">
      <c r="A25" t="inlineStr">
        <is>
          <t>A 44987-2024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46314</v>
      </c>
      <c r="F25" t="inlineStr">
        <is>
          <t>VÄSTERBOTTENS LÄN</t>
        </is>
      </c>
      <c r="G25" t="inlineStr">
        <is>
          <t>NORDMALING</t>
        </is>
      </c>
      <c r="I25" t="n">
        <v>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Nordtagging
Vaddporing
Violettgrå tagellav</t>
        </is>
      </c>
      <c r="W25">
        <f>HYPERLINK("https://klasma.github.io/Logging_2401/artfynd/A 44987-2024 artfynd.xlsx", "A 44987-2024")</f>
        <v/>
      </c>
      <c r="X25">
        <f>HYPERLINK("https://klasma.github.io/Logging_2401/kartor/A 44987-2024 karta.png", "A 44987-2024")</f>
        <v/>
      </c>
      <c r="Y25">
        <f>HYPERLINK("https://klasma.github.io/Logging_2401/kartor_geotiff/A 44987-2024 georefererad karta.tif", "A 44987-2024")</f>
        <v/>
      </c>
      <c r="AA25">
        <f>HYPERLINK("https://klasma.github.io/Logging_2401/klagomål/A 44987-2024 FSC-klagomål.docx", "A 44987-2024")</f>
        <v/>
      </c>
      <c r="AB25">
        <f>HYPERLINK("https://klasma.github.io/Logging_2401/klagomålsmail/A 44987-2024 FSC-klagomål mail.docx", "A 44987-2024")</f>
        <v/>
      </c>
      <c r="AC25">
        <f>HYPERLINK("https://klasma.github.io/Logging_2401/tillsyn/A 44987-2024 tillsynsbegäran.docx", "A 44987-2024")</f>
        <v/>
      </c>
      <c r="AD25">
        <f>HYPERLINK("https://klasma.github.io/Logging_2401/tillsynsmail/A 44987-2024 tillsynsbegäran mail.docx", "A 44987-2024")</f>
        <v/>
      </c>
    </row>
    <row r="26" ht="15" customHeight="1">
      <c r="A26" t="inlineStr">
        <is>
          <t>A 23753-2023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46314</v>
      </c>
      <c r="F26" t="inlineStr">
        <is>
          <t>VÄSTERBOTTENS LÄN</t>
        </is>
      </c>
      <c r="G26" t="inlineStr">
        <is>
          <t>NORDMALING</t>
        </is>
      </c>
      <c r="I26" t="n">
        <v>0.5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Gulsparv
Ladusvala</t>
        </is>
      </c>
      <c r="W26">
        <f>HYPERLINK("https://klasma.github.io/Logging_2401/artfynd/A 23753-2023 artfynd.xlsx", "A 23753-2023")</f>
        <v/>
      </c>
      <c r="X26">
        <f>HYPERLINK("https://klasma.github.io/Logging_2401/kartor/A 23753-2023 karta.png", "A 23753-2023")</f>
        <v/>
      </c>
      <c r="Y26">
        <f>HYPERLINK("https://klasma.github.io/Logging_2401/kartor_geotiff/A 23753-2023 georefererad karta.tif", "A 23753-2023")</f>
        <v/>
      </c>
      <c r="AA26">
        <f>HYPERLINK("https://klasma.github.io/Logging_2401/klagomål/A 23753-2023 FSC-klagomål.docx", "A 23753-2023")</f>
        <v/>
      </c>
      <c r="AB26">
        <f>HYPERLINK("https://klasma.github.io/Logging_2401/klagomålsmail/A 23753-2023 FSC-klagomål mail.docx", "A 23753-2023")</f>
        <v/>
      </c>
      <c r="AC26">
        <f>HYPERLINK("https://klasma.github.io/Logging_2401/tillsyn/A 23753-2023 tillsynsbegäran.docx", "A 23753-2023")</f>
        <v/>
      </c>
      <c r="AD26">
        <f>HYPERLINK("https://klasma.github.io/Logging_2401/tillsynsmail/A 23753-2023 tillsynsbegäran mail.docx", "A 23753-2023")</f>
        <v/>
      </c>
      <c r="AE26">
        <f>HYPERLINK("https://klasma.github.io/Logging_2401/fåglar/A 23753-2023 prioriterade fågelarter.docx", "A 23753-2023")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46314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3483-2026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46042</v>
      </c>
      <c r="E28" s="1" t="n">
        <v>46314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Stjärntagging
Ullticka</t>
        </is>
      </c>
      <c r="W28">
        <f>HYPERLINK("https://klasma.github.io/Logging_2401/artfynd/A 3483-2026 artfynd.xlsx", "A 3483-2026")</f>
        <v/>
      </c>
      <c r="X28">
        <f>HYPERLINK("https://klasma.github.io/Logging_2401/kartor/A 3483-2026 karta.png", "A 3483-2026")</f>
        <v/>
      </c>
      <c r="Y28">
        <f>HYPERLINK("https://klasma.github.io/Logging_2401/kartor_geotiff/A 3483-2026 georefererad karta.tif", "A 3483-2026")</f>
        <v/>
      </c>
      <c r="AA28">
        <f>HYPERLINK("https://klasma.github.io/Logging_2401/klagomål/A 3483-2026 FSC-klagomål.docx", "A 3483-2026")</f>
        <v/>
      </c>
      <c r="AB28">
        <f>HYPERLINK("https://klasma.github.io/Logging_2401/klagomålsmail/A 3483-2026 FSC-klagomål mail.docx", "A 3483-2026")</f>
        <v/>
      </c>
      <c r="AC28">
        <f>HYPERLINK("https://klasma.github.io/Logging_2401/tillsyn/A 3483-2026 tillsynsbegäran.docx", "A 3483-2026")</f>
        <v/>
      </c>
      <c r="AD28">
        <f>HYPERLINK("https://klasma.github.io/Logging_2401/tillsynsmail/A 3483-2026 tillsynsbegäran mail.docx", "A 3483-2026")</f>
        <v/>
      </c>
    </row>
    <row r="29" ht="15" customHeight="1">
      <c r="A29" t="inlineStr">
        <is>
          <t>A 40210-2022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44820</v>
      </c>
      <c r="E29" s="1" t="n">
        <v>46314</v>
      </c>
      <c r="F29" t="inlineStr">
        <is>
          <t>VÄSTERBOTTENS LÄN</t>
        </is>
      </c>
      <c r="G29" t="inlineStr">
        <is>
          <t>NORDMALING</t>
        </is>
      </c>
      <c r="I29" t="n">
        <v>6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1</v>
      </c>
      <c r="V29" s="2" t="inlineStr">
        <is>
          <t>Småflikig brosklav
Violettgrå tagellav
Vedticka</t>
        </is>
      </c>
      <c r="W29">
        <f>HYPERLINK("https://klasma.github.io/Logging_2401/artfynd/A 40210-2022 artfynd.xlsx", "A 40210-2022")</f>
        <v/>
      </c>
      <c r="X29">
        <f>HYPERLINK("https://klasma.github.io/Logging_2401/kartor/A 40210-2022 karta.png", "A 40210-2022")</f>
        <v/>
      </c>
      <c r="Y29">
        <f>HYPERLINK("https://klasma.github.io/Logging_2401/kartor_geotiff/A 40210-2022 georefererad karta.tif", "A 40210-2022")</f>
        <v/>
      </c>
      <c r="AA29">
        <f>HYPERLINK("https://klasma.github.io/Logging_2401/klagomål/A 40210-2022 FSC-klagomål.docx", "A 40210-2022")</f>
        <v/>
      </c>
      <c r="AB29">
        <f>HYPERLINK("https://klasma.github.io/Logging_2401/klagomålsmail/A 40210-2022 FSC-klagomål mail.docx", "A 40210-2022")</f>
        <v/>
      </c>
      <c r="AC29">
        <f>HYPERLINK("https://klasma.github.io/Logging_2401/tillsyn/A 40210-2022 tillsynsbegäran.docx", "A 40210-2022")</f>
        <v/>
      </c>
      <c r="AD29">
        <f>HYPERLINK("https://klasma.github.io/Logging_2401/tillsynsmail/A 40210-2022 tillsynsbegäran mail.docx", "A 40210-2022")</f>
        <v/>
      </c>
    </row>
    <row r="30" ht="15" customHeight="1">
      <c r="A30" t="inlineStr">
        <is>
          <t>A 60450-2022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44904</v>
      </c>
      <c r="E30" s="1" t="n">
        <v>46314</v>
      </c>
      <c r="F30" t="inlineStr">
        <is>
          <t>VÄSTERBOTTENS LÄN</t>
        </is>
      </c>
      <c r="G30" t="inlineStr">
        <is>
          <t>NORDMALING</t>
        </is>
      </c>
      <c r="I30" t="n">
        <v>3.3</v>
      </c>
      <c r="J30" t="n">
        <v>0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Lunglav
Rynkskinn
Ullticka</t>
        </is>
      </c>
      <c r="W30">
        <f>HYPERLINK("https://klasma.github.io/Logging_2401/artfynd/A 60450-2022 artfynd.xlsx", "A 60450-2022")</f>
        <v/>
      </c>
      <c r="X30">
        <f>HYPERLINK("https://klasma.github.io/Logging_2401/kartor/A 60450-2022 karta.png", "A 60450-2022")</f>
        <v/>
      </c>
      <c r="Y30">
        <f>HYPERLINK("https://klasma.github.io/Logging_2401/kartor_geotiff/A 60450-2022 georefererad karta.tif", "A 60450-2022")</f>
        <v/>
      </c>
      <c r="AA30">
        <f>HYPERLINK("https://klasma.github.io/Logging_2401/klagomål/A 60450-2022 FSC-klagomål.docx", "A 60450-2022")</f>
        <v/>
      </c>
      <c r="AB30">
        <f>HYPERLINK("https://klasma.github.io/Logging_2401/klagomålsmail/A 60450-2022 FSC-klagomål mail.docx", "A 60450-2022")</f>
        <v/>
      </c>
      <c r="AC30">
        <f>HYPERLINK("https://klasma.github.io/Logging_2401/tillsyn/A 60450-2022 tillsynsbegäran.docx", "A 60450-2022")</f>
        <v/>
      </c>
      <c r="AD30">
        <f>HYPERLINK("https://klasma.github.io/Logging_2401/tillsynsmail/A 60450-2022 tillsynsbegäran mail.docx", "A 60450-2022")</f>
        <v/>
      </c>
    </row>
    <row r="31" ht="15" customHeight="1">
      <c r="A31" t="inlineStr">
        <is>
          <t>A 23496-2022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44721</v>
      </c>
      <c r="E31" s="1" t="n">
        <v>46314</v>
      </c>
      <c r="F31" t="inlineStr">
        <is>
          <t>VÄSTERBOTTENS LÄN</t>
        </is>
      </c>
      <c r="G31" t="inlineStr">
        <is>
          <t>NORDMALING</t>
        </is>
      </c>
      <c r="I31" t="n">
        <v>0.7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2</v>
      </c>
      <c r="V31" s="2" t="inlineStr">
        <is>
          <t>Garnlav
Tretåig hackspett
Järpe</t>
        </is>
      </c>
      <c r="W31">
        <f>HYPERLINK("https://klasma.github.io/Logging_2401/artfynd/A 23496-2022 artfynd.xlsx", "A 23496-2022")</f>
        <v/>
      </c>
      <c r="X31">
        <f>HYPERLINK("https://klasma.github.io/Logging_2401/kartor/A 23496-2022 karta.png", "A 23496-2022")</f>
        <v/>
      </c>
      <c r="Y31">
        <f>HYPERLINK("https://klasma.github.io/Logging_2401/kartor_geotiff/A 23496-2022 georefererad karta.tif", "A 23496-2022")</f>
        <v/>
      </c>
      <c r="AA31">
        <f>HYPERLINK("https://klasma.github.io/Logging_2401/klagomål/A 23496-2022 FSC-klagomål.docx", "A 23496-2022")</f>
        <v/>
      </c>
      <c r="AB31">
        <f>HYPERLINK("https://klasma.github.io/Logging_2401/klagomålsmail/A 23496-2022 FSC-klagomål mail.docx", "A 23496-2022")</f>
        <v/>
      </c>
      <c r="AC31">
        <f>HYPERLINK("https://klasma.github.io/Logging_2401/tillsyn/A 23496-2022 tillsynsbegäran.docx", "A 23496-2022")</f>
        <v/>
      </c>
      <c r="AD31">
        <f>HYPERLINK("https://klasma.github.io/Logging_2401/tillsynsmail/A 23496-2022 tillsynsbegäran mail.docx", "A 23496-2022")</f>
        <v/>
      </c>
      <c r="AE31">
        <f>HYPERLINK("https://klasma.github.io/Logging_2401/fåglar/A 23496-2022 prioriterade fågelarter.docx", "A 23496-2022")</f>
        <v/>
      </c>
    </row>
    <row r="32" ht="15" customHeight="1">
      <c r="A32" t="inlineStr">
        <is>
          <t>A 40519-2026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46295</v>
      </c>
      <c r="E32" s="1" t="n">
        <v>46314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31.7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8</v>
      </c>
      <c r="U32" t="n">
        <v>0</v>
      </c>
      <c r="V32" s="2" t="inlineStr">
        <is>
          <t>Blå taggsvamp
Dropptaggsvamp
Skarp dropptaggsvamp</t>
        </is>
      </c>
      <c r="W32">
        <f>HYPERLINK("https://klasma.github.io/Logging_2401/artfynd/A 40519-2026 artfynd.xlsx", "A 40519-2026")</f>
        <v/>
      </c>
      <c r="X32">
        <f>HYPERLINK("https://klasma.github.io/Logging_2401/kartor/A 40519-2026 karta.png", "A 40519-2026")</f>
        <v/>
      </c>
      <c r="Y32">
        <f>HYPERLINK("https://klasma.github.io/Logging_2401/kartor_geotiff/A 40519-2026 georefererad karta.tif", "A 40519-2026")</f>
        <v/>
      </c>
      <c r="AA32">
        <f>HYPERLINK("https://klasma.github.io/Logging_2401/klagomål/A 40519-2026 FSC-klagomål.docx", "A 40519-2026")</f>
        <v/>
      </c>
      <c r="AB32">
        <f>HYPERLINK("https://klasma.github.io/Logging_2401/klagomålsmail/A 40519-2026 FSC-klagomål mail.docx", "A 40519-2026")</f>
        <v/>
      </c>
      <c r="AC32">
        <f>HYPERLINK("https://klasma.github.io/Logging_2401/tillsyn/A 40519-2026 tillsynsbegäran.docx", "A 40519-2026")</f>
        <v/>
      </c>
      <c r="AD32">
        <f>HYPERLINK("https://klasma.github.io/Logging_2401/tillsynsmail/A 40519-2026 tillsynsbegäran mail.docx", "A 40519-2026")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46314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46314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46314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A 55632-2023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45238</v>
      </c>
      <c r="E36" s="1" t="n">
        <v>46314</v>
      </c>
      <c r="F36" t="inlineStr">
        <is>
          <t>VÄSTERBOTTENS LÄN</t>
        </is>
      </c>
      <c r="G36" t="inlineStr">
        <is>
          <t>NORDMALING</t>
        </is>
      </c>
      <c r="I36" t="n">
        <v>1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Skinnlav</t>
        </is>
      </c>
      <c r="W36">
        <f>HYPERLINK("https://klasma.github.io/Logging_2401/artfynd/A 55632-2023 artfynd.xlsx", "A 55632-2023")</f>
        <v/>
      </c>
      <c r="X36">
        <f>HYPERLINK("https://klasma.github.io/Logging_2401/kartor/A 55632-2023 karta.png", "A 55632-2023")</f>
        <v/>
      </c>
      <c r="Y36">
        <f>HYPERLINK("https://klasma.github.io/Logging_2401/kartor_geotiff/A 55632-2023 georefererad karta.tif", "A 55632-2023")</f>
        <v/>
      </c>
      <c r="AA36">
        <f>HYPERLINK("https://klasma.github.io/Logging_2401/klagomål/A 55632-2023 FSC-klagomål.docx", "A 55632-2023")</f>
        <v/>
      </c>
      <c r="AB36">
        <f>HYPERLINK("https://klasma.github.io/Logging_2401/klagomålsmail/A 55632-2023 FSC-klagomål mail.docx", "A 55632-2023")</f>
        <v/>
      </c>
      <c r="AC36">
        <f>HYPERLINK("https://klasma.github.io/Logging_2401/tillsyn/A 55632-2023 tillsynsbegäran.docx", "A 55632-2023")</f>
        <v/>
      </c>
      <c r="AD36">
        <f>HYPERLINK("https://klasma.github.io/Logging_2401/tillsynsmail/A 55632-2023 tillsynsbegäran mail.docx", "A 55632-2023")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46314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46314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46314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46314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46314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46314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46314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46314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46314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6993-2024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45343</v>
      </c>
      <c r="E46" s="1" t="n">
        <v>46314</v>
      </c>
      <c r="F46" t="inlineStr">
        <is>
          <t>VÄSTERBOTTENS LÄN</t>
        </is>
      </c>
      <c r="G46" t="inlineStr">
        <is>
          <t>NORDMALING</t>
        </is>
      </c>
      <c r="H46" t="inlineStr">
        <is>
          <t>Kommuner</t>
        </is>
      </c>
      <c r="I46" t="n">
        <v>23.2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HYPERLINK("https://klasma.github.io/Logging_2401/artfynd/A 6993-2024 artfynd.xlsx", "A 6993-2024")</f>
        <v/>
      </c>
      <c r="X46">
        <f>HYPERLINK("https://klasma.github.io/Logging_2401/kartor/A 6993-2024 karta.png", "A 6993-2024")</f>
        <v/>
      </c>
      <c r="Y46">
        <f>HYPERLINK("https://klasma.github.io/Logging_2401/kartor_geotiff/A 6993-2024 georefererad karta.tif", "A 6993-2024")</f>
        <v/>
      </c>
      <c r="AA46">
        <f>HYPERLINK("https://klasma.github.io/Logging_2401/klagomål/A 6993-2024 FSC-klagomål.docx", "A 6993-2024")</f>
        <v/>
      </c>
      <c r="AB46">
        <f>HYPERLINK("https://klasma.github.io/Logging_2401/klagomålsmail/A 6993-2024 FSC-klagomål mail.docx", "A 6993-2024")</f>
        <v/>
      </c>
      <c r="AC46">
        <f>HYPERLINK("https://klasma.github.io/Logging_2401/tillsyn/A 6993-2024 tillsynsbegäran.docx", "A 6993-2024")</f>
        <v/>
      </c>
      <c r="AD46">
        <f>HYPERLINK("https://klasma.github.io/Logging_2401/tillsynsmail/A 6993-2024 tillsynsbegäran mail.docx", "A 6993-2024")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46314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46314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54893-2024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45618</v>
      </c>
      <c r="E49" s="1" t="n">
        <v>46314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Gammelgransskål</t>
        </is>
      </c>
      <c r="W49">
        <f>HYPERLINK("https://klasma.github.io/Logging_2401/artfynd/A 54893-2024 artfynd.xlsx", "A 54893-2024")</f>
        <v/>
      </c>
      <c r="X49">
        <f>HYPERLINK("https://klasma.github.io/Logging_2401/kartor/A 54893-2024 karta.png", "A 54893-2024")</f>
        <v/>
      </c>
      <c r="Y49">
        <f>HYPERLINK("https://klasma.github.io/Logging_2401/kartor_geotiff/A 54893-2024 georefererad karta.tif", "A 54893-2024")</f>
        <v/>
      </c>
      <c r="AA49">
        <f>HYPERLINK("https://klasma.github.io/Logging_2401/klagomål/A 54893-2024 FSC-klagomål.docx", "A 54893-2024")</f>
        <v/>
      </c>
      <c r="AB49">
        <f>HYPERLINK("https://klasma.github.io/Logging_2401/klagomålsmail/A 54893-2024 FSC-klagomål mail.docx", "A 54893-2024")</f>
        <v/>
      </c>
      <c r="AC49">
        <f>HYPERLINK("https://klasma.github.io/Logging_2401/tillsyn/A 54893-2024 tillsynsbegäran.docx", "A 54893-2024")</f>
        <v/>
      </c>
      <c r="AD49">
        <f>HYPERLINK("https://klasma.github.io/Logging_2401/tillsynsmail/A 54893-2024 tillsynsbegäran mail.docx", "A 54893-2024")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46314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46314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46314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33496-2022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44788</v>
      </c>
      <c r="E53" s="1" t="n">
        <v>46314</v>
      </c>
      <c r="F53" t="inlineStr">
        <is>
          <t>VÄSTERBOTTENS LÄN</t>
        </is>
      </c>
      <c r="G53" t="inlineStr">
        <is>
          <t>NORDMALING</t>
        </is>
      </c>
      <c r="I53" t="n">
        <v>6.5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Buskskvätta</t>
        </is>
      </c>
      <c r="W53">
        <f>HYPERLINK("https://klasma.github.io/Logging_2401/artfynd/A 33496-2022 artfynd.xlsx", "A 33496-2022")</f>
        <v/>
      </c>
      <c r="X53">
        <f>HYPERLINK("https://klasma.github.io/Logging_2401/kartor/A 33496-2022 karta.png", "A 33496-2022")</f>
        <v/>
      </c>
      <c r="Y53">
        <f>HYPERLINK("https://klasma.github.io/Logging_2401/kartor_geotiff/A 33496-2022 georefererad karta.tif", "A 33496-2022")</f>
        <v/>
      </c>
      <c r="AA53">
        <f>HYPERLINK("https://klasma.github.io/Logging_2401/klagomål/A 33496-2022 FSC-klagomål.docx", "A 33496-2022")</f>
        <v/>
      </c>
      <c r="AB53">
        <f>HYPERLINK("https://klasma.github.io/Logging_2401/klagomålsmail/A 33496-2022 FSC-klagomål mail.docx", "A 33496-2022")</f>
        <v/>
      </c>
      <c r="AC53">
        <f>HYPERLINK("https://klasma.github.io/Logging_2401/tillsyn/A 33496-2022 tillsynsbegäran.docx", "A 33496-2022")</f>
        <v/>
      </c>
      <c r="AD53">
        <f>HYPERLINK("https://klasma.github.io/Logging_2401/tillsynsmail/A 33496-2022 tillsynsbegäran mail.docx", "A 33496-2022")</f>
        <v/>
      </c>
    </row>
    <row r="54" ht="15" customHeight="1">
      <c r="A54" t="inlineStr">
        <is>
          <t>A 25996-2026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46314</v>
      </c>
      <c r="F54" t="inlineStr">
        <is>
          <t>VÄSTERBOTTENS LÄN</t>
        </is>
      </c>
      <c r="G54" t="inlineStr">
        <is>
          <t>NORDMALING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Brudborste</t>
        </is>
      </c>
      <c r="W54">
        <f>HYPERLINK("https://klasma.github.io/Logging_2401/artfynd/A 25996-2026 artfynd.xlsx", "A 25996-2026")</f>
        <v/>
      </c>
      <c r="X54">
        <f>HYPERLINK("https://klasma.github.io/Logging_2401/kartor/A 25996-2026 karta.png", "A 25996-2026")</f>
        <v/>
      </c>
      <c r="Y54">
        <f>HYPERLINK("https://klasma.github.io/Logging_2401/kartor_geotiff/A 25996-2026 georefererad karta.tif", "A 25996-2026")</f>
        <v/>
      </c>
      <c r="AA54">
        <f>HYPERLINK("https://klasma.github.io/Logging_2401/klagomål/A 25996-2026 FSC-klagomål.docx", "A 25996-2026")</f>
        <v/>
      </c>
      <c r="AB54">
        <f>HYPERLINK("https://klasma.github.io/Logging_2401/klagomålsmail/A 25996-2026 FSC-klagomål mail.docx", "A 25996-2026")</f>
        <v/>
      </c>
      <c r="AC54">
        <f>HYPERLINK("https://klasma.github.io/Logging_2401/tillsyn/A 25996-2026 tillsynsbegäran.docx", "A 25996-2026")</f>
        <v/>
      </c>
      <c r="AD54">
        <f>HYPERLINK("https://klasma.github.io/Logging_2401/tillsynsmail/A 25996-2026 tillsynsbegäran mail.docx", "A 25996-2026")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46314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46314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46314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46314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46314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61867-2024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45651</v>
      </c>
      <c r="E60" s="1" t="n">
        <v>46314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HYPERLINK("https://klasma.github.io/Logging_2401/artfynd/A 61867-2024 artfynd.xlsx", "A 61867-2024")</f>
        <v/>
      </c>
      <c r="X60">
        <f>HYPERLINK("https://klasma.github.io/Logging_2401/kartor/A 61867-2024 karta.png", "A 61867-2024")</f>
        <v/>
      </c>
      <c r="Y60">
        <f>HYPERLINK("https://klasma.github.io/Logging_2401/kartor_geotiff/A 61867-2024 georefererad karta.tif", "A 61867-2024")</f>
        <v/>
      </c>
      <c r="AA60">
        <f>HYPERLINK("https://klasma.github.io/Logging_2401/klagomål/A 61867-2024 FSC-klagomål.docx", "A 61867-2024")</f>
        <v/>
      </c>
      <c r="AB60">
        <f>HYPERLINK("https://klasma.github.io/Logging_2401/klagomålsmail/A 61867-2024 FSC-klagomål mail.docx", "A 61867-2024")</f>
        <v/>
      </c>
      <c r="AC60">
        <f>HYPERLINK("https://klasma.github.io/Logging_2401/tillsyn/A 61867-2024 tillsynsbegäran.docx", "A 61867-2024")</f>
        <v/>
      </c>
      <c r="AD60">
        <f>HYPERLINK("https://klasma.github.io/Logging_2401/tillsynsmail/A 61867-2024 tillsynsbegäran mail.docx", "A 61867-2024")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46314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46314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A 29323-2025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46314</v>
      </c>
      <c r="F63" t="inlineStr">
        <is>
          <t>VÄSTERBOTTENS LÄN</t>
        </is>
      </c>
      <c r="G63" t="inlineStr">
        <is>
          <t>NORDMALING</t>
        </is>
      </c>
      <c r="I63" t="n">
        <v>2.9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HYPERLINK("https://klasma.github.io/Logging_2401/artfynd/A 29323-2025 artfynd.xlsx", "A 29323-2025")</f>
        <v/>
      </c>
      <c r="X63">
        <f>HYPERLINK("https://klasma.github.io/Logging_2401/kartor/A 29323-2025 karta.png", "A 29323-2025")</f>
        <v/>
      </c>
      <c r="Y63">
        <f>HYPERLINK("https://klasma.github.io/Logging_2401/kartor_geotiff/A 29323-2025 georefererad karta.tif", "A 29323-2025")</f>
        <v/>
      </c>
      <c r="AA63">
        <f>HYPERLINK("https://klasma.github.io/Logging_2401/klagomål/A 29323-2025 FSC-klagomål.docx", "A 29323-2025")</f>
        <v/>
      </c>
      <c r="AB63">
        <f>HYPERLINK("https://klasma.github.io/Logging_2401/klagomålsmail/A 29323-2025 FSC-klagomål mail.docx", "A 29323-2025")</f>
        <v/>
      </c>
      <c r="AC63">
        <f>HYPERLINK("https://klasma.github.io/Logging_2401/tillsyn/A 29323-2025 tillsynsbegäran.docx", "A 29323-2025")</f>
        <v/>
      </c>
      <c r="AD63">
        <f>HYPERLINK("https://klasma.github.io/Logging_2401/tillsynsmail/A 29323-2025 tillsynsbegäran mail.docx", "A 29323-2025")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46314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46314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46314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46314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46314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46314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46314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46314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46314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46314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46314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46314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46314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46314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46314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46314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46314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46314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46314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46314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46314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46314</v>
      </c>
      <c r="F85" t="inlineStr">
        <is>
          <t>VÄSTERBOTTENS LÄN</t>
        </is>
      </c>
      <c r="G85" t="inlineStr">
        <is>
          <t>NORDMALING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46314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46314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46314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46314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46314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46314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46314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46314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46314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46314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46314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46314</v>
      </c>
      <c r="F97" t="inlineStr">
        <is>
          <t>VÄSTERBOTTENS LÄN</t>
        </is>
      </c>
      <c r="G97" t="inlineStr">
        <is>
          <t>NORDMALING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45447</v>
      </c>
      <c r="E98" s="1" t="n">
        <v>46314</v>
      </c>
      <c r="F98" t="inlineStr">
        <is>
          <t>VÄSTERBOTTENS LÄN</t>
        </is>
      </c>
      <c r="G98" t="inlineStr">
        <is>
          <t>NORDMALING</t>
        </is>
      </c>
      <c r="H98" t="inlineStr">
        <is>
          <t>Holmen skog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46314</v>
      </c>
      <c r="F99" t="inlineStr">
        <is>
          <t>VÄSTERBOTTENS LÄN</t>
        </is>
      </c>
      <c r="G99" t="inlineStr">
        <is>
          <t>NORDMALING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46314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45062</v>
      </c>
      <c r="E101" s="1" t="n">
        <v>46314</v>
      </c>
      <c r="F101" t="inlineStr">
        <is>
          <t>VÄSTERBOTTENS LÄN</t>
        </is>
      </c>
      <c r="G101" t="inlineStr">
        <is>
          <t>NORDMALING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46314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44968</v>
      </c>
      <c r="E103" s="1" t="n">
        <v>46314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46314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45664</v>
      </c>
      <c r="E105" s="1" t="n">
        <v>46314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44964</v>
      </c>
      <c r="E106" s="1" t="n">
        <v>46314</v>
      </c>
      <c r="F106" t="inlineStr">
        <is>
          <t>VÄSTERBOTTENS LÄN</t>
        </is>
      </c>
      <c r="G106" t="inlineStr">
        <is>
          <t>NORDMALING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46314</v>
      </c>
      <c r="F107" t="inlineStr">
        <is>
          <t>VÄSTERBOTTENS LÄN</t>
        </is>
      </c>
      <c r="G107" t="inlineStr">
        <is>
          <t>NORDMALING</t>
        </is>
      </c>
      <c r="I107" t="n">
        <v>20.1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46314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46314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45590</v>
      </c>
      <c r="E110" s="1" t="n">
        <v>46314</v>
      </c>
      <c r="F110" t="inlineStr">
        <is>
          <t>VÄSTERBOTTENS LÄN</t>
        </is>
      </c>
      <c r="G110" t="inlineStr">
        <is>
          <t>NORDMALING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46314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46314</v>
      </c>
      <c r="F112" t="inlineStr">
        <is>
          <t>VÄSTERBOTTENS LÄN</t>
        </is>
      </c>
      <c r="G112" t="inlineStr">
        <is>
          <t>NORDMALING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46314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45158</v>
      </c>
      <c r="E114" s="1" t="n">
        <v>46314</v>
      </c>
      <c r="F114" t="inlineStr">
        <is>
          <t>VÄSTERBOTTENS LÄN</t>
        </is>
      </c>
      <c r="G114" t="inlineStr">
        <is>
          <t>NORDMALING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44921</v>
      </c>
      <c r="E115" s="1" t="n">
        <v>46314</v>
      </c>
      <c r="F115" t="inlineStr">
        <is>
          <t>VÄSTERBOTTENS LÄN</t>
        </is>
      </c>
      <c r="G115" t="inlineStr">
        <is>
          <t>NORDMALING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46314</v>
      </c>
      <c r="F116" t="inlineStr">
        <is>
          <t>VÄSTERBOTTENS LÄN</t>
        </is>
      </c>
      <c r="G116" t="inlineStr">
        <is>
          <t>NORDMALING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46314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46314</v>
      </c>
      <c r="F118" t="inlineStr">
        <is>
          <t>VÄSTERBOTTENS LÄN</t>
        </is>
      </c>
      <c r="G118" t="inlineStr">
        <is>
          <t>NORDMALING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46314</v>
      </c>
      <c r="F119" t="inlineStr">
        <is>
          <t>VÄSTERBOTTENS LÄN</t>
        </is>
      </c>
      <c r="G119" t="inlineStr">
        <is>
          <t>NORDMALING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46314</v>
      </c>
      <c r="F120" t="inlineStr">
        <is>
          <t>VÄSTERBOTTENS LÄN</t>
        </is>
      </c>
      <c r="G120" t="inlineStr">
        <is>
          <t>NORDMALING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46314</v>
      </c>
      <c r="F121" t="inlineStr">
        <is>
          <t>VÄSTERBOTTENS LÄN</t>
        </is>
      </c>
      <c r="G121" t="inlineStr">
        <is>
          <t>NORDMALING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7007-2024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45343</v>
      </c>
      <c r="E122" s="1" t="n">
        <v>46314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Kommuner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30715-2022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44763</v>
      </c>
      <c r="E123" s="1" t="n">
        <v>46314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46314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44816</v>
      </c>
      <c r="E125" s="1" t="n">
        <v>46314</v>
      </c>
      <c r="F125" t="inlineStr">
        <is>
          <t>VÄSTERBOTTENS LÄN</t>
        </is>
      </c>
      <c r="G125" t="inlineStr">
        <is>
          <t>NORDMALING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46314</v>
      </c>
      <c r="F126" t="inlineStr">
        <is>
          <t>VÄSTERBOTTENS LÄN</t>
        </is>
      </c>
      <c r="G126" t="inlineStr">
        <is>
          <t>NORDMALING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46314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46314</v>
      </c>
      <c r="F128" t="inlineStr">
        <is>
          <t>VÄSTERBOTTENS LÄN</t>
        </is>
      </c>
      <c r="G128" t="inlineStr">
        <is>
          <t>NORDMALING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46314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30438-2024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46314</v>
      </c>
      <c r="F130" t="inlineStr">
        <is>
          <t>VÄSTERBOTTENS LÄN</t>
        </is>
      </c>
      <c r="G130" t="inlineStr">
        <is>
          <t>NORDMALING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46314</v>
      </c>
      <c r="F131" t="inlineStr">
        <is>
          <t>VÄSTERBOTTENS LÄN</t>
        </is>
      </c>
      <c r="G131" t="inlineStr">
        <is>
          <t>NORDMALING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45587</v>
      </c>
      <c r="E132" s="1" t="n">
        <v>46314</v>
      </c>
      <c r="F132" t="inlineStr">
        <is>
          <t>VÄSTERBOTTENS LÄN</t>
        </is>
      </c>
      <c r="G132" t="inlineStr">
        <is>
          <t>NORDMALING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46314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46314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46314</v>
      </c>
      <c r="F135" t="inlineStr">
        <is>
          <t>VÄSTERBOTTENS LÄN</t>
        </is>
      </c>
      <c r="G135" t="inlineStr">
        <is>
          <t>NORDMALING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46314</v>
      </c>
      <c r="F136" t="inlineStr">
        <is>
          <t>VÄSTERBOTTENS LÄN</t>
        </is>
      </c>
      <c r="G136" t="inlineStr">
        <is>
          <t>NORDMALING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45673</v>
      </c>
      <c r="E137" s="1" t="n">
        <v>46314</v>
      </c>
      <c r="F137" t="inlineStr">
        <is>
          <t>VÄSTERBOTTENS LÄN</t>
        </is>
      </c>
      <c r="G137" t="inlineStr">
        <is>
          <t>NORDMALING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46314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45419</v>
      </c>
      <c r="E139" s="1" t="n">
        <v>46314</v>
      </c>
      <c r="F139" t="inlineStr">
        <is>
          <t>VÄSTERBOTTENS LÄN</t>
        </is>
      </c>
      <c r="G139" t="inlineStr">
        <is>
          <t>NORDMALING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45247</v>
      </c>
      <c r="E140" s="1" t="n">
        <v>46314</v>
      </c>
      <c r="F140" t="inlineStr">
        <is>
          <t>VÄSTERBOTTENS LÄN</t>
        </is>
      </c>
      <c r="G140" t="inlineStr">
        <is>
          <t>NORDMALING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46314</v>
      </c>
      <c r="F141" t="inlineStr">
        <is>
          <t>VÄSTERBOTTENS LÄN</t>
        </is>
      </c>
      <c r="G141" t="inlineStr">
        <is>
          <t>NORDMALING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46314</v>
      </c>
      <c r="F142" t="inlineStr">
        <is>
          <t>VÄSTERBOTTENS LÄN</t>
        </is>
      </c>
      <c r="G142" t="inlineStr">
        <is>
          <t>NORDMALING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44905</v>
      </c>
      <c r="E143" s="1" t="n">
        <v>46314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46314</v>
      </c>
      <c r="F144" t="inlineStr">
        <is>
          <t>VÄSTERBOTTENS LÄN</t>
        </is>
      </c>
      <c r="G144" t="inlineStr">
        <is>
          <t>NORDMALING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44916</v>
      </c>
      <c r="E145" s="1" t="n">
        <v>46314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46314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46314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65688-2021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44515</v>
      </c>
      <c r="E148" s="1" t="n">
        <v>46314</v>
      </c>
      <c r="F148" t="inlineStr">
        <is>
          <t>VÄSTERBOTTENS LÄN</t>
        </is>
      </c>
      <c r="G148" t="inlineStr">
        <is>
          <t>NORDMALING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46314</v>
      </c>
      <c r="F149" t="inlineStr">
        <is>
          <t>VÄSTERBOTTENS LÄN</t>
        </is>
      </c>
      <c r="G149" t="inlineStr">
        <is>
          <t>NORDMALING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44922</v>
      </c>
      <c r="E150" s="1" t="n">
        <v>46314</v>
      </c>
      <c r="F150" t="inlineStr">
        <is>
          <t>VÄSTERBOTTENS LÄN</t>
        </is>
      </c>
      <c r="G150" t="inlineStr">
        <is>
          <t>NORDMALING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19300-2023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45049</v>
      </c>
      <c r="E151" s="1" t="n">
        <v>46314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Kyrkan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46314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46314</v>
      </c>
      <c r="F153" t="inlineStr">
        <is>
          <t>VÄSTERBOTTENS LÄN</t>
        </is>
      </c>
      <c r="G153" t="inlineStr">
        <is>
          <t>NORDMALING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46314</v>
      </c>
      <c r="F154" t="inlineStr">
        <is>
          <t>VÄSTERBOTTENS LÄN</t>
        </is>
      </c>
      <c r="G154" t="inlineStr">
        <is>
          <t>NORDMALING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46314</v>
      </c>
      <c r="F155" t="inlineStr">
        <is>
          <t>VÄSTERBOTTENS LÄN</t>
        </is>
      </c>
      <c r="G155" t="inlineStr">
        <is>
          <t>NORDMALING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46314</v>
      </c>
      <c r="F156" t="inlineStr">
        <is>
          <t>VÄSTERBOTTENS LÄN</t>
        </is>
      </c>
      <c r="G156" t="inlineStr">
        <is>
          <t>NORDMALING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46314</v>
      </c>
      <c r="F157" t="inlineStr">
        <is>
          <t>VÄSTERBOTTENS LÄN</t>
        </is>
      </c>
      <c r="G157" t="inlineStr">
        <is>
          <t>NORDMALING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46314</v>
      </c>
      <c r="F158" t="inlineStr">
        <is>
          <t>VÄSTERBOTTENS LÄN</t>
        </is>
      </c>
      <c r="G158" t="inlineStr">
        <is>
          <t>NORDMALING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46314</v>
      </c>
      <c r="F159" t="inlineStr">
        <is>
          <t>VÄSTERBOTTENS LÄN</t>
        </is>
      </c>
      <c r="G159" t="inlineStr">
        <is>
          <t>NORDMALING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45996</v>
      </c>
      <c r="E160" s="1" t="n">
        <v>46314</v>
      </c>
      <c r="F160" t="inlineStr">
        <is>
          <t>VÄSTERBOTTENS LÄN</t>
        </is>
      </c>
      <c r="G160" t="inlineStr">
        <is>
          <t>NORDMALING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46314</v>
      </c>
      <c r="F161" t="inlineStr">
        <is>
          <t>VÄSTERBOTTENS LÄN</t>
        </is>
      </c>
      <c r="G161" t="inlineStr">
        <is>
          <t>NORDMALING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46314</v>
      </c>
      <c r="F162" t="inlineStr">
        <is>
          <t>VÄSTERBOTTENS LÄN</t>
        </is>
      </c>
      <c r="G162" t="inlineStr">
        <is>
          <t>NORDMALING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46314</v>
      </c>
      <c r="F163" t="inlineStr">
        <is>
          <t>VÄSTERBOTTENS LÄN</t>
        </is>
      </c>
      <c r="G163" t="inlineStr">
        <is>
          <t>NORDMALING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44687</v>
      </c>
      <c r="E164" s="1" t="n">
        <v>46314</v>
      </c>
      <c r="F164" t="inlineStr">
        <is>
          <t>VÄSTERBOTTENS LÄN</t>
        </is>
      </c>
      <c r="G164" t="inlineStr">
        <is>
          <t>NORDMALING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46314</v>
      </c>
      <c r="F165" t="inlineStr">
        <is>
          <t>VÄSTERBOTTENS LÄN</t>
        </is>
      </c>
      <c r="G165" t="inlineStr">
        <is>
          <t>NORDMALING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46314</v>
      </c>
      <c r="F166" t="inlineStr">
        <is>
          <t>VÄSTERBOTTENS LÄN</t>
        </is>
      </c>
      <c r="G166" t="inlineStr">
        <is>
          <t>NORDMALING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46314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34184-2023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45126</v>
      </c>
      <c r="E168" s="1" t="n">
        <v>46314</v>
      </c>
      <c r="F168" t="inlineStr">
        <is>
          <t>VÄSTERBOTTENS LÄN</t>
        </is>
      </c>
      <c r="G168" t="inlineStr">
        <is>
          <t>NORDMALING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72841-2021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44547</v>
      </c>
      <c r="E169" s="1" t="n">
        <v>46314</v>
      </c>
      <c r="F169" t="inlineStr">
        <is>
          <t>VÄSTERBOTTENS LÄN</t>
        </is>
      </c>
      <c r="G169" t="inlineStr">
        <is>
          <t>NORDMALING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44908</v>
      </c>
      <c r="E170" s="1" t="n">
        <v>46314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45894</v>
      </c>
      <c r="E171" s="1" t="n">
        <v>46314</v>
      </c>
      <c r="F171" t="inlineStr">
        <is>
          <t>VÄSTERBOTTENS LÄN</t>
        </is>
      </c>
      <c r="G171" t="inlineStr">
        <is>
          <t>NORDMALING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46314</v>
      </c>
      <c r="F172" t="inlineStr">
        <is>
          <t>VÄSTERBOTTENS LÄN</t>
        </is>
      </c>
      <c r="G172" t="inlineStr">
        <is>
          <t>NORDMALING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45770</v>
      </c>
      <c r="E173" s="1" t="n">
        <v>46314</v>
      </c>
      <c r="F173" t="inlineStr">
        <is>
          <t>VÄSTERBOTTENS LÄN</t>
        </is>
      </c>
      <c r="G173" t="inlineStr">
        <is>
          <t>NORDMALING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46314</v>
      </c>
      <c r="F174" t="inlineStr">
        <is>
          <t>VÄSTERBOTTENS LÄN</t>
        </is>
      </c>
      <c r="G174" t="inlineStr">
        <is>
          <t>NORDMALING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45929</v>
      </c>
      <c r="E175" s="1" t="n">
        <v>46314</v>
      </c>
      <c r="F175" t="inlineStr">
        <is>
          <t>VÄSTERBOTTENS LÄN</t>
        </is>
      </c>
      <c r="G175" t="inlineStr">
        <is>
          <t>NORDMALING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72018-2021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44540</v>
      </c>
      <c r="E176" s="1" t="n">
        <v>46314</v>
      </c>
      <c r="F176" t="inlineStr">
        <is>
          <t>VÄSTERBOTTENS LÄN</t>
        </is>
      </c>
      <c r="G176" t="inlineStr">
        <is>
          <t>NORDMALING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46314</v>
      </c>
      <c r="F177" t="inlineStr">
        <is>
          <t>VÄSTERBOTTENS LÄN</t>
        </is>
      </c>
      <c r="G177" t="inlineStr">
        <is>
          <t>NORDMALING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45900</v>
      </c>
      <c r="E178" s="1" t="n">
        <v>46314</v>
      </c>
      <c r="F178" t="inlineStr">
        <is>
          <t>VÄSTERBOTTENS LÄN</t>
        </is>
      </c>
      <c r="G178" t="inlineStr">
        <is>
          <t>NORDMALING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46314</v>
      </c>
      <c r="F179" t="inlineStr">
        <is>
          <t>VÄSTERBOTTENS LÄN</t>
        </is>
      </c>
      <c r="G179" t="inlineStr">
        <is>
          <t>NORDMALING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46314</v>
      </c>
      <c r="F180" t="inlineStr">
        <is>
          <t>VÄSTERBOTTENS LÄN</t>
        </is>
      </c>
      <c r="G180" t="inlineStr">
        <is>
          <t>NORDMALING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45051</v>
      </c>
      <c r="E181" s="1" t="n">
        <v>46314</v>
      </c>
      <c r="F181" t="inlineStr">
        <is>
          <t>VÄSTERBOTTENS LÄN</t>
        </is>
      </c>
      <c r="G181" t="inlineStr">
        <is>
          <t>NORDMALING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46314</v>
      </c>
      <c r="F182" t="inlineStr">
        <is>
          <t>VÄSTERBOTTENS LÄN</t>
        </is>
      </c>
      <c r="G182" t="inlineStr">
        <is>
          <t>NORDMALING</t>
        </is>
      </c>
      <c r="I182" t="n">
        <v>16.1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46314</v>
      </c>
      <c r="F183" t="inlineStr">
        <is>
          <t>VÄSTERBOTTENS LÄN</t>
        </is>
      </c>
      <c r="G183" t="inlineStr">
        <is>
          <t>NORDMALING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46314</v>
      </c>
      <c r="F184" t="inlineStr">
        <is>
          <t>VÄSTERBOTTENS LÄN</t>
        </is>
      </c>
      <c r="G184" t="inlineStr">
        <is>
          <t>NORDMALING</t>
        </is>
      </c>
      <c r="I184" t="n">
        <v>11.1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46314</v>
      </c>
      <c r="F185" t="inlineStr">
        <is>
          <t>VÄSTERBOTTENS LÄN</t>
        </is>
      </c>
      <c r="G185" t="inlineStr">
        <is>
          <t>NORDMALING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46314</v>
      </c>
      <c r="F186" t="inlineStr">
        <is>
          <t>VÄSTERBOTTENS LÄN</t>
        </is>
      </c>
      <c r="G186" t="inlineStr">
        <is>
          <t>NORDMALING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46314</v>
      </c>
      <c r="F187" t="inlineStr">
        <is>
          <t>VÄSTERBOTTENS LÄN</t>
        </is>
      </c>
      <c r="G187" t="inlineStr">
        <is>
          <t>NORDMALING</t>
        </is>
      </c>
      <c r="I187" t="n">
        <v>12.5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46314</v>
      </c>
      <c r="F188" t="inlineStr">
        <is>
          <t>VÄSTERBOTTENS LÄN</t>
        </is>
      </c>
      <c r="G188" t="inlineStr">
        <is>
          <t>NORDMALING</t>
        </is>
      </c>
      <c r="I188" t="n">
        <v>14.8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46314</v>
      </c>
      <c r="F189" t="inlineStr">
        <is>
          <t>VÄSTERBOTTENS LÄN</t>
        </is>
      </c>
      <c r="G189" t="inlineStr">
        <is>
          <t>NORDMALING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45343</v>
      </c>
      <c r="E190" s="1" t="n">
        <v>46314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Kommuner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45961</v>
      </c>
      <c r="E191" s="1" t="n">
        <v>46314</v>
      </c>
      <c r="F191" t="inlineStr">
        <is>
          <t>VÄSTERBOTTENS LÄN</t>
        </is>
      </c>
      <c r="G191" t="inlineStr">
        <is>
          <t>NORDMALING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46314</v>
      </c>
      <c r="F192" t="inlineStr">
        <is>
          <t>VÄSTERBOTTENS LÄN</t>
        </is>
      </c>
      <c r="G192" t="inlineStr">
        <is>
          <t>NORDMALING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46314</v>
      </c>
      <c r="F193" t="inlineStr">
        <is>
          <t>VÄSTERBOTTENS LÄN</t>
        </is>
      </c>
      <c r="G193" t="inlineStr">
        <is>
          <t>NORDMALING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46314</v>
      </c>
      <c r="F194" t="inlineStr">
        <is>
          <t>VÄSTERBOTTENS LÄN</t>
        </is>
      </c>
      <c r="G194" t="inlineStr">
        <is>
          <t>NORDMALING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46314</v>
      </c>
      <c r="F195" t="inlineStr">
        <is>
          <t>VÄSTERBOTTENS LÄN</t>
        </is>
      </c>
      <c r="G195" t="inlineStr">
        <is>
          <t>NORDMALING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44834</v>
      </c>
      <c r="E196" s="1" t="n">
        <v>46314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46314</v>
      </c>
      <c r="F197" t="inlineStr">
        <is>
          <t>VÄSTERBOTTENS LÄN</t>
        </is>
      </c>
      <c r="G197" t="inlineStr">
        <is>
          <t>NORDMALING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45673</v>
      </c>
      <c r="E198" s="1" t="n">
        <v>46314</v>
      </c>
      <c r="F198" t="inlineStr">
        <is>
          <t>VÄSTERBOTTENS LÄN</t>
        </is>
      </c>
      <c r="G198" t="inlineStr">
        <is>
          <t>NORDMALING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46314</v>
      </c>
      <c r="F199" t="inlineStr">
        <is>
          <t>VÄSTERBOTTENS LÄN</t>
        </is>
      </c>
      <c r="G199" t="inlineStr">
        <is>
          <t>NORDMALING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46314</v>
      </c>
      <c r="F200" t="inlineStr">
        <is>
          <t>VÄSTERBOTTENS LÄN</t>
        </is>
      </c>
      <c r="G200" t="inlineStr">
        <is>
          <t>NORDMALING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46314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SCA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45536</v>
      </c>
      <c r="E202" s="1" t="n">
        <v>46314</v>
      </c>
      <c r="F202" t="inlineStr">
        <is>
          <t>VÄSTERBOTTENS LÄN</t>
        </is>
      </c>
      <c r="G202" t="inlineStr">
        <is>
          <t>NORDMALING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46314</v>
      </c>
      <c r="F203" t="inlineStr">
        <is>
          <t>VÄSTERBOTTENS LÄN</t>
        </is>
      </c>
      <c r="G203" t="inlineStr">
        <is>
          <t>NORDMALING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46876-2025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46314</v>
      </c>
      <c r="F204" t="inlineStr">
        <is>
          <t>VÄSTERBOTTENS LÄN</t>
        </is>
      </c>
      <c r="G204" t="inlineStr">
        <is>
          <t>NORDMALING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46314</v>
      </c>
      <c r="F205" t="inlineStr">
        <is>
          <t>VÄSTERBOTTENS LÄN</t>
        </is>
      </c>
      <c r="G205" t="inlineStr">
        <is>
          <t>NORDMALING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45489</v>
      </c>
      <c r="E206" s="1" t="n">
        <v>46314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46314</v>
      </c>
      <c r="F207" t="inlineStr">
        <is>
          <t>VÄSTERBOTTENS LÄN</t>
        </is>
      </c>
      <c r="G207" t="inlineStr">
        <is>
          <t>NORDMALING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46314</v>
      </c>
      <c r="F208" t="inlineStr">
        <is>
          <t>VÄSTERBOTTENS LÄN</t>
        </is>
      </c>
      <c r="G208" t="inlineStr">
        <is>
          <t>NORDMALING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69519-2021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46314</v>
      </c>
      <c r="F209" t="inlineStr">
        <is>
          <t>VÄSTERBOTTENS LÄN</t>
        </is>
      </c>
      <c r="G209" t="inlineStr">
        <is>
          <t>NORDMALING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46151</v>
      </c>
      <c r="E210" s="1" t="n">
        <v>46314</v>
      </c>
      <c r="F210" t="inlineStr">
        <is>
          <t>VÄSTERBOTTENS LÄN</t>
        </is>
      </c>
      <c r="G210" t="inlineStr">
        <is>
          <t>NORDMALING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46151</v>
      </c>
      <c r="E211" s="1" t="n">
        <v>46314</v>
      </c>
      <c r="F211" t="inlineStr">
        <is>
          <t>VÄSTERBOTTENS LÄN</t>
        </is>
      </c>
      <c r="G211" t="inlineStr">
        <is>
          <t>NORDMALING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46314</v>
      </c>
      <c r="F212" t="inlineStr">
        <is>
          <t>VÄSTERBOTTENS LÄN</t>
        </is>
      </c>
      <c r="G212" t="inlineStr">
        <is>
          <t>NORDMALING</t>
        </is>
      </c>
      <c r="H212" t="inlineStr">
        <is>
          <t>SCA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46314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34176-2023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45126</v>
      </c>
      <c r="E214" s="1" t="n">
        <v>46314</v>
      </c>
      <c r="F214" t="inlineStr">
        <is>
          <t>VÄSTERBOTTENS LÄN</t>
        </is>
      </c>
      <c r="G214" t="inlineStr">
        <is>
          <t>NORDMALING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61795-2023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45265</v>
      </c>
      <c r="E215" s="1" t="n">
        <v>46314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46314</v>
      </c>
      <c r="F216" t="inlineStr">
        <is>
          <t>VÄSTERBOTTENS LÄN</t>
        </is>
      </c>
      <c r="G216" t="inlineStr">
        <is>
          <t>NORDMALING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46314</v>
      </c>
      <c r="F217" t="inlineStr">
        <is>
          <t>VÄSTERBOTTENS LÄN</t>
        </is>
      </c>
      <c r="G217" t="inlineStr">
        <is>
          <t>NORDMALING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61793-2023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45265</v>
      </c>
      <c r="E218" s="1" t="n">
        <v>46314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46314</v>
      </c>
      <c r="F219" t="inlineStr">
        <is>
          <t>VÄSTERBOTTENS LÄN</t>
        </is>
      </c>
      <c r="G219" t="inlineStr">
        <is>
          <t>NORDMALING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45102</v>
      </c>
      <c r="E220" s="1" t="n">
        <v>46314</v>
      </c>
      <c r="F220" t="inlineStr">
        <is>
          <t>VÄSTERBOTTENS LÄN</t>
        </is>
      </c>
      <c r="G220" t="inlineStr">
        <is>
          <t>NORDMALING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46314</v>
      </c>
      <c r="F221" t="inlineStr">
        <is>
          <t>VÄSTERBOTTENS LÄN</t>
        </is>
      </c>
      <c r="G221" t="inlineStr">
        <is>
          <t>NORDMALING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45940</v>
      </c>
      <c r="E222" s="1" t="n">
        <v>46314</v>
      </c>
      <c r="F222" t="inlineStr">
        <is>
          <t>VÄSTERBOTTENS LÄN</t>
        </is>
      </c>
      <c r="G222" t="inlineStr">
        <is>
          <t>NORDMALING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46314</v>
      </c>
      <c r="F223" t="inlineStr">
        <is>
          <t>VÄSTERBOTTENS LÄN</t>
        </is>
      </c>
      <c r="G223" t="inlineStr">
        <is>
          <t>NORDMALING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46155</v>
      </c>
      <c r="E224" s="1" t="n">
        <v>46314</v>
      </c>
      <c r="F224" t="inlineStr">
        <is>
          <t>VÄSTERBOTTENS LÄN</t>
        </is>
      </c>
      <c r="G224" t="inlineStr">
        <is>
          <t>NORDMALING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46314</v>
      </c>
      <c r="F225" t="inlineStr">
        <is>
          <t>VÄSTERBOTTENS LÄN</t>
        </is>
      </c>
      <c r="G225" t="inlineStr">
        <is>
          <t>NORDMALING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46314</v>
      </c>
      <c r="F226" t="inlineStr">
        <is>
          <t>VÄSTERBOTTENS LÄN</t>
        </is>
      </c>
      <c r="G226" t="inlineStr">
        <is>
          <t>NORDMALING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44938</v>
      </c>
      <c r="E227" s="1" t="n">
        <v>46314</v>
      </c>
      <c r="F227" t="inlineStr">
        <is>
          <t>VÄSTERBOTTENS LÄN</t>
        </is>
      </c>
      <c r="G227" t="inlineStr">
        <is>
          <t>NORDMALING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46314</v>
      </c>
      <c r="F228" t="inlineStr">
        <is>
          <t>VÄSTERBOTTENS LÄN</t>
        </is>
      </c>
      <c r="G228" t="inlineStr">
        <is>
          <t>NORDMALING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46314</v>
      </c>
      <c r="F229" t="inlineStr">
        <is>
          <t>VÄSTERBOTTENS LÄN</t>
        </is>
      </c>
      <c r="G229" t="inlineStr">
        <is>
          <t>NORDMALING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51542-2025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45950</v>
      </c>
      <c r="E230" s="1" t="n">
        <v>46314</v>
      </c>
      <c r="F230" t="inlineStr">
        <is>
          <t>VÄSTERBOTTENS LÄN</t>
        </is>
      </c>
      <c r="G230" t="inlineStr">
        <is>
          <t>NORDMALING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46314</v>
      </c>
      <c r="F231" t="inlineStr">
        <is>
          <t>VÄSTERBOTTENS LÄN</t>
        </is>
      </c>
      <c r="G231" t="inlineStr">
        <is>
          <t>NORDMALING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46314</v>
      </c>
      <c r="F232" t="inlineStr">
        <is>
          <t>VÄSTERBOTTENS LÄN</t>
        </is>
      </c>
      <c r="G232" t="inlineStr">
        <is>
          <t>NORDMALING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46314</v>
      </c>
      <c r="F233" t="inlineStr">
        <is>
          <t>VÄSTERBOTTENS LÄN</t>
        </is>
      </c>
      <c r="G233" t="inlineStr">
        <is>
          <t>NORDMALING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46314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45959</v>
      </c>
      <c r="E235" s="1" t="n">
        <v>46314</v>
      </c>
      <c r="F235" t="inlineStr">
        <is>
          <t>VÄSTERBOTTENS LÄN</t>
        </is>
      </c>
      <c r="G235" t="inlineStr">
        <is>
          <t>NORDMALING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45961</v>
      </c>
      <c r="E236" s="1" t="n">
        <v>46314</v>
      </c>
      <c r="F236" t="inlineStr">
        <is>
          <t>VÄSTERBOTTENS LÄN</t>
        </is>
      </c>
      <c r="G236" t="inlineStr">
        <is>
          <t>NORDMALING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46161</v>
      </c>
      <c r="E237" s="1" t="n">
        <v>46314</v>
      </c>
      <c r="F237" t="inlineStr">
        <is>
          <t>VÄSTERBOTTENS LÄN</t>
        </is>
      </c>
      <c r="G237" t="inlineStr">
        <is>
          <t>NORDMALING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46314</v>
      </c>
      <c r="F238" t="inlineStr">
        <is>
          <t>VÄSTERBOTTENS LÄN</t>
        </is>
      </c>
      <c r="G238" t="inlineStr">
        <is>
          <t>NORDMALING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46314</v>
      </c>
      <c r="F239" t="inlineStr">
        <is>
          <t>VÄSTERBOTTENS LÄN</t>
        </is>
      </c>
      <c r="G239" t="inlineStr">
        <is>
          <t>NORDMALING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46314</v>
      </c>
      <c r="F240" t="inlineStr">
        <is>
          <t>VÄSTERBOTTENS LÄN</t>
        </is>
      </c>
      <c r="G240" t="inlineStr">
        <is>
          <t>NORDMALING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23005-2026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46160</v>
      </c>
      <c r="E241" s="1" t="n">
        <v>46314</v>
      </c>
      <c r="F241" t="inlineStr">
        <is>
          <t>VÄSTERBOTTENS LÄN</t>
        </is>
      </c>
      <c r="G241" t="inlineStr">
        <is>
          <t>NORDMALING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23006-2026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46160</v>
      </c>
      <c r="E242" s="1" t="n">
        <v>46314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54105-2025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46314</v>
      </c>
      <c r="F243" t="inlineStr">
        <is>
          <t>VÄSTERBOTTENS LÄN</t>
        </is>
      </c>
      <c r="G243" t="inlineStr">
        <is>
          <t>NORDMALING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45962</v>
      </c>
      <c r="E244" s="1" t="n">
        <v>46314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46314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46314</v>
      </c>
      <c r="F246" t="inlineStr">
        <is>
          <t>VÄSTERBOTTENS LÄN</t>
        </is>
      </c>
      <c r="G246" t="inlineStr">
        <is>
          <t>NORDMALING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46314</v>
      </c>
      <c r="F247" t="inlineStr">
        <is>
          <t>VÄSTERBOTTENS LÄN</t>
        </is>
      </c>
      <c r="G247" t="inlineStr">
        <is>
          <t>NORDMALING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46314</v>
      </c>
      <c r="F248" t="inlineStr">
        <is>
          <t>VÄSTERBOTTENS LÄN</t>
        </is>
      </c>
      <c r="G248" t="inlineStr">
        <is>
          <t>NORDMALING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24850-2023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45078</v>
      </c>
      <c r="E249" s="1" t="n">
        <v>46314</v>
      </c>
      <c r="F249" t="inlineStr">
        <is>
          <t>VÄSTERBOTTENS LÄN</t>
        </is>
      </c>
      <c r="G249" t="inlineStr">
        <is>
          <t>NORDMALING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46161</v>
      </c>
      <c r="E250" s="1" t="n">
        <v>46314</v>
      </c>
      <c r="F250" t="inlineStr">
        <is>
          <t>VÄSTERBOTTENS LÄN</t>
        </is>
      </c>
      <c r="G250" t="inlineStr">
        <is>
          <t>NORDMALING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46314</v>
      </c>
      <c r="F251" t="inlineStr">
        <is>
          <t>VÄSTERBOTTENS LÄN</t>
        </is>
      </c>
      <c r="G251" t="inlineStr">
        <is>
          <t>NORDMALING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46161</v>
      </c>
      <c r="E252" s="1" t="n">
        <v>46314</v>
      </c>
      <c r="F252" t="inlineStr">
        <is>
          <t>VÄSTERBOTTENS LÄN</t>
        </is>
      </c>
      <c r="G252" t="inlineStr">
        <is>
          <t>NORDMALING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23049-2026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46161</v>
      </c>
      <c r="E253" s="1" t="n">
        <v>46314</v>
      </c>
      <c r="F253" t="inlineStr">
        <is>
          <t>VÄSTERBOTTENS LÄN</t>
        </is>
      </c>
      <c r="G253" t="inlineStr">
        <is>
          <t>NORDMALING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46314</v>
      </c>
      <c r="F254" t="inlineStr">
        <is>
          <t>VÄSTERBOTTENS LÄN</t>
        </is>
      </c>
      <c r="G254" t="inlineStr">
        <is>
          <t>NORDMALING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46161</v>
      </c>
      <c r="E255" s="1" t="n">
        <v>46314</v>
      </c>
      <c r="F255" t="inlineStr">
        <is>
          <t>VÄSTERBOTTENS LÄN</t>
        </is>
      </c>
      <c r="G255" t="inlineStr">
        <is>
          <t>NORDMALING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46314</v>
      </c>
      <c r="F256" t="inlineStr">
        <is>
          <t>VÄSTERBOTTENS LÄN</t>
        </is>
      </c>
      <c r="G256" t="inlineStr">
        <is>
          <t>NORDMALING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46314</v>
      </c>
      <c r="F257" t="inlineStr">
        <is>
          <t>VÄSTERBOTTENS LÄN</t>
        </is>
      </c>
      <c r="G257" t="inlineStr">
        <is>
          <t>NORDMALING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46314</v>
      </c>
      <c r="F258" t="inlineStr">
        <is>
          <t>VÄSTERBOTTENS LÄN</t>
        </is>
      </c>
      <c r="G258" t="inlineStr">
        <is>
          <t>NORDMALING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46314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46314</v>
      </c>
      <c r="F260" t="inlineStr">
        <is>
          <t>VÄSTERBOTTENS LÄN</t>
        </is>
      </c>
      <c r="G260" t="inlineStr">
        <is>
          <t>NORDMALING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46314</v>
      </c>
      <c r="F261" t="inlineStr">
        <is>
          <t>VÄSTERBOTTENS LÄN</t>
        </is>
      </c>
      <c r="G261" t="inlineStr">
        <is>
          <t>NORDMALING</t>
        </is>
      </c>
      <c r="I261" t="n">
        <v>10.4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46314</v>
      </c>
      <c r="F262" t="inlineStr">
        <is>
          <t>VÄSTERBOTTENS LÄN</t>
        </is>
      </c>
      <c r="G262" t="inlineStr">
        <is>
          <t>NORDMALING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57065-2025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45979</v>
      </c>
      <c r="E263" s="1" t="n">
        <v>46314</v>
      </c>
      <c r="F263" t="inlineStr">
        <is>
          <t>VÄSTERBOTTENS LÄN</t>
        </is>
      </c>
      <c r="G263" t="inlineStr">
        <is>
          <t>NORDMALING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57093-2025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46314</v>
      </c>
      <c r="F264" t="inlineStr">
        <is>
          <t>VÄSTERBOTTENS LÄN</t>
        </is>
      </c>
      <c r="G264" t="inlineStr">
        <is>
          <t>NORDMALING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46314</v>
      </c>
      <c r="F265" t="inlineStr">
        <is>
          <t>VÄSTERBOTTENS LÄN</t>
        </is>
      </c>
      <c r="G265" t="inlineStr">
        <is>
          <t>NORDMALING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46314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45607</v>
      </c>
      <c r="E267" s="1" t="n">
        <v>46314</v>
      </c>
      <c r="F267" t="inlineStr">
        <is>
          <t>VÄSTERBOTTENS LÄN</t>
        </is>
      </c>
      <c r="G267" t="inlineStr">
        <is>
          <t>NORDMALING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45607</v>
      </c>
      <c r="E268" s="1" t="n">
        <v>46314</v>
      </c>
      <c r="F268" t="inlineStr">
        <is>
          <t>VÄSTERBOTTENS LÄN</t>
        </is>
      </c>
      <c r="G268" t="inlineStr">
        <is>
          <t>NORDMALING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46314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45691</v>
      </c>
      <c r="E270" s="1" t="n">
        <v>46314</v>
      </c>
      <c r="F270" t="inlineStr">
        <is>
          <t>VÄSTERBOTTENS LÄN</t>
        </is>
      </c>
      <c r="G270" t="inlineStr">
        <is>
          <t>NORDMALING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45158</v>
      </c>
      <c r="E271" s="1" t="n">
        <v>46314</v>
      </c>
      <c r="F271" t="inlineStr">
        <is>
          <t>VÄSTERBOTTENS LÄN</t>
        </is>
      </c>
      <c r="G271" t="inlineStr">
        <is>
          <t>NORDMALING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58579-2025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46314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46314</v>
      </c>
      <c r="F273" t="inlineStr">
        <is>
          <t>VÄSTERBOTTENS LÄN</t>
        </is>
      </c>
      <c r="G273" t="inlineStr">
        <is>
          <t>NORDMALING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46314</v>
      </c>
      <c r="F274" t="inlineStr">
        <is>
          <t>VÄSTERBOTTENS LÄN</t>
        </is>
      </c>
      <c r="G274" t="inlineStr">
        <is>
          <t>NORDMALING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45433</v>
      </c>
      <c r="E275" s="1" t="n">
        <v>46314</v>
      </c>
      <c r="F275" t="inlineStr">
        <is>
          <t>VÄSTERBOTTENS LÄN</t>
        </is>
      </c>
      <c r="G275" t="inlineStr">
        <is>
          <t>NORDMALING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46314</v>
      </c>
      <c r="F276" t="inlineStr">
        <is>
          <t>VÄSTERBOTTENS LÄN</t>
        </is>
      </c>
      <c r="G276" t="inlineStr">
        <is>
          <t>NORDMALING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46314</v>
      </c>
      <c r="F277" t="inlineStr">
        <is>
          <t>VÄSTERBOTTENS LÄN</t>
        </is>
      </c>
      <c r="G277" t="inlineStr">
        <is>
          <t>NORDMALING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46314</v>
      </c>
      <c r="F278" t="inlineStr">
        <is>
          <t>VÄSTERBOTTENS LÄN</t>
        </is>
      </c>
      <c r="G278" t="inlineStr">
        <is>
          <t>NORDMALING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45378</v>
      </c>
      <c r="E279" s="1" t="n">
        <v>46314</v>
      </c>
      <c r="F279" t="inlineStr">
        <is>
          <t>VÄSTERBOTTENS LÄN</t>
        </is>
      </c>
      <c r="G279" t="inlineStr">
        <is>
          <t>NORDMALING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48940-2022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44859</v>
      </c>
      <c r="E280" s="1" t="n">
        <v>46314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46314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46314</v>
      </c>
      <c r="F282" t="inlineStr">
        <is>
          <t>VÄSTERBOTTENS LÄN</t>
        </is>
      </c>
      <c r="G282" t="inlineStr">
        <is>
          <t>NORDMALING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46314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46314</v>
      </c>
      <c r="F284" t="inlineStr">
        <is>
          <t>VÄSTERBOTTENS LÄN</t>
        </is>
      </c>
      <c r="G284" t="inlineStr">
        <is>
          <t>NORDMALING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60113-2025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45994</v>
      </c>
      <c r="E285" s="1" t="n">
        <v>46314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45994</v>
      </c>
      <c r="E286" s="1" t="n">
        <v>46314</v>
      </c>
      <c r="F286" t="inlineStr">
        <is>
          <t>VÄSTERBOTTENS LÄN</t>
        </is>
      </c>
      <c r="G286" t="inlineStr">
        <is>
          <t>NORDMALING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20328-2024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46314</v>
      </c>
      <c r="F287" t="inlineStr">
        <is>
          <t>VÄSTERBOTTENS LÄN</t>
        </is>
      </c>
      <c r="G287" t="inlineStr">
        <is>
          <t>NORDMALING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46314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46314</v>
      </c>
      <c r="F289" t="inlineStr">
        <is>
          <t>VÄSTERBOTTENS LÄN</t>
        </is>
      </c>
      <c r="G289" t="inlineStr">
        <is>
          <t>NORDMALING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8103-2025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45707</v>
      </c>
      <c r="E290" s="1" t="n">
        <v>46314</v>
      </c>
      <c r="F290" t="inlineStr">
        <is>
          <t>VÄSTERBOTTENS LÄN</t>
        </is>
      </c>
      <c r="G290" t="inlineStr">
        <is>
          <t>NORDMALING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46314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44977</v>
      </c>
      <c r="E292" s="1" t="n">
        <v>46314</v>
      </c>
      <c r="F292" t="inlineStr">
        <is>
          <t>VÄSTERBOTTENS LÄN</t>
        </is>
      </c>
      <c r="G292" t="inlineStr">
        <is>
          <t>NORDMALING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45638</v>
      </c>
      <c r="E293" s="1" t="n">
        <v>46314</v>
      </c>
      <c r="F293" t="inlineStr">
        <is>
          <t>VÄSTERBOTTENS LÄN</t>
        </is>
      </c>
      <c r="G293" t="inlineStr">
        <is>
          <t>NORDMALING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25214-2026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46171</v>
      </c>
      <c r="E294" s="1" t="n">
        <v>46314</v>
      </c>
      <c r="F294" t="inlineStr">
        <is>
          <t>VÄSTERBOTTENS LÄN</t>
        </is>
      </c>
      <c r="G294" t="inlineStr">
        <is>
          <t>NORDMALING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46314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46314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36814-2024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45538</v>
      </c>
      <c r="E297" s="1" t="n">
        <v>46314</v>
      </c>
      <c r="F297" t="inlineStr">
        <is>
          <t>VÄSTERBOTTENS LÄN</t>
        </is>
      </c>
      <c r="G297" t="inlineStr">
        <is>
          <t>NORDMALING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44993</v>
      </c>
      <c r="E298" s="1" t="n">
        <v>46314</v>
      </c>
      <c r="F298" t="inlineStr">
        <is>
          <t>VÄSTERBOTTENS LÄN</t>
        </is>
      </c>
      <c r="G298" t="inlineStr">
        <is>
          <t>NORDMALING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46314</v>
      </c>
      <c r="F299" t="inlineStr">
        <is>
          <t>VÄSTERBOTTENS LÄN</t>
        </is>
      </c>
      <c r="G299" t="inlineStr">
        <is>
          <t>NORDMALING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46314</v>
      </c>
      <c r="F300" t="inlineStr">
        <is>
          <t>VÄSTERBOTTENS LÄN</t>
        </is>
      </c>
      <c r="G300" t="inlineStr">
        <is>
          <t>NORDMALING</t>
        </is>
      </c>
      <c r="I300" t="n">
        <v>11.3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46314</v>
      </c>
      <c r="F301" t="inlineStr">
        <is>
          <t>VÄSTERBOTTENS LÄN</t>
        </is>
      </c>
      <c r="G301" t="inlineStr">
        <is>
          <t>NORDMALING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46314</v>
      </c>
      <c r="F302" t="inlineStr">
        <is>
          <t>VÄSTERBOTTENS LÄN</t>
        </is>
      </c>
      <c r="G302" t="inlineStr">
        <is>
          <t>NORDMALING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45344</v>
      </c>
      <c r="E303" s="1" t="n">
        <v>46314</v>
      </c>
      <c r="F303" t="inlineStr">
        <is>
          <t>VÄSTERBOTTENS LÄN</t>
        </is>
      </c>
      <c r="G303" t="inlineStr">
        <is>
          <t>NORDMALING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46314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46314</v>
      </c>
      <c r="F305" t="inlineStr">
        <is>
          <t>VÄSTERBOTTENS LÄN</t>
        </is>
      </c>
      <c r="G305" t="inlineStr">
        <is>
          <t>NORDMALING</t>
        </is>
      </c>
      <c r="I305" t="n">
        <v>11.6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46314</v>
      </c>
      <c r="F306" t="inlineStr">
        <is>
          <t>VÄSTERBOTTENS LÄN</t>
        </is>
      </c>
      <c r="G306" t="inlineStr">
        <is>
          <t>NORDMALING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46314</v>
      </c>
      <c r="F307" t="inlineStr">
        <is>
          <t>VÄSTERBOTTENS LÄN</t>
        </is>
      </c>
      <c r="G307" t="inlineStr">
        <is>
          <t>NORDMALING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46314</v>
      </c>
      <c r="F308" t="inlineStr">
        <is>
          <t>VÄSTERBOTTENS LÄN</t>
        </is>
      </c>
      <c r="G308" t="inlineStr">
        <is>
          <t>NORDMALING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46314</v>
      </c>
      <c r="F309" t="inlineStr">
        <is>
          <t>VÄSTERBOTTENS LÄN</t>
        </is>
      </c>
      <c r="G309" t="inlineStr">
        <is>
          <t>NORDMALING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46314</v>
      </c>
      <c r="F310" t="inlineStr">
        <is>
          <t>VÄSTERBOTTENS LÄN</t>
        </is>
      </c>
      <c r="G310" t="inlineStr">
        <is>
          <t>NORDMALING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46314</v>
      </c>
      <c r="F311" t="inlineStr">
        <is>
          <t>VÄSTERBOTTENS LÄN</t>
        </is>
      </c>
      <c r="G311" t="inlineStr">
        <is>
          <t>NORDMALING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44881</v>
      </c>
      <c r="E312" s="1" t="n">
        <v>46314</v>
      </c>
      <c r="F312" t="inlineStr">
        <is>
          <t>VÄSTERBOTTENS LÄN</t>
        </is>
      </c>
      <c r="G312" t="inlineStr">
        <is>
          <t>NORDMALING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46314</v>
      </c>
      <c r="F313" t="inlineStr">
        <is>
          <t>VÄSTERBOTTENS LÄN</t>
        </is>
      </c>
      <c r="G313" t="inlineStr">
        <is>
          <t>NORDMALING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46314</v>
      </c>
      <c r="F314" t="inlineStr">
        <is>
          <t>VÄSTERBOTTENS LÄN</t>
        </is>
      </c>
      <c r="G314" t="inlineStr">
        <is>
          <t>NORDMALING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35792-2023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46314</v>
      </c>
      <c r="F315" t="inlineStr">
        <is>
          <t>VÄSTERBOTTENS LÄN</t>
        </is>
      </c>
      <c r="G315" t="inlineStr">
        <is>
          <t>NORDMALING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46314</v>
      </c>
      <c r="F316" t="inlineStr">
        <is>
          <t>VÄSTERBOTTENS LÄN</t>
        </is>
      </c>
      <c r="G316" t="inlineStr">
        <is>
          <t>NORDMALING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46314</v>
      </c>
      <c r="F317" t="inlineStr">
        <is>
          <t>VÄSTERBOTTENS LÄN</t>
        </is>
      </c>
      <c r="G317" t="inlineStr">
        <is>
          <t>NORDMALING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46314</v>
      </c>
      <c r="F318" t="inlineStr">
        <is>
          <t>VÄSTERBOTTENS LÄN</t>
        </is>
      </c>
      <c r="G318" t="inlineStr">
        <is>
          <t>NORDMALING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46314</v>
      </c>
      <c r="F319" t="inlineStr">
        <is>
          <t>VÄSTERBOTTENS LÄN</t>
        </is>
      </c>
      <c r="G319" t="inlineStr">
        <is>
          <t>NORDMALING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45419</v>
      </c>
      <c r="E320" s="1" t="n">
        <v>46314</v>
      </c>
      <c r="F320" t="inlineStr">
        <is>
          <t>VÄSTERBOTTENS LÄN</t>
        </is>
      </c>
      <c r="G320" t="inlineStr">
        <is>
          <t>NORDMALING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46314</v>
      </c>
      <c r="F321" t="inlineStr">
        <is>
          <t>VÄSTERBOTTENS LÄN</t>
        </is>
      </c>
      <c r="G321" t="inlineStr">
        <is>
          <t>NORDMALING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45503</v>
      </c>
      <c r="E322" s="1" t="n">
        <v>46314</v>
      </c>
      <c r="F322" t="inlineStr">
        <is>
          <t>VÄSTERBOTTENS LÄN</t>
        </is>
      </c>
      <c r="G322" t="inlineStr">
        <is>
          <t>NORDMALING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46314</v>
      </c>
      <c r="F323" t="inlineStr">
        <is>
          <t>VÄSTERBOTTENS LÄN</t>
        </is>
      </c>
      <c r="G323" t="inlineStr">
        <is>
          <t>NORDMALING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35803-2023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45147</v>
      </c>
      <c r="E324" s="1" t="n">
        <v>46314</v>
      </c>
      <c r="F324" t="inlineStr">
        <is>
          <t>VÄSTERBOTTENS LÄN</t>
        </is>
      </c>
      <c r="G324" t="inlineStr">
        <is>
          <t>NORDMALING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46020</v>
      </c>
      <c r="E325" s="1" t="n">
        <v>46314</v>
      </c>
      <c r="F325" t="inlineStr">
        <is>
          <t>VÄSTERBOTTENS LÄN</t>
        </is>
      </c>
      <c r="G325" t="inlineStr">
        <is>
          <t>NORDMALING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46018</v>
      </c>
      <c r="E326" s="1" t="n">
        <v>46314</v>
      </c>
      <c r="F326" t="inlineStr">
        <is>
          <t>VÄSTERBOTTENS LÄN</t>
        </is>
      </c>
      <c r="G326" t="inlineStr">
        <is>
          <t>NORDMALING</t>
        </is>
      </c>
      <c r="I326" t="n">
        <v>12.8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45586</v>
      </c>
      <c r="E327" s="1" t="n">
        <v>46314</v>
      </c>
      <c r="F327" t="inlineStr">
        <is>
          <t>VÄSTERBOTTENS LÄN</t>
        </is>
      </c>
      <c r="G327" t="inlineStr">
        <is>
          <t>NORDMALING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63922-2025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46020</v>
      </c>
      <c r="E328" s="1" t="n">
        <v>46314</v>
      </c>
      <c r="F328" t="inlineStr">
        <is>
          <t>VÄSTERBOTTENS LÄN</t>
        </is>
      </c>
      <c r="G328" t="inlineStr">
        <is>
          <t>NORDMALING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46018</v>
      </c>
      <c r="E329" s="1" t="n">
        <v>46314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46018</v>
      </c>
      <c r="E330" s="1" t="n">
        <v>46314</v>
      </c>
      <c r="F330" t="inlineStr">
        <is>
          <t>VÄSTERBOTTENS LÄN</t>
        </is>
      </c>
      <c r="G330" t="inlineStr">
        <is>
          <t>NORDMALING</t>
        </is>
      </c>
      <c r="I330" t="n">
        <v>16.2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46022</v>
      </c>
      <c r="E331" s="1" t="n">
        <v>46314</v>
      </c>
      <c r="F331" t="inlineStr">
        <is>
          <t>VÄSTERBOTTENS LÄN</t>
        </is>
      </c>
      <c r="G331" t="inlineStr">
        <is>
          <t>NORDMALING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46314</v>
      </c>
      <c r="F332" t="inlineStr">
        <is>
          <t>VÄSTERBOTTENS LÄN</t>
        </is>
      </c>
      <c r="G332" t="inlineStr">
        <is>
          <t>NORDMALING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46314</v>
      </c>
      <c r="F333" t="inlineStr">
        <is>
          <t>VÄSTERBOTTENS LÄN</t>
        </is>
      </c>
      <c r="G333" t="inlineStr">
        <is>
          <t>NORDMALING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45034</v>
      </c>
      <c r="E334" s="1" t="n">
        <v>46314</v>
      </c>
      <c r="F334" t="inlineStr">
        <is>
          <t>VÄSTERBOTTENS LÄN</t>
        </is>
      </c>
      <c r="G334" t="inlineStr">
        <is>
          <t>NORDMALING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46028</v>
      </c>
      <c r="E335" s="1" t="n">
        <v>46314</v>
      </c>
      <c r="F335" t="inlineStr">
        <is>
          <t>VÄSTERBOTTENS LÄN</t>
        </is>
      </c>
      <c r="G335" t="inlineStr">
        <is>
          <t>NORDMALING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46314</v>
      </c>
      <c r="F336" t="inlineStr">
        <is>
          <t>VÄSTERBOTTENS LÄN</t>
        </is>
      </c>
      <c r="G336" t="inlineStr">
        <is>
          <t>NORDMALING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64498-2023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45280</v>
      </c>
      <c r="E337" s="1" t="n">
        <v>46314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46176</v>
      </c>
      <c r="E338" s="1" t="n">
        <v>46314</v>
      </c>
      <c r="F338" t="inlineStr">
        <is>
          <t>VÄSTERBOTTENS LÄN</t>
        </is>
      </c>
      <c r="G338" t="inlineStr">
        <is>
          <t>NORDMALING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24415-2024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45457</v>
      </c>
      <c r="E339" s="1" t="n">
        <v>46314</v>
      </c>
      <c r="F339" t="inlineStr">
        <is>
          <t>VÄSTERBOTTENS LÄN</t>
        </is>
      </c>
      <c r="G339" t="inlineStr">
        <is>
          <t>NORDMALING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46032</v>
      </c>
      <c r="E340" s="1" t="n">
        <v>46314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Holmen skog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46314</v>
      </c>
      <c r="F341" t="inlineStr">
        <is>
          <t>VÄSTERBOTTENS LÄN</t>
        </is>
      </c>
      <c r="G341" t="inlineStr">
        <is>
          <t>NORDMALING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46314</v>
      </c>
      <c r="F342" t="inlineStr">
        <is>
          <t>VÄSTERBOTTENS LÄN</t>
        </is>
      </c>
      <c r="G342" t="inlineStr">
        <is>
          <t>NORDMALING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46314</v>
      </c>
      <c r="F343" t="inlineStr">
        <is>
          <t>VÄSTERBOTTENS LÄN</t>
        </is>
      </c>
      <c r="G343" t="inlineStr">
        <is>
          <t>NORDMALING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45327</v>
      </c>
      <c r="E344" s="1" t="n">
        <v>46314</v>
      </c>
      <c r="F344" t="inlineStr">
        <is>
          <t>VÄSTERBOTTENS LÄN</t>
        </is>
      </c>
      <c r="G344" t="inlineStr">
        <is>
          <t>NORDMALING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46314</v>
      </c>
      <c r="F345" t="inlineStr">
        <is>
          <t>VÄSTERBOTTENS LÄN</t>
        </is>
      </c>
      <c r="G345" t="inlineStr">
        <is>
          <t>NORDMALING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46314</v>
      </c>
      <c r="F346" t="inlineStr">
        <is>
          <t>VÄSTERBOTTENS LÄN</t>
        </is>
      </c>
      <c r="G346" t="inlineStr">
        <is>
          <t>NORDMALING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46314</v>
      </c>
      <c r="F347" t="inlineStr">
        <is>
          <t>VÄSTERBOTTENS LÄN</t>
        </is>
      </c>
      <c r="G347" t="inlineStr">
        <is>
          <t>NORDMALING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46314</v>
      </c>
      <c r="F348" t="inlineStr">
        <is>
          <t>VÄSTERBOTTENS LÄN</t>
        </is>
      </c>
      <c r="G348" t="inlineStr">
        <is>
          <t>NORDMALING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46314</v>
      </c>
      <c r="F349" t="inlineStr">
        <is>
          <t>VÄSTERBOTTENS LÄN</t>
        </is>
      </c>
      <c r="G349" t="inlineStr">
        <is>
          <t>NORDMALING</t>
        </is>
      </c>
      <c r="I349" t="n">
        <v>22.4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46314</v>
      </c>
      <c r="F350" t="inlineStr">
        <is>
          <t>VÄSTERBOTTENS LÄN</t>
        </is>
      </c>
      <c r="G350" t="inlineStr">
        <is>
          <t>NORDMALING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46314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46048</v>
      </c>
      <c r="E352" s="1" t="n">
        <v>46314</v>
      </c>
      <c r="F352" t="inlineStr">
        <is>
          <t>VÄSTERBOTTENS LÄN</t>
        </is>
      </c>
      <c r="G352" t="inlineStr">
        <is>
          <t>NORDMALING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46314</v>
      </c>
      <c r="F353" t="inlineStr">
        <is>
          <t>VÄSTERBOTTENS LÄN</t>
        </is>
      </c>
      <c r="G353" t="inlineStr">
        <is>
          <t>NORDMALING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46314</v>
      </c>
      <c r="F354" t="inlineStr">
        <is>
          <t>VÄSTERBOTTENS LÄN</t>
        </is>
      </c>
      <c r="G354" t="inlineStr">
        <is>
          <t>NORDMALING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46314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5258-2024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45330</v>
      </c>
      <c r="E356" s="1" t="n">
        <v>46314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48945-2022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44859</v>
      </c>
      <c r="E357" s="1" t="n">
        <v>46314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46314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SCA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46314</v>
      </c>
      <c r="F359" t="inlineStr">
        <is>
          <t>VÄSTERBOTTENS LÄN</t>
        </is>
      </c>
      <c r="G359" t="inlineStr">
        <is>
          <t>NORDMALING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26796-2026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46185</v>
      </c>
      <c r="E360" s="1" t="n">
        <v>46314</v>
      </c>
      <c r="F360" t="inlineStr">
        <is>
          <t>VÄSTERBOTTENS LÄN</t>
        </is>
      </c>
      <c r="G360" t="inlineStr">
        <is>
          <t>NORDMALING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46314</v>
      </c>
      <c r="F361" t="inlineStr">
        <is>
          <t>VÄSTERBOTTENS LÄN</t>
        </is>
      </c>
      <c r="G361" t="inlineStr">
        <is>
          <t>NORDMALING</t>
        </is>
      </c>
      <c r="I361" t="n">
        <v>19.1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46314</v>
      </c>
      <c r="F362" t="inlineStr">
        <is>
          <t>VÄSTERBOTTENS LÄN</t>
        </is>
      </c>
      <c r="G362" t="inlineStr">
        <is>
          <t>NORDMALING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8173-2022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44609</v>
      </c>
      <c r="E363" s="1" t="n">
        <v>46314</v>
      </c>
      <c r="F363" t="inlineStr">
        <is>
          <t>VÄSTERBOTTENS LÄN</t>
        </is>
      </c>
      <c r="G363" t="inlineStr">
        <is>
          <t>NORDMALING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46065</v>
      </c>
      <c r="E364" s="1" t="n">
        <v>46314</v>
      </c>
      <c r="F364" t="inlineStr">
        <is>
          <t>VÄSTERBOTTENS LÄN</t>
        </is>
      </c>
      <c r="G364" t="inlineStr">
        <is>
          <t>NORDMALING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8534-2026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46314</v>
      </c>
      <c r="F365" t="inlineStr">
        <is>
          <t>VÄSTERBOTTENS LÄN</t>
        </is>
      </c>
      <c r="G365" t="inlineStr">
        <is>
          <t>NORDMALING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46314</v>
      </c>
      <c r="F366" t="inlineStr">
        <is>
          <t>VÄSTERBOTTENS LÄN</t>
        </is>
      </c>
      <c r="G366" t="inlineStr">
        <is>
          <t>NORDMALING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46314</v>
      </c>
      <c r="F367" t="inlineStr">
        <is>
          <t>VÄSTERBOTTENS LÄN</t>
        </is>
      </c>
      <c r="G367" t="inlineStr">
        <is>
          <t>NORDMALING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46072</v>
      </c>
      <c r="E368" s="1" t="n">
        <v>46314</v>
      </c>
      <c r="F368" t="inlineStr">
        <is>
          <t>VÄSTERBOTTENS LÄN</t>
        </is>
      </c>
      <c r="G368" t="inlineStr">
        <is>
          <t>NORDMALING</t>
        </is>
      </c>
      <c r="I368" t="n">
        <v>12.5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46072</v>
      </c>
      <c r="E369" s="1" t="n">
        <v>46314</v>
      </c>
      <c r="F369" t="inlineStr">
        <is>
          <t>VÄSTERBOTTENS LÄN</t>
        </is>
      </c>
      <c r="G369" t="inlineStr">
        <is>
          <t>NORDMALING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46314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46314</v>
      </c>
      <c r="F371" t="inlineStr">
        <is>
          <t>VÄSTERBOTTENS LÄN</t>
        </is>
      </c>
      <c r="G371" t="inlineStr">
        <is>
          <t>NORDMALING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45775</v>
      </c>
      <c r="E372" s="1" t="n">
        <v>46314</v>
      </c>
      <c r="F372" t="inlineStr">
        <is>
          <t>VÄSTERBOTTENS LÄN</t>
        </is>
      </c>
      <c r="G372" t="inlineStr">
        <is>
          <t>NORDMALING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46314</v>
      </c>
      <c r="F373" t="inlineStr">
        <is>
          <t>VÄSTERBOTTENS LÄN</t>
        </is>
      </c>
      <c r="G373" t="inlineStr">
        <is>
          <t>NORDMALING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45349</v>
      </c>
      <c r="E374" s="1" t="n">
        <v>46314</v>
      </c>
      <c r="F374" t="inlineStr">
        <is>
          <t>VÄSTERBOTTENS LÄN</t>
        </is>
      </c>
      <c r="G374" t="inlineStr">
        <is>
          <t>NORDMALING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38285-2022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44812</v>
      </c>
      <c r="E375" s="1" t="n">
        <v>46314</v>
      </c>
      <c r="F375" t="inlineStr">
        <is>
          <t>VÄSTERBOTTENS LÄN</t>
        </is>
      </c>
      <c r="G375" t="inlineStr">
        <is>
          <t>NORDMALING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45453</v>
      </c>
      <c r="E376" s="1" t="n">
        <v>46314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45326-2025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46314</v>
      </c>
      <c r="F377" t="inlineStr">
        <is>
          <t>VÄSTERBOTTENS LÄN</t>
        </is>
      </c>
      <c r="G377" t="inlineStr">
        <is>
          <t>NORDMALING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43491-2024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46314</v>
      </c>
      <c r="F378" t="inlineStr">
        <is>
          <t>VÄSTERBOTTENS LÄN</t>
        </is>
      </c>
      <c r="G378" t="inlineStr">
        <is>
          <t>NORDMALING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46314</v>
      </c>
      <c r="F379" t="inlineStr">
        <is>
          <t>VÄSTERBOTTENS LÄN</t>
        </is>
      </c>
      <c r="G379" t="inlineStr">
        <is>
          <t>NORDMALING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46314</v>
      </c>
      <c r="F380" t="inlineStr">
        <is>
          <t>VÄSTERBOTTENS LÄN</t>
        </is>
      </c>
      <c r="G380" t="inlineStr">
        <is>
          <t>NORDMALING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46314</v>
      </c>
      <c r="F381" t="inlineStr">
        <is>
          <t>VÄSTERBOTTENS LÄN</t>
        </is>
      </c>
      <c r="G381" t="inlineStr">
        <is>
          <t>NORDMALING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46314</v>
      </c>
      <c r="F382" t="inlineStr">
        <is>
          <t>VÄSTERBOTTENS LÄN</t>
        </is>
      </c>
      <c r="G382" t="inlineStr">
        <is>
          <t>NORDMALING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33612-2022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44789</v>
      </c>
      <c r="E383" s="1" t="n">
        <v>46314</v>
      </c>
      <c r="F383" t="inlineStr">
        <is>
          <t>VÄSTERBOTTENS LÄN</t>
        </is>
      </c>
      <c r="G383" t="inlineStr">
        <is>
          <t>NORDMALING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34484-2023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45139</v>
      </c>
      <c r="E384" s="1" t="n">
        <v>46314</v>
      </c>
      <c r="F384" t="inlineStr">
        <is>
          <t>VÄSTERBOTTENS LÄN</t>
        </is>
      </c>
      <c r="G384" t="inlineStr">
        <is>
          <t>NORDMALING</t>
        </is>
      </c>
      <c r="H384" t="inlineStr">
        <is>
          <t>SCA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45188</v>
      </c>
      <c r="E385" s="1" t="n">
        <v>46314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SCA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46314</v>
      </c>
      <c r="F386" t="inlineStr">
        <is>
          <t>VÄSTERBOTTENS LÄN</t>
        </is>
      </c>
      <c r="G386" t="inlineStr">
        <is>
          <t>NORDMALING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7251-2024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46314</v>
      </c>
      <c r="F387" t="inlineStr">
        <is>
          <t>VÄSTERBOTTENS LÄN</t>
        </is>
      </c>
      <c r="G387" t="inlineStr">
        <is>
          <t>NORDMALING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46314</v>
      </c>
      <c r="F388" t="inlineStr">
        <is>
          <t>VÄSTERBOTTENS LÄN</t>
        </is>
      </c>
      <c r="G388" t="inlineStr">
        <is>
          <t>NORDMALING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45593</v>
      </c>
      <c r="E389" s="1" t="n">
        <v>46314</v>
      </c>
      <c r="F389" t="inlineStr">
        <is>
          <t>VÄSTERBOTTENS LÄN</t>
        </is>
      </c>
      <c r="G389" t="inlineStr">
        <is>
          <t>NORDMALING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70028-2021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44533</v>
      </c>
      <c r="E390" s="1" t="n">
        <v>46314</v>
      </c>
      <c r="F390" t="inlineStr">
        <is>
          <t>VÄSTERBOTTENS LÄN</t>
        </is>
      </c>
      <c r="G390" t="inlineStr">
        <is>
          <t>NORDMALING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44812</v>
      </c>
      <c r="E391" s="1" t="n">
        <v>46314</v>
      </c>
      <c r="F391" t="inlineStr">
        <is>
          <t>VÄSTERBOTTENS LÄN</t>
        </is>
      </c>
      <c r="G391" t="inlineStr">
        <is>
          <t>NORDMALING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15970-2026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46314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46108</v>
      </c>
      <c r="E393" s="1" t="n">
        <v>46314</v>
      </c>
      <c r="F393" t="inlineStr">
        <is>
          <t>VÄSTERBOTTENS LÄN</t>
        </is>
      </c>
      <c r="G393" t="inlineStr">
        <is>
          <t>NORDMALING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46314</v>
      </c>
      <c r="F394" t="inlineStr">
        <is>
          <t>VÄSTERBOTTENS LÄN</t>
        </is>
      </c>
      <c r="G394" t="inlineStr">
        <is>
          <t>NORDMALING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16392-2026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46314</v>
      </c>
      <c r="F395" t="inlineStr">
        <is>
          <t>VÄSTERBOTTENS LÄN</t>
        </is>
      </c>
      <c r="G395" t="inlineStr">
        <is>
          <t>NORDMALING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46314</v>
      </c>
      <c r="F396" t="inlineStr">
        <is>
          <t>VÄSTERBOTTENS LÄN</t>
        </is>
      </c>
      <c r="G396" t="inlineStr">
        <is>
          <t>NORDMALING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46314</v>
      </c>
      <c r="F397" t="inlineStr">
        <is>
          <t>VÄSTERBOTTENS LÄN</t>
        </is>
      </c>
      <c r="G397" t="inlineStr">
        <is>
          <t>NORDMALING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45525</v>
      </c>
      <c r="E398" s="1" t="n">
        <v>46314</v>
      </c>
      <c r="F398" t="inlineStr">
        <is>
          <t>VÄSTERBOTTENS LÄN</t>
        </is>
      </c>
      <c r="G398" t="inlineStr">
        <is>
          <t>NORDMALING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24712-2023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45075</v>
      </c>
      <c r="E399" s="1" t="n">
        <v>46314</v>
      </c>
      <c r="F399" t="inlineStr">
        <is>
          <t>VÄSTERBOTTENS LÄN</t>
        </is>
      </c>
      <c r="G399" t="inlineStr">
        <is>
          <t>NORDMALING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46197</v>
      </c>
      <c r="E400" s="1" t="n">
        <v>46314</v>
      </c>
      <c r="F400" t="inlineStr">
        <is>
          <t>VÄSTERBOTTENS LÄN</t>
        </is>
      </c>
      <c r="G400" t="inlineStr">
        <is>
          <t>NORDMALING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45524</v>
      </c>
      <c r="E401" s="1" t="n">
        <v>46314</v>
      </c>
      <c r="F401" t="inlineStr">
        <is>
          <t>VÄSTERBOTTENS LÄN</t>
        </is>
      </c>
      <c r="G401" t="inlineStr">
        <is>
          <t>NORDMALING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44977</v>
      </c>
      <c r="E402" s="1" t="n">
        <v>46314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Holmen skog AB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29150-2024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45482</v>
      </c>
      <c r="E403" s="1" t="n">
        <v>46314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46314</v>
      </c>
      <c r="F404" t="inlineStr">
        <is>
          <t>VÄSTERBOTTENS LÄN</t>
        </is>
      </c>
      <c r="G404" t="inlineStr">
        <is>
          <t>NORDMALING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46314</v>
      </c>
      <c r="F405" t="inlineStr">
        <is>
          <t>VÄSTERBOTTENS LÄN</t>
        </is>
      </c>
      <c r="G405" t="inlineStr">
        <is>
          <t>NORDMALING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46125</v>
      </c>
      <c r="E406" s="1" t="n">
        <v>46314</v>
      </c>
      <c r="F406" t="inlineStr">
        <is>
          <t>VÄSTERBOTTENS LÄN</t>
        </is>
      </c>
      <c r="G406" t="inlineStr">
        <is>
          <t>NORDMALING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46314</v>
      </c>
      <c r="F407" t="inlineStr">
        <is>
          <t>VÄSTERBOTTENS LÄN</t>
        </is>
      </c>
      <c r="G407" t="inlineStr">
        <is>
          <t>NORDMALING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45586</v>
      </c>
      <c r="E408" s="1" t="n">
        <v>46314</v>
      </c>
      <c r="F408" t="inlineStr">
        <is>
          <t>VÄSTERBOTTENS LÄN</t>
        </is>
      </c>
      <c r="G408" t="inlineStr">
        <is>
          <t>NORDMALING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46314</v>
      </c>
      <c r="F409" t="inlineStr">
        <is>
          <t>VÄSTERBOTTENS LÄN</t>
        </is>
      </c>
      <c r="G409" t="inlineStr">
        <is>
          <t>NORDMALING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44907</v>
      </c>
      <c r="E410" s="1" t="n">
        <v>46314</v>
      </c>
      <c r="F410" t="inlineStr">
        <is>
          <t>VÄSTERBOTTENS LÄN</t>
        </is>
      </c>
      <c r="G410" t="inlineStr">
        <is>
          <t>NORDMALING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18839-2026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46129</v>
      </c>
      <c r="E411" s="1" t="n">
        <v>46314</v>
      </c>
      <c r="F411" t="inlineStr">
        <is>
          <t>VÄSTERBOTTENS LÄN</t>
        </is>
      </c>
      <c r="G411" t="inlineStr">
        <is>
          <t>NORDMALING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46314</v>
      </c>
      <c r="F412" t="inlineStr">
        <is>
          <t>VÄSTERBOTTENS LÄN</t>
        </is>
      </c>
      <c r="G412" t="inlineStr">
        <is>
          <t>NORDMALING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19154-2026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46132</v>
      </c>
      <c r="E413" s="1" t="n">
        <v>46314</v>
      </c>
      <c r="F413" t="inlineStr">
        <is>
          <t>VÄSTERBOTTENS LÄN</t>
        </is>
      </c>
      <c r="G413" t="inlineStr">
        <is>
          <t>NORDMALING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46314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46314</v>
      </c>
      <c r="F415" t="inlineStr">
        <is>
          <t>VÄSTERBOTTENS LÄN</t>
        </is>
      </c>
      <c r="G415" t="inlineStr">
        <is>
          <t>NORDMALING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46314</v>
      </c>
      <c r="F416" t="inlineStr">
        <is>
          <t>VÄSTERBOTTENS LÄN</t>
        </is>
      </c>
      <c r="G416" t="inlineStr">
        <is>
          <t>NORDMALING</t>
        </is>
      </c>
      <c r="I416" t="n">
        <v>8.699999999999999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46314</v>
      </c>
      <c r="F417" t="inlineStr">
        <is>
          <t>VÄSTERBOTTENS LÄN</t>
        </is>
      </c>
      <c r="G417" t="inlineStr">
        <is>
          <t>NORDMALING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46205</v>
      </c>
      <c r="E418" s="1" t="n">
        <v>46314</v>
      </c>
      <c r="F418" t="inlineStr">
        <is>
          <t>VÄSTERBOTTENS LÄN</t>
        </is>
      </c>
      <c r="G418" t="inlineStr">
        <is>
          <t>NORDMALING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46135</v>
      </c>
      <c r="E419" s="1" t="n">
        <v>46314</v>
      </c>
      <c r="F419" t="inlineStr">
        <is>
          <t>VÄSTERBOTTENS LÄN</t>
        </is>
      </c>
      <c r="G419" t="inlineStr">
        <is>
          <t>NORDMALING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46314</v>
      </c>
      <c r="F420" t="inlineStr">
        <is>
          <t>VÄSTERBOTTENS LÄN</t>
        </is>
      </c>
      <c r="G420" t="inlineStr">
        <is>
          <t>NORDMALING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46314</v>
      </c>
      <c r="F421" t="inlineStr">
        <is>
          <t>VÄSTERBOTTENS LÄN</t>
        </is>
      </c>
      <c r="G421" t="inlineStr">
        <is>
          <t>NORDMALING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46314</v>
      </c>
      <c r="F422" t="inlineStr">
        <is>
          <t>VÄSTERBOTTENS LÄN</t>
        </is>
      </c>
      <c r="G422" t="inlineStr">
        <is>
          <t>NORDMALING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54837-2024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46314</v>
      </c>
      <c r="F423" t="inlineStr">
        <is>
          <t>VÄSTERBOTTENS LÄN</t>
        </is>
      </c>
      <c r="G423" t="inlineStr">
        <is>
          <t>NORDMALING</t>
        </is>
      </c>
      <c r="I423" t="n">
        <v>10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58613-2022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44902</v>
      </c>
      <c r="E424" s="1" t="n">
        <v>46314</v>
      </c>
      <c r="F424" t="inlineStr">
        <is>
          <t>VÄSTERBOTTENS LÄN</t>
        </is>
      </c>
      <c r="G424" t="inlineStr">
        <is>
          <t>NORDMALING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37362-2025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46314</v>
      </c>
      <c r="F425" t="inlineStr">
        <is>
          <t>VÄSTERBOTTENS LÄN</t>
        </is>
      </c>
      <c r="G425" t="inlineStr">
        <is>
          <t>NORDMALING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39573-2025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45890</v>
      </c>
      <c r="E426" s="1" t="n">
        <v>46314</v>
      </c>
      <c r="F426" t="inlineStr">
        <is>
          <t>VÄSTERBOTTENS LÄN</t>
        </is>
      </c>
      <c r="G426" t="inlineStr">
        <is>
          <t>NORDMALING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46314</v>
      </c>
      <c r="F427" t="inlineStr">
        <is>
          <t>VÄSTERBOTTENS LÄN</t>
        </is>
      </c>
      <c r="G427" t="inlineStr">
        <is>
          <t>NORDMALING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46314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45105</v>
      </c>
      <c r="E429" s="1" t="n">
        <v>46314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45866</v>
      </c>
      <c r="E430" s="1" t="n">
        <v>46314</v>
      </c>
      <c r="F430" t="inlineStr">
        <is>
          <t>VÄSTERBOTTENS LÄN</t>
        </is>
      </c>
      <c r="G430" t="inlineStr">
        <is>
          <t>NORDMALING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27504-2022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44742</v>
      </c>
      <c r="E431" s="1" t="n">
        <v>46314</v>
      </c>
      <c r="F431" t="inlineStr">
        <is>
          <t>VÄSTERBOTTENS LÄN</t>
        </is>
      </c>
      <c r="G431" t="inlineStr">
        <is>
          <t>NORDMALING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32965-2024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45517</v>
      </c>
      <c r="E432" s="1" t="n">
        <v>46314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Holmen skog AB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45569</v>
      </c>
      <c r="E433" s="1" t="n">
        <v>46314</v>
      </c>
      <c r="F433" t="inlineStr">
        <is>
          <t>VÄSTERBOTTENS LÄN</t>
        </is>
      </c>
      <c r="G433" t="inlineStr">
        <is>
          <t>NORDMALING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30778-2026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46314</v>
      </c>
      <c r="F434" t="inlineStr">
        <is>
          <t>VÄSTERBOTTENS LÄN</t>
        </is>
      </c>
      <c r="G434" t="inlineStr">
        <is>
          <t>NORDMALING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46314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44475-2024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45574</v>
      </c>
      <c r="E436" s="1" t="n">
        <v>46314</v>
      </c>
      <c r="F436" t="inlineStr">
        <is>
          <t>VÄSTERBOTTENS LÄN</t>
        </is>
      </c>
      <c r="G436" t="inlineStr">
        <is>
          <t>NORDMALING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55810-2022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44888</v>
      </c>
      <c r="E437" s="1" t="n">
        <v>46314</v>
      </c>
      <c r="F437" t="inlineStr">
        <is>
          <t>VÄSTERBOTTENS LÄN</t>
        </is>
      </c>
      <c r="G437" t="inlineStr">
        <is>
          <t>NORDMALING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46314</v>
      </c>
      <c r="F438" t="inlineStr">
        <is>
          <t>VÄSTERBOTTENS LÄN</t>
        </is>
      </c>
      <c r="G438" t="inlineStr">
        <is>
          <t>NORDMALING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20062-2026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46136</v>
      </c>
      <c r="E439" s="1" t="n">
        <v>46314</v>
      </c>
      <c r="F439" t="inlineStr">
        <is>
          <t>VÄSTERBOTTENS LÄN</t>
        </is>
      </c>
      <c r="G439" t="inlineStr">
        <is>
          <t>NORDMALING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45378</v>
      </c>
      <c r="E440" s="1" t="n">
        <v>46314</v>
      </c>
      <c r="F440" t="inlineStr">
        <is>
          <t>VÄSTERBOTTENS LÄN</t>
        </is>
      </c>
      <c r="G440" t="inlineStr">
        <is>
          <t>NORDMALING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21607-2022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44706</v>
      </c>
      <c r="E441" s="1" t="n">
        <v>46314</v>
      </c>
      <c r="F441" t="inlineStr">
        <is>
          <t>VÄSTERBOTTENS LÄN</t>
        </is>
      </c>
      <c r="G441" t="inlineStr">
        <is>
          <t>NORDMALING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45028</v>
      </c>
      <c r="E442" s="1" t="n">
        <v>46314</v>
      </c>
      <c r="F442" t="inlineStr">
        <is>
          <t>VÄSTERBOTTENS LÄN</t>
        </is>
      </c>
      <c r="G442" t="inlineStr">
        <is>
          <t>NORDMALING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33343-2022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44788</v>
      </c>
      <c r="E443" s="1" t="n">
        <v>46314</v>
      </c>
      <c r="F443" t="inlineStr">
        <is>
          <t>VÄSTERBOTTENS LÄN</t>
        </is>
      </c>
      <c r="G443" t="inlineStr">
        <is>
          <t>NORDMALING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46314</v>
      </c>
      <c r="F444" t="inlineStr">
        <is>
          <t>VÄSTERBOTTENS LÄN</t>
        </is>
      </c>
      <c r="G444" t="inlineStr">
        <is>
          <t>NORDMALING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48632-2025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45936</v>
      </c>
      <c r="E445" s="1" t="n">
        <v>46314</v>
      </c>
      <c r="F445" t="inlineStr">
        <is>
          <t>VÄSTERBOTTENS LÄN</t>
        </is>
      </c>
      <c r="G445" t="inlineStr">
        <is>
          <t>NORDMALING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37354-2026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46275</v>
      </c>
      <c r="E446" s="1" t="n">
        <v>46314</v>
      </c>
      <c r="F446" t="inlineStr">
        <is>
          <t>VÄSTERBOTTENS LÄN</t>
        </is>
      </c>
      <c r="G446" t="inlineStr">
        <is>
          <t>NORDMALING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37344-2026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46275</v>
      </c>
      <c r="E447" s="1" t="n">
        <v>46314</v>
      </c>
      <c r="F447" t="inlineStr">
        <is>
          <t>VÄSTERBOTTENS LÄN</t>
        </is>
      </c>
      <c r="G447" t="inlineStr">
        <is>
          <t>NORDMALING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46314</v>
      </c>
      <c r="F448" t="inlineStr">
        <is>
          <t>VÄSTERBOTTENS LÄN</t>
        </is>
      </c>
      <c r="G448" t="inlineStr">
        <is>
          <t>NORDMALING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45525</v>
      </c>
      <c r="E449" s="1" t="n">
        <v>46314</v>
      </c>
      <c r="F449" t="inlineStr">
        <is>
          <t>VÄSTERBOTTENS LÄN</t>
        </is>
      </c>
      <c r="G449" t="inlineStr">
        <is>
          <t>NORDMALING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37709-2026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46279</v>
      </c>
      <c r="E450" s="1" t="n">
        <v>46314</v>
      </c>
      <c r="F450" t="inlineStr">
        <is>
          <t>VÄSTERBOTTENS LÄN</t>
        </is>
      </c>
      <c r="G450" t="inlineStr">
        <is>
          <t>NORDMALING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45524</v>
      </c>
      <c r="E451" s="1" t="n">
        <v>46314</v>
      </c>
      <c r="F451" t="inlineStr">
        <is>
          <t>VÄSTERBOTTENS LÄN</t>
        </is>
      </c>
      <c r="G451" t="inlineStr">
        <is>
          <t>NORDMALING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45736</v>
      </c>
      <c r="E452" s="1" t="n">
        <v>46314</v>
      </c>
      <c r="F452" t="inlineStr">
        <is>
          <t>VÄSTERBOTTENS LÄN</t>
        </is>
      </c>
      <c r="G452" t="inlineStr">
        <is>
          <t>NORDMALING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32262-2026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46237</v>
      </c>
      <c r="E453" s="1" t="n">
        <v>46314</v>
      </c>
      <c r="F453" t="inlineStr">
        <is>
          <t>VÄSTERBOTTENS LÄN</t>
        </is>
      </c>
      <c r="G453" t="inlineStr">
        <is>
          <t>NORDMALING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46280</v>
      </c>
      <c r="E454" s="1" t="n">
        <v>46314</v>
      </c>
      <c r="F454" t="inlineStr">
        <is>
          <t>VÄSTERBOTTENS LÄN</t>
        </is>
      </c>
      <c r="G454" t="inlineStr">
        <is>
          <t>NORDMALING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25344-2024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45462</v>
      </c>
      <c r="E455" s="1" t="n">
        <v>46314</v>
      </c>
      <c r="F455" t="inlineStr">
        <is>
          <t>VÄSTERBOTTENS LÄN</t>
        </is>
      </c>
      <c r="G455" t="inlineStr">
        <is>
          <t>NORDMALING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45462</v>
      </c>
      <c r="E456" s="1" t="n">
        <v>46314</v>
      </c>
      <c r="F456" t="inlineStr">
        <is>
          <t>VÄSTERBOTTENS LÄN</t>
        </is>
      </c>
      <c r="G456" t="inlineStr">
        <is>
          <t>NORDMALING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45245</v>
      </c>
      <c r="E457" s="1" t="n">
        <v>46314</v>
      </c>
      <c r="F457" t="inlineStr">
        <is>
          <t>VÄSTERBOTTENS LÄN</t>
        </is>
      </c>
      <c r="G457" t="inlineStr">
        <is>
          <t>NORDMALING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46314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Kyrkan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24010-2022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44722</v>
      </c>
      <c r="E459" s="1" t="n">
        <v>46314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SCA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46314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Kyrkan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7618-2024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45348</v>
      </c>
      <c r="E461" s="1" t="n">
        <v>46314</v>
      </c>
      <c r="F461" t="inlineStr">
        <is>
          <t>VÄSTERBOTTENS LÄN</t>
        </is>
      </c>
      <c r="G461" t="inlineStr">
        <is>
          <t>NORDMALING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27372-2023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46314</v>
      </c>
      <c r="F462" t="inlineStr">
        <is>
          <t>VÄSTERBOTTENS LÄN</t>
        </is>
      </c>
      <c r="G462" t="inlineStr">
        <is>
          <t>NORDMALING</t>
        </is>
      </c>
      <c r="H462" t="inlineStr">
        <is>
          <t>SCA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47777-2022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44854</v>
      </c>
      <c r="E463" s="1" t="n">
        <v>46314</v>
      </c>
      <c r="F463" t="inlineStr">
        <is>
          <t>VÄSTERBOTTENS LÄN</t>
        </is>
      </c>
      <c r="G463" t="inlineStr">
        <is>
          <t>NORDMALING</t>
        </is>
      </c>
      <c r="I463" t="n">
        <v>10.5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45139</v>
      </c>
      <c r="E464" s="1" t="n">
        <v>46314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46314</v>
      </c>
      <c r="F465" t="inlineStr">
        <is>
          <t>VÄSTERBOTTENS LÄN</t>
        </is>
      </c>
      <c r="G465" t="inlineStr">
        <is>
          <t>NORDMALING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44859</v>
      </c>
      <c r="E466" s="1" t="n">
        <v>46314</v>
      </c>
      <c r="F466" t="inlineStr">
        <is>
          <t>VÄSTERBOTTENS LÄN</t>
        </is>
      </c>
      <c r="G466" t="inlineStr">
        <is>
          <t>NORDMALING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46286</v>
      </c>
      <c r="E467" s="1" t="n">
        <v>46314</v>
      </c>
      <c r="F467" t="inlineStr">
        <is>
          <t>VÄSTERBOTTENS LÄN</t>
        </is>
      </c>
      <c r="G467" t="inlineStr">
        <is>
          <t>NORDMALING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45241</v>
      </c>
      <c r="E468" s="1" t="n">
        <v>46314</v>
      </c>
      <c r="F468" t="inlineStr">
        <is>
          <t>VÄSTERBOTTENS LÄN</t>
        </is>
      </c>
      <c r="G468" t="inlineStr">
        <is>
          <t>NORDMALING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46314</v>
      </c>
      <c r="F469" t="inlineStr">
        <is>
          <t>VÄSTERBOTTENS LÄN</t>
        </is>
      </c>
      <c r="G469" t="inlineStr">
        <is>
          <t>NORDMALING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32889-2026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46314</v>
      </c>
      <c r="F470" t="inlineStr">
        <is>
          <t>VÄSTERBOTTENS LÄN</t>
        </is>
      </c>
      <c r="G470" t="inlineStr">
        <is>
          <t>NORDMALING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35650-2023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45147</v>
      </c>
      <c r="E471" s="1" t="n">
        <v>46314</v>
      </c>
      <c r="F471" t="inlineStr">
        <is>
          <t>VÄSTERBOTTENS LÄN</t>
        </is>
      </c>
      <c r="G471" t="inlineStr">
        <is>
          <t>NORDMALING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14689-2025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45742</v>
      </c>
      <c r="E472" s="1" t="n">
        <v>46314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39162-2026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46287</v>
      </c>
      <c r="E473" s="1" t="n">
        <v>46314</v>
      </c>
      <c r="F473" t="inlineStr">
        <is>
          <t>VÄSTERBOTTENS LÄN</t>
        </is>
      </c>
      <c r="G473" t="inlineStr">
        <is>
          <t>NORDMALING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45061-2024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45575</v>
      </c>
      <c r="E474" s="1" t="n">
        <v>46314</v>
      </c>
      <c r="F474" t="inlineStr">
        <is>
          <t>VÄSTERBOTTENS LÄN</t>
        </is>
      </c>
      <c r="G474" t="inlineStr">
        <is>
          <t>NORDMALING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46314</v>
      </c>
      <c r="F475" t="inlineStr">
        <is>
          <t>VÄSTERBOTTENS LÄN</t>
        </is>
      </c>
      <c r="G475" t="inlineStr">
        <is>
          <t>NORDMALING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32858-2026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46314</v>
      </c>
      <c r="F476" t="inlineStr">
        <is>
          <t>VÄSTERBOTTENS LÄN</t>
        </is>
      </c>
      <c r="G476" t="inlineStr">
        <is>
          <t>NORDMALING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46314</v>
      </c>
      <c r="F477" t="inlineStr">
        <is>
          <t>VÄSTERBOTTENS LÄN</t>
        </is>
      </c>
      <c r="G477" t="inlineStr">
        <is>
          <t>NORDMALING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46314</v>
      </c>
      <c r="F478" t="inlineStr">
        <is>
          <t>VÄSTERBOTTENS LÄN</t>
        </is>
      </c>
      <c r="G478" t="inlineStr">
        <is>
          <t>NORDMALING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46314</v>
      </c>
      <c r="F479" t="inlineStr">
        <is>
          <t>VÄSTERBOTTENS LÄN</t>
        </is>
      </c>
      <c r="G479" t="inlineStr">
        <is>
          <t>NORDMALING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46314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46287</v>
      </c>
      <c r="E481" s="1" t="n">
        <v>46314</v>
      </c>
      <c r="F481" t="inlineStr">
        <is>
          <t>VÄSTERBOTTENS LÄN</t>
        </is>
      </c>
      <c r="G481" t="inlineStr">
        <is>
          <t>NORDMALING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32183-2023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45119</v>
      </c>
      <c r="E482" s="1" t="n">
        <v>46314</v>
      </c>
      <c r="F482" t="inlineStr">
        <is>
          <t>VÄSTERBOTTENS LÄN</t>
        </is>
      </c>
      <c r="G482" t="inlineStr">
        <is>
          <t>NORDMALING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32983-2026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46314</v>
      </c>
      <c r="F483" t="inlineStr">
        <is>
          <t>VÄSTERBOTTENS LÄN</t>
        </is>
      </c>
      <c r="G483" t="inlineStr">
        <is>
          <t>NORDMALING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46314</v>
      </c>
      <c r="F484" t="inlineStr">
        <is>
          <t>VÄSTERBOTTENS LÄN</t>
        </is>
      </c>
      <c r="G484" t="inlineStr">
        <is>
          <t>NORDMALING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45034</v>
      </c>
      <c r="E485" s="1" t="n">
        <v>46314</v>
      </c>
      <c r="F485" t="inlineStr">
        <is>
          <t>VÄSTERBOTTENS LÄN</t>
        </is>
      </c>
      <c r="G485" t="inlineStr">
        <is>
          <t>NORDMALING</t>
        </is>
      </c>
      <c r="I485" t="n">
        <v>13.1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46314</v>
      </c>
      <c r="F486" t="inlineStr">
        <is>
          <t>VÄSTERBOTTENS LÄN</t>
        </is>
      </c>
      <c r="G486" t="inlineStr">
        <is>
          <t>NORDMALING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42823-2024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46314</v>
      </c>
      <c r="F487" t="inlineStr">
        <is>
          <t>VÄSTERBOTTENS LÄN</t>
        </is>
      </c>
      <c r="G487" t="inlineStr">
        <is>
          <t>NORDMALING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46314</v>
      </c>
      <c r="F488" t="inlineStr">
        <is>
          <t>VÄSTERBOTTENS LÄN</t>
        </is>
      </c>
      <c r="G488" t="inlineStr">
        <is>
          <t>NORDMALING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46314</v>
      </c>
      <c r="F489" t="inlineStr">
        <is>
          <t>VÄSTERBOTTENS LÄN</t>
        </is>
      </c>
      <c r="G489" t="inlineStr">
        <is>
          <t>NORDMALING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46314</v>
      </c>
      <c r="F490" t="inlineStr">
        <is>
          <t>VÄSTERBOTTENS LÄN</t>
        </is>
      </c>
      <c r="G490" t="inlineStr">
        <is>
          <t>NORDMALING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46314</v>
      </c>
      <c r="F491" t="inlineStr">
        <is>
          <t>VÄSTERBOTTENS LÄN</t>
        </is>
      </c>
      <c r="G491" t="inlineStr">
        <is>
          <t>NORDMALING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44812</v>
      </c>
      <c r="E492" s="1" t="n">
        <v>46314</v>
      </c>
      <c r="F492" t="inlineStr">
        <is>
          <t>VÄSTERBOTTENS LÄN</t>
        </is>
      </c>
      <c r="G492" t="inlineStr">
        <is>
          <t>NORDMALING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45251</v>
      </c>
      <c r="E493" s="1" t="n">
        <v>46314</v>
      </c>
      <c r="F493" t="inlineStr">
        <is>
          <t>VÄSTERBOTTENS LÄN</t>
        </is>
      </c>
      <c r="G493" t="inlineStr">
        <is>
          <t>NORDMALING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34894-2023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45141</v>
      </c>
      <c r="E494" s="1" t="n">
        <v>46314</v>
      </c>
      <c r="F494" t="inlineStr">
        <is>
          <t>VÄSTERBOTTENS LÄN</t>
        </is>
      </c>
      <c r="G494" t="inlineStr">
        <is>
          <t>NORDMALING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20489-2025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45775</v>
      </c>
      <c r="E495" s="1" t="n">
        <v>46314</v>
      </c>
      <c r="F495" t="inlineStr">
        <is>
          <t>VÄSTERBOTTENS LÄN</t>
        </is>
      </c>
      <c r="G495" t="inlineStr">
        <is>
          <t>NORDMALING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39647-2026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46289</v>
      </c>
      <c r="E496" s="1" t="n">
        <v>46314</v>
      </c>
      <c r="F496" t="inlineStr">
        <is>
          <t>VÄSTERBOTTENS LÄN</t>
        </is>
      </c>
      <c r="G496" t="inlineStr">
        <is>
          <t>NORDMALING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46314</v>
      </c>
      <c r="F497" t="inlineStr">
        <is>
          <t>VÄSTERBOTTENS LÄN</t>
        </is>
      </c>
      <c r="G497" t="inlineStr">
        <is>
          <t>NORDMALING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46245</v>
      </c>
      <c r="E498" s="1" t="n">
        <v>46314</v>
      </c>
      <c r="F498" t="inlineStr">
        <is>
          <t>VÄSTERBOTTENS LÄN</t>
        </is>
      </c>
      <c r="G498" t="inlineStr">
        <is>
          <t>NORDMALING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46245</v>
      </c>
      <c r="E499" s="1" t="n">
        <v>46314</v>
      </c>
      <c r="F499" t="inlineStr">
        <is>
          <t>VÄSTERBOTTENS LÄN</t>
        </is>
      </c>
      <c r="G499" t="inlineStr">
        <is>
          <t>NORDMALING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46245</v>
      </c>
      <c r="E500" s="1" t="n">
        <v>46314</v>
      </c>
      <c r="F500" t="inlineStr">
        <is>
          <t>VÄSTERBOTTENS LÄN</t>
        </is>
      </c>
      <c r="G500" t="inlineStr">
        <is>
          <t>NORDMALING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46314</v>
      </c>
      <c r="F501" t="inlineStr">
        <is>
          <t>VÄSTERBOTTENS LÄN</t>
        </is>
      </c>
      <c r="G501" t="inlineStr">
        <is>
          <t>NORDMALING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46245</v>
      </c>
      <c r="E502" s="1" t="n">
        <v>46314</v>
      </c>
      <c r="F502" t="inlineStr">
        <is>
          <t>VÄSTERBOTTENS LÄN</t>
        </is>
      </c>
      <c r="G502" t="inlineStr">
        <is>
          <t>NORDMALING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46314</v>
      </c>
      <c r="F503" t="inlineStr">
        <is>
          <t>VÄSTERBOTTENS LÄN</t>
        </is>
      </c>
      <c r="G503" t="inlineStr">
        <is>
          <t>NORDMALING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21079-2024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45439</v>
      </c>
      <c r="E504" s="1" t="n">
        <v>46314</v>
      </c>
      <c r="F504" t="inlineStr">
        <is>
          <t>VÄSTERBOTTENS LÄN</t>
        </is>
      </c>
      <c r="G504" t="inlineStr">
        <is>
          <t>NORDMALING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46266</v>
      </c>
      <c r="E505" s="1" t="n">
        <v>46314</v>
      </c>
      <c r="F505" t="inlineStr">
        <is>
          <t>VÄSTERBOTTENS LÄN</t>
        </is>
      </c>
      <c r="G505" t="inlineStr">
        <is>
          <t>NORDMALING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33161-2026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46245</v>
      </c>
      <c r="E506" s="1" t="n">
        <v>46314</v>
      </c>
      <c r="F506" t="inlineStr">
        <is>
          <t>VÄSTERBOTTENS LÄN</t>
        </is>
      </c>
      <c r="G506" t="inlineStr">
        <is>
          <t>NORDMALING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45429</v>
      </c>
      <c r="E507" s="1" t="n">
        <v>46314</v>
      </c>
      <c r="F507" t="inlineStr">
        <is>
          <t>VÄSTERBOTTENS LÄN</t>
        </is>
      </c>
      <c r="G507" t="inlineStr">
        <is>
          <t>NORDMALING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46314</v>
      </c>
      <c r="F508" t="inlineStr">
        <is>
          <t>VÄSTERBOTTENS LÄN</t>
        </is>
      </c>
      <c r="G508" t="inlineStr">
        <is>
          <t>NORDMALING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46246</v>
      </c>
      <c r="E509" s="1" t="n">
        <v>46314</v>
      </c>
      <c r="F509" t="inlineStr">
        <is>
          <t>VÄSTERBOTTENS LÄN</t>
        </is>
      </c>
      <c r="G509" t="inlineStr">
        <is>
          <t>NORDMALING</t>
        </is>
      </c>
      <c r="I509" t="n">
        <v>8.5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33077-2026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46314</v>
      </c>
      <c r="F510" t="inlineStr">
        <is>
          <t>VÄSTERBOTTENS LÄN</t>
        </is>
      </c>
      <c r="G510" t="inlineStr">
        <is>
          <t>NORDMALING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39104-2022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44816</v>
      </c>
      <c r="E511" s="1" t="n">
        <v>46314</v>
      </c>
      <c r="F511" t="inlineStr">
        <is>
          <t>VÄSTERBOTTENS LÄN</t>
        </is>
      </c>
      <c r="G511" t="inlineStr">
        <is>
          <t>NORDMALING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55634-2023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45238</v>
      </c>
      <c r="E512" s="1" t="n">
        <v>46314</v>
      </c>
      <c r="F512" t="inlineStr">
        <is>
          <t>VÄSTERBOTTENS LÄN</t>
        </is>
      </c>
      <c r="G512" t="inlineStr">
        <is>
          <t>NORDMALING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40124-2026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46293</v>
      </c>
      <c r="E513" s="1" t="n">
        <v>46314</v>
      </c>
      <c r="F513" t="inlineStr">
        <is>
          <t>VÄSTERBOTTENS LÄN</t>
        </is>
      </c>
      <c r="G513" t="inlineStr">
        <is>
          <t>NORDMALING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9860-2022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44620</v>
      </c>
      <c r="E514" s="1" t="n">
        <v>46314</v>
      </c>
      <c r="F514" t="inlineStr">
        <is>
          <t>VÄSTERBOTTENS LÄN</t>
        </is>
      </c>
      <c r="G514" t="inlineStr">
        <is>
          <t>NORDMALING</t>
        </is>
      </c>
      <c r="I514" t="n">
        <v>82.40000000000001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19029-2025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45764</v>
      </c>
      <c r="E515" s="1" t="n">
        <v>46314</v>
      </c>
      <c r="F515" t="inlineStr">
        <is>
          <t>VÄSTERBOTTENS LÄN</t>
        </is>
      </c>
      <c r="G515" t="inlineStr">
        <is>
          <t>NORDMALING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45764</v>
      </c>
      <c r="E516" s="1" t="n">
        <v>46314</v>
      </c>
      <c r="F516" t="inlineStr">
        <is>
          <t>VÄSTERBOTTENS LÄN</t>
        </is>
      </c>
      <c r="G516" t="inlineStr">
        <is>
          <t>NORDMALING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18232-2024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45420</v>
      </c>
      <c r="E517" s="1" t="n">
        <v>46314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45187</v>
      </c>
      <c r="E518" s="1" t="n">
        <v>46314</v>
      </c>
      <c r="F518" t="inlineStr">
        <is>
          <t>VÄSTERBOTTENS LÄN</t>
        </is>
      </c>
      <c r="G518" t="inlineStr">
        <is>
          <t>NORDMALING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18649-2025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46314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40215-2026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46293</v>
      </c>
      <c r="E520" s="1" t="n">
        <v>46314</v>
      </c>
      <c r="F520" t="inlineStr">
        <is>
          <t>VÄSTERBOTTENS LÄN</t>
        </is>
      </c>
      <c r="G520" t="inlineStr">
        <is>
          <t>NORDMALING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30439-2024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45491</v>
      </c>
      <c r="E521" s="1" t="n">
        <v>46314</v>
      </c>
      <c r="F521" t="inlineStr">
        <is>
          <t>VÄSTERBOTTENS LÄN</t>
        </is>
      </c>
      <c r="G521" t="inlineStr">
        <is>
          <t>NORDMALING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34685-2023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45140</v>
      </c>
      <c r="E522" s="1" t="n">
        <v>46314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50520-2023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45216</v>
      </c>
      <c r="E523" s="1" t="n">
        <v>46314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46295</v>
      </c>
      <c r="E524" s="1" t="n">
        <v>46314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55305-2023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45237</v>
      </c>
      <c r="E525" s="1" t="n">
        <v>46314</v>
      </c>
      <c r="F525" t="inlineStr">
        <is>
          <t>VÄSTERBOTTENS LÄN</t>
        </is>
      </c>
      <c r="G525" t="inlineStr">
        <is>
          <t>NORDMALING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35291-2023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45145</v>
      </c>
      <c r="E526" s="1" t="n">
        <v>46314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69516-2021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46314</v>
      </c>
      <c r="F527" t="inlineStr">
        <is>
          <t>VÄSTERBOTTENS LÄN</t>
        </is>
      </c>
      <c r="G527" t="inlineStr">
        <is>
          <t>NORDMALING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46314</v>
      </c>
      <c r="F528" t="inlineStr">
        <is>
          <t>VÄSTERBOTTENS LÄN</t>
        </is>
      </c>
      <c r="G528" t="inlineStr">
        <is>
          <t>NORDMALING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40583-2026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46295</v>
      </c>
      <c r="E529" s="1" t="n">
        <v>46314</v>
      </c>
      <c r="F529" t="inlineStr">
        <is>
          <t>VÄSTERBOTTENS LÄN</t>
        </is>
      </c>
      <c r="G529" t="inlineStr">
        <is>
          <t>NORDMALING</t>
        </is>
      </c>
      <c r="H529" t="inlineStr">
        <is>
          <t>SCA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45676</v>
      </c>
      <c r="E530" s="1" t="n">
        <v>46314</v>
      </c>
      <c r="F530" t="inlineStr">
        <is>
          <t>VÄSTERBOTTENS LÄN</t>
        </is>
      </c>
      <c r="G530" t="inlineStr">
        <is>
          <t>NORDMALING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46314</v>
      </c>
      <c r="F531" t="inlineStr">
        <is>
          <t>VÄSTERBOTTENS LÄN</t>
        </is>
      </c>
      <c r="G531" t="inlineStr">
        <is>
          <t>NORDMALING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44950-2023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46314</v>
      </c>
      <c r="F532" t="inlineStr">
        <is>
          <t>VÄSTERBOTTENS LÄN</t>
        </is>
      </c>
      <c r="G532" t="inlineStr">
        <is>
          <t>NORDMALING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45187</v>
      </c>
      <c r="E533" s="1" t="n">
        <v>46314</v>
      </c>
      <c r="F533" t="inlineStr">
        <is>
          <t>VÄSTERBOTTENS LÄN</t>
        </is>
      </c>
      <c r="G533" t="inlineStr">
        <is>
          <t>NORDMALING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46293</v>
      </c>
      <c r="E534" s="1" t="n">
        <v>46314</v>
      </c>
      <c r="F534" t="inlineStr">
        <is>
          <t>VÄSTERBOTTENS LÄN</t>
        </is>
      </c>
      <c r="G534" t="inlineStr">
        <is>
          <t>NORDMALING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46295</v>
      </c>
      <c r="E535" s="1" t="n">
        <v>46314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46314</v>
      </c>
      <c r="F536" t="inlineStr">
        <is>
          <t>VÄSTERBOTTENS LÄN</t>
        </is>
      </c>
      <c r="G536" t="inlineStr">
        <is>
          <t>NORDMALING</t>
        </is>
      </c>
      <c r="I536" t="n">
        <v>8.5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46314</v>
      </c>
      <c r="F537" t="inlineStr">
        <is>
          <t>VÄSTERBOTTENS LÄN</t>
        </is>
      </c>
      <c r="G537" t="inlineStr">
        <is>
          <t>NORDMALING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46253</v>
      </c>
      <c r="E538" s="1" t="n">
        <v>46314</v>
      </c>
      <c r="F538" t="inlineStr">
        <is>
          <t>VÄSTERBOTTENS LÄN</t>
        </is>
      </c>
      <c r="G538" t="inlineStr">
        <is>
          <t>NORDMALING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20008-2025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45772</v>
      </c>
      <c r="E539" s="1" t="n">
        <v>46314</v>
      </c>
      <c r="F539" t="inlineStr">
        <is>
          <t>VÄSTERBOTTENS LÄN</t>
        </is>
      </c>
      <c r="G539" t="inlineStr">
        <is>
          <t>NORDMALING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45187</v>
      </c>
      <c r="E540" s="1" t="n">
        <v>46314</v>
      </c>
      <c r="F540" t="inlineStr">
        <is>
          <t>VÄSTERBOTTENS LÄN</t>
        </is>
      </c>
      <c r="G540" t="inlineStr">
        <is>
          <t>NORDMALING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54169-2024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45616</v>
      </c>
      <c r="E541" s="1" t="n">
        <v>46314</v>
      </c>
      <c r="F541" t="inlineStr">
        <is>
          <t>VÄSTERBOTTENS LÄN</t>
        </is>
      </c>
      <c r="G541" t="inlineStr">
        <is>
          <t>NORDMALING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46314</v>
      </c>
      <c r="F542" t="inlineStr">
        <is>
          <t>VÄSTERBOTTENS LÄN</t>
        </is>
      </c>
      <c r="G542" t="inlineStr">
        <is>
          <t>NORDMALING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34829-2026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46314</v>
      </c>
      <c r="F543" t="inlineStr">
        <is>
          <t>VÄSTERBOTTENS LÄN</t>
        </is>
      </c>
      <c r="G543" t="inlineStr">
        <is>
          <t>NORDMALING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59518-2024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45638</v>
      </c>
      <c r="E544" s="1" t="n">
        <v>46314</v>
      </c>
      <c r="F544" t="inlineStr">
        <is>
          <t>VÄSTERBOTTENS LÄN</t>
        </is>
      </c>
      <c r="G544" t="inlineStr">
        <is>
          <t>NORDMALING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46258</v>
      </c>
      <c r="E545" s="1" t="n">
        <v>46314</v>
      </c>
      <c r="F545" t="inlineStr">
        <is>
          <t>VÄSTERBOTTENS LÄN</t>
        </is>
      </c>
      <c r="G545" t="inlineStr">
        <is>
          <t>NORDMALING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16758-2023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46314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SCA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21733-2025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45783</v>
      </c>
      <c r="E547" s="1" t="n">
        <v>46314</v>
      </c>
      <c r="F547" t="inlineStr">
        <is>
          <t>VÄSTERBOTTENS LÄN</t>
        </is>
      </c>
      <c r="G547" t="inlineStr">
        <is>
          <t>NORDMALING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45783</v>
      </c>
      <c r="E548" s="1" t="n">
        <v>46314</v>
      </c>
      <c r="F548" t="inlineStr">
        <is>
          <t>VÄSTERBOTTENS LÄN</t>
        </is>
      </c>
      <c r="G548" t="inlineStr">
        <is>
          <t>NORDMALING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46314</v>
      </c>
      <c r="F549" t="inlineStr">
        <is>
          <t>VÄSTERBOTTENS LÄN</t>
        </is>
      </c>
      <c r="G549" t="inlineStr">
        <is>
          <t>NORDMALING</t>
        </is>
      </c>
      <c r="I549" t="n">
        <v>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46314</v>
      </c>
      <c r="F550" t="inlineStr">
        <is>
          <t>VÄSTERBOTTENS LÄN</t>
        </is>
      </c>
      <c r="G550" t="inlineStr">
        <is>
          <t>NORDMALING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34813-2026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46314</v>
      </c>
      <c r="F551" t="inlineStr">
        <is>
          <t>VÄSTERBOTTENS LÄN</t>
        </is>
      </c>
      <c r="G551" t="inlineStr">
        <is>
          <t>NORDMALING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34668-2026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46314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Kyrkan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46314</v>
      </c>
      <c r="F553" t="inlineStr">
        <is>
          <t>VÄSTERBOTTENS LÄN</t>
        </is>
      </c>
      <c r="G553" t="inlineStr">
        <is>
          <t>NORDMALING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50969-2024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45603</v>
      </c>
      <c r="E554" s="1" t="n">
        <v>46314</v>
      </c>
      <c r="F554" t="inlineStr">
        <is>
          <t>VÄSTERBOTTENS LÄN</t>
        </is>
      </c>
      <c r="G554" t="inlineStr">
        <is>
          <t>NORDMALING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61616-2023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45261</v>
      </c>
      <c r="E555" s="1" t="n">
        <v>46314</v>
      </c>
      <c r="F555" t="inlineStr">
        <is>
          <t>VÄSTERBOTTENS LÄN</t>
        </is>
      </c>
      <c r="G555" t="inlineStr">
        <is>
          <t>NORDMALING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22739-2025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46314</v>
      </c>
      <c r="F556" t="inlineStr">
        <is>
          <t>VÄSTERBOTTENS LÄN</t>
        </is>
      </c>
      <c r="G556" t="inlineStr">
        <is>
          <t>NORDMALING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22955-2025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45790</v>
      </c>
      <c r="E557" s="1" t="n">
        <v>46314</v>
      </c>
      <c r="F557" t="inlineStr">
        <is>
          <t>VÄSTERBOTTENS LÄN</t>
        </is>
      </c>
      <c r="G557" t="inlineStr">
        <is>
          <t>NORDMALING</t>
        </is>
      </c>
      <c r="I557" t="n">
        <v>20.3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46302</v>
      </c>
      <c r="E558" s="1" t="n">
        <v>46314</v>
      </c>
      <c r="F558" t="inlineStr">
        <is>
          <t>VÄSTERBOTTENS LÄN</t>
        </is>
      </c>
      <c r="G558" t="inlineStr">
        <is>
          <t>NORDMALING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46314</v>
      </c>
      <c r="F559" t="inlineStr">
        <is>
          <t>VÄSTERBOTTENS LÄN</t>
        </is>
      </c>
      <c r="G559" t="inlineStr">
        <is>
          <t>NORDMALING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45790</v>
      </c>
      <c r="E560" s="1" t="n">
        <v>46314</v>
      </c>
      <c r="F560" t="inlineStr">
        <is>
          <t>VÄSTERBOTTENS LÄN</t>
        </is>
      </c>
      <c r="G560" t="inlineStr">
        <is>
          <t>NORDMALING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23037-2025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46314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46314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46307</v>
      </c>
      <c r="E563" s="1" t="n">
        <v>46314</v>
      </c>
      <c r="F563" t="inlineStr">
        <is>
          <t>VÄSTERBOTTENS LÄN</t>
        </is>
      </c>
      <c r="G563" t="inlineStr">
        <is>
          <t>NORDMALING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35566-2026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46262</v>
      </c>
      <c r="E564" s="1" t="n">
        <v>46314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Kyrkan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24045-2025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45796</v>
      </c>
      <c r="E565" s="1" t="n">
        <v>46314</v>
      </c>
      <c r="F565" t="inlineStr">
        <is>
          <t>VÄSTERBOTTENS LÄN</t>
        </is>
      </c>
      <c r="G565" t="inlineStr">
        <is>
          <t>NORDMALING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45699</v>
      </c>
      <c r="E566" s="1" t="n">
        <v>46314</v>
      </c>
      <c r="F566" t="inlineStr">
        <is>
          <t>VÄSTERBOTTENS LÄN</t>
        </is>
      </c>
      <c r="G566" t="inlineStr">
        <is>
          <t>NORDMALING</t>
        </is>
      </c>
      <c r="I566" t="n">
        <v>7.4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46304</v>
      </c>
      <c r="E567" s="1" t="n">
        <v>46314</v>
      </c>
      <c r="F567" t="inlineStr">
        <is>
          <t>VÄSTERBOTTENS LÄN</t>
        </is>
      </c>
      <c r="G567" t="inlineStr">
        <is>
          <t>NORDMALING</t>
        </is>
      </c>
      <c r="I567" t="n">
        <v>9.5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35548-2026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46314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Kyrkan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46309</v>
      </c>
      <c r="E569" s="1" t="n">
        <v>46314</v>
      </c>
      <c r="F569" t="inlineStr">
        <is>
          <t>VÄSTERBOTTENS LÄN</t>
        </is>
      </c>
      <c r="G569" t="inlineStr">
        <is>
          <t>NORDMALING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46314</v>
      </c>
      <c r="F570" t="inlineStr">
        <is>
          <t>VÄSTERBOTTENS LÄN</t>
        </is>
      </c>
      <c r="G570" t="inlineStr">
        <is>
          <t>NORDMALING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42425-2026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46308</v>
      </c>
      <c r="E571" s="1" t="n">
        <v>46314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42714-2026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46308</v>
      </c>
      <c r="E572" s="1" t="n">
        <v>46314</v>
      </c>
      <c r="F572" t="inlineStr">
        <is>
          <t>VÄSTERBOTTENS LÄN</t>
        </is>
      </c>
      <c r="G572" t="inlineStr">
        <is>
          <t>NORDMALING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46314</v>
      </c>
      <c r="F573" t="inlineStr">
        <is>
          <t>VÄSTERBOTTENS LÄN</t>
        </is>
      </c>
      <c r="G573" t="inlineStr">
        <is>
          <t>NORDMALING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42629-2026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46309</v>
      </c>
      <c r="E574" s="1" t="n">
        <v>46314</v>
      </c>
      <c r="F574" t="inlineStr">
        <is>
          <t>VÄSTERBOTTENS LÄN</t>
        </is>
      </c>
      <c r="G574" t="inlineStr">
        <is>
          <t>NORDMALING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46314</v>
      </c>
      <c r="F575" t="inlineStr">
        <is>
          <t>VÄSTERBOTTENS LÄN</t>
        </is>
      </c>
      <c r="G575" t="inlineStr">
        <is>
          <t>NORDMALING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46263</v>
      </c>
      <c r="E576" s="1" t="n">
        <v>46314</v>
      </c>
      <c r="F576" t="inlineStr">
        <is>
          <t>VÄSTERBOTTENS LÄN</t>
        </is>
      </c>
      <c r="G576" t="inlineStr">
        <is>
          <t>NORDMALING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55627-2023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46314</v>
      </c>
      <c r="F577" t="inlineStr">
        <is>
          <t>VÄSTERBOTTENS LÄN</t>
        </is>
      </c>
      <c r="G577" t="inlineStr">
        <is>
          <t>NORDMALING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46314</v>
      </c>
      <c r="F578" t="inlineStr">
        <is>
          <t>VÄSTERBOTTENS LÄN</t>
        </is>
      </c>
      <c r="G578" t="inlineStr">
        <is>
          <t>NORDMALING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51695-2024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45607</v>
      </c>
      <c r="E579" s="1" t="n">
        <v>46314</v>
      </c>
      <c r="F579" t="inlineStr">
        <is>
          <t>VÄSTERBOTTENS LÄN</t>
        </is>
      </c>
      <c r="G579" t="inlineStr">
        <is>
          <t>NORDMALING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35843-2026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46265</v>
      </c>
      <c r="E580" s="1" t="n">
        <v>46314</v>
      </c>
      <c r="F580" t="inlineStr">
        <is>
          <t>VÄSTERBOTTENS LÄN</t>
        </is>
      </c>
      <c r="G580" t="inlineStr">
        <is>
          <t>NORDMALING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45688</v>
      </c>
      <c r="E581" s="1" t="n">
        <v>46314</v>
      </c>
      <c r="F581" t="inlineStr">
        <is>
          <t>VÄSTERBOTTENS LÄN</t>
        </is>
      </c>
      <c r="G581" t="inlineStr">
        <is>
          <t>NORDMALING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36094-2026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46267</v>
      </c>
      <c r="E582" s="1" t="n">
        <v>46314</v>
      </c>
      <c r="F582" t="inlineStr">
        <is>
          <t>VÄSTERBOTTENS LÄN</t>
        </is>
      </c>
      <c r="G582" t="inlineStr">
        <is>
          <t>NORDMALING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46314</v>
      </c>
      <c r="F583" t="inlineStr">
        <is>
          <t>VÄSTERBOTTENS LÄN</t>
        </is>
      </c>
      <c r="G583" t="inlineStr">
        <is>
          <t>NORDMALING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45825</v>
      </c>
      <c r="E584" s="1" t="n">
        <v>46314</v>
      </c>
      <c r="F584" t="inlineStr">
        <is>
          <t>VÄSTERBOTTENS LÄN</t>
        </is>
      </c>
      <c r="G584" t="inlineStr">
        <is>
          <t>NORDMALING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46314</v>
      </c>
      <c r="F585" t="inlineStr">
        <is>
          <t>VÄSTERBOTTENS LÄN</t>
        </is>
      </c>
      <c r="G585" t="inlineStr">
        <is>
          <t>NORDMALING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29576-2025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46314</v>
      </c>
      <c r="F586" t="inlineStr">
        <is>
          <t>VÄSTERBOTTENS LÄN</t>
        </is>
      </c>
      <c r="G586" t="inlineStr">
        <is>
          <t>NORDMALING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29606-2025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45825</v>
      </c>
      <c r="E587" s="1" t="n">
        <v>46314</v>
      </c>
      <c r="F587" t="inlineStr">
        <is>
          <t>VÄSTERBOTTENS LÄN</t>
        </is>
      </c>
      <c r="G587" t="inlineStr">
        <is>
          <t>NORDMALING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37187-2026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46274</v>
      </c>
      <c r="E588" s="1" t="n">
        <v>46314</v>
      </c>
      <c r="F588" t="inlineStr">
        <is>
          <t>VÄSTERBOTTENS LÄN</t>
        </is>
      </c>
      <c r="G588" t="inlineStr">
        <is>
          <t>NORDMALING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29579-2025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45825</v>
      </c>
      <c r="E589" s="1" t="n">
        <v>46314</v>
      </c>
      <c r="F589" t="inlineStr">
        <is>
          <t>VÄSTERBOTTENS LÄN</t>
        </is>
      </c>
      <c r="G589" t="inlineStr">
        <is>
          <t>NORDMALING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42929-2026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46310</v>
      </c>
      <c r="E590" s="1" t="n">
        <v>46314</v>
      </c>
      <c r="F590" t="inlineStr">
        <is>
          <t>VÄSTERBOTTENS LÄN</t>
        </is>
      </c>
      <c r="G590" t="inlineStr">
        <is>
          <t>NORDMALING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46314</v>
      </c>
      <c r="F591" t="inlineStr">
        <is>
          <t>VÄSTERBOTTENS LÄN</t>
        </is>
      </c>
      <c r="G591" t="inlineStr">
        <is>
          <t>NORDMALING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32575-2025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46314</v>
      </c>
      <c r="F592" t="inlineStr">
        <is>
          <t>VÄSTERBOTTENS LÄN</t>
        </is>
      </c>
      <c r="G592" t="inlineStr">
        <is>
          <t>NORDMALING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33599-2025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45841</v>
      </c>
      <c r="E593" s="1" t="n">
        <v>46314</v>
      </c>
      <c r="F593" t="inlineStr">
        <is>
          <t>VÄSTERBOTTENS LÄN</t>
        </is>
      </c>
      <c r="G593" t="inlineStr">
        <is>
          <t>NORDMALING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33938-2025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45842</v>
      </c>
      <c r="E594" s="1" t="n">
        <v>46314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34601-2025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46314</v>
      </c>
      <c r="F595" t="inlineStr">
        <is>
          <t>VÄSTERBOTTENS LÄN</t>
        </is>
      </c>
      <c r="G595" t="inlineStr">
        <is>
          <t>NORDMALING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34804-2025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45849</v>
      </c>
      <c r="E596" s="1" t="n">
        <v>46314</v>
      </c>
      <c r="F596" t="inlineStr">
        <is>
          <t>VÄSTERBOTTENS LÄN</t>
        </is>
      </c>
      <c r="G596" t="inlineStr">
        <is>
          <t>NORDMALING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35057-2025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45852</v>
      </c>
      <c r="E597" s="1" t="n">
        <v>46314</v>
      </c>
      <c r="F597" t="inlineStr">
        <is>
          <t>VÄSTERBOTTENS LÄN</t>
        </is>
      </c>
      <c r="G597" t="inlineStr">
        <is>
          <t>NORDMALING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26927-2024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46314</v>
      </c>
      <c r="F598" t="inlineStr">
        <is>
          <t>VÄSTERBOTTENS LÄN</t>
        </is>
      </c>
      <c r="G598" t="inlineStr">
        <is>
          <t>NORDMALING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36281-2025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45867</v>
      </c>
      <c r="E599" s="1" t="n">
        <v>46314</v>
      </c>
      <c r="F599" t="inlineStr">
        <is>
          <t>VÄSTERBOTTENS LÄN</t>
        </is>
      </c>
      <c r="G599" t="inlineStr">
        <is>
          <t>NORDMALING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36077-2025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45866</v>
      </c>
      <c r="E600" s="1" t="n">
        <v>46314</v>
      </c>
      <c r="F600" t="inlineStr">
        <is>
          <t>VÄSTERBOTTENS LÄN</t>
        </is>
      </c>
      <c r="G600" t="inlineStr">
        <is>
          <t>NORDMALING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20471-2025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45775</v>
      </c>
      <c r="E601" s="1" t="n">
        <v>46314</v>
      </c>
      <c r="F601" t="inlineStr">
        <is>
          <t>VÄSTERBOTTENS LÄN</t>
        </is>
      </c>
      <c r="G601" t="inlineStr">
        <is>
          <t>NORDMALING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38365-2025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45883</v>
      </c>
      <c r="E602" s="1" t="n">
        <v>46314</v>
      </c>
      <c r="F602" t="inlineStr">
        <is>
          <t>VÄSTERBOTTENS LÄN</t>
        </is>
      </c>
      <c r="G602" t="inlineStr">
        <is>
          <t>NORDMALING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830-2022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44603</v>
      </c>
      <c r="E603" s="1" t="n">
        <v>46314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183.1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3963-2024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45567</v>
      </c>
      <c r="E604" s="1" t="n">
        <v>46314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8278-2021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44489</v>
      </c>
      <c r="E605" s="1" t="n">
        <v>46314</v>
      </c>
      <c r="F605" t="inlineStr">
        <is>
          <t>VÄSTERBOTTENS LÄN</t>
        </is>
      </c>
      <c r="G605" t="inlineStr">
        <is>
          <t>NORDMALING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11-2022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44559</v>
      </c>
      <c r="E606" s="1" t="n">
        <v>46314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18.8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73-2025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45667</v>
      </c>
      <c r="E607" s="1" t="n">
        <v>46314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SCA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9259-2021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44517</v>
      </c>
      <c r="E608" s="1" t="n">
        <v>46314</v>
      </c>
      <c r="F608" t="inlineStr">
        <is>
          <t>VÄSTERBOTTENS LÄN</t>
        </is>
      </c>
      <c r="G608" t="inlineStr">
        <is>
          <t>NORDMALING</t>
        </is>
      </c>
      <c r="I608" t="n">
        <v>17.8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4194-2023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45250</v>
      </c>
      <c r="E609" s="1" t="n">
        <v>46314</v>
      </c>
      <c r="F609" t="inlineStr">
        <is>
          <t>VÄSTERBOTTENS LÄN</t>
        </is>
      </c>
      <c r="G609" t="inlineStr">
        <is>
          <t>NORDMALING</t>
        </is>
      </c>
      <c r="H609" t="inlineStr">
        <is>
          <t>Holmen skog AB</t>
        </is>
      </c>
      <c r="I609" t="n">
        <v>27.6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5071-2024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45638</v>
      </c>
      <c r="E610" s="1" t="n">
        <v>46314</v>
      </c>
      <c r="F610" t="inlineStr">
        <is>
          <t>VÄSTERBOTTENS LÄN</t>
        </is>
      </c>
      <c r="G610" t="inlineStr">
        <is>
          <t>NORDMALING</t>
        </is>
      </c>
      <c r="I610" t="n">
        <v>19.9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1247-2025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45762</v>
      </c>
      <c r="E611" s="1" t="n">
        <v>46314</v>
      </c>
      <c r="F611" t="inlineStr">
        <is>
          <t>VÄSTERBOTTENS LÄN</t>
        </is>
      </c>
      <c r="G611" t="inlineStr">
        <is>
          <t>NORDMALING</t>
        </is>
      </c>
      <c r="I611" t="n">
        <v>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1248-2025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45762</v>
      </c>
      <c r="E612" s="1" t="n">
        <v>46314</v>
      </c>
      <c r="F612" t="inlineStr">
        <is>
          <t>VÄSTERBOTTENS LÄN</t>
        </is>
      </c>
      <c r="G612" t="inlineStr">
        <is>
          <t>NORDMALING</t>
        </is>
      </c>
      <c r="I612" t="n">
        <v>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445-2026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46314</v>
      </c>
      <c r="F613" t="inlineStr">
        <is>
          <t>VÄSTERBOTTENS LÄN</t>
        </is>
      </c>
      <c r="G613" t="inlineStr">
        <is>
          <t>NORDMALING</t>
        </is>
      </c>
      <c r="I613" t="n">
        <v>13.4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46070</v>
      </c>
      <c r="E614" s="1" t="n">
        <v>46314</v>
      </c>
      <c r="F614" t="inlineStr">
        <is>
          <t>VÄSTERBOTTENS LÄN</t>
        </is>
      </c>
      <c r="G614" t="inlineStr">
        <is>
          <t>NORDMALING</t>
        </is>
      </c>
      <c r="H614" t="inlineStr">
        <is>
          <t>Holmen skog AB</t>
        </is>
      </c>
      <c r="I614" t="n">
        <v>73.59999999999999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444-2026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46071</v>
      </c>
      <c r="E615" s="1" t="n">
        <v>46314</v>
      </c>
      <c r="F615" t="inlineStr">
        <is>
          <t>VÄSTERBOTTENS LÄN</t>
        </is>
      </c>
      <c r="G615" t="inlineStr">
        <is>
          <t>NORDMALING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46071</v>
      </c>
      <c r="E616" s="1" t="n">
        <v>46314</v>
      </c>
      <c r="F616" t="inlineStr">
        <is>
          <t>VÄSTERBOTTENS LÄN</t>
        </is>
      </c>
      <c r="G616" t="inlineStr">
        <is>
          <t>NORDMALING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1170-2026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46135</v>
      </c>
      <c r="E617" s="1" t="n">
        <v>46314</v>
      </c>
      <c r="F617" t="inlineStr">
        <is>
          <t>VÄSTERBOTTENS LÄN</t>
        </is>
      </c>
      <c r="G617" t="inlineStr">
        <is>
          <t>NORDMALING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1299-2026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46148</v>
      </c>
      <c r="E618" s="1" t="n">
        <v>46314</v>
      </c>
      <c r="F618" t="inlineStr">
        <is>
          <t>VÄSTERBOTTENS LÄN</t>
        </is>
      </c>
      <c r="G618" t="inlineStr">
        <is>
          <t>NORDMALING</t>
        </is>
      </c>
      <c r="I618" t="n">
        <v>17.6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2026-10-19T02:06:00Z</dcterms:created>
  <dcterms:modified xmlns:dcterms="http://purl.org/dc/terms/" xmlns:xsi="http://www.w3.org/2001/XMLSchema-instance" xsi:type="dcterms:W3CDTF">2026-10-19T02:06:00Z</dcterms:modified>
</cp:coreProperties>
</file>