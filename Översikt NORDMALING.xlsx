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46200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46200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46200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46200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46200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46200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46200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46200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46200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37133-2022</t>
        </is>
      </c>
      <c r="B13" s="1" t="n">
        <v>44806</v>
      </c>
      <c r="C13" s="1" t="n">
        <v>46200</v>
      </c>
      <c r="D13" t="inlineStr">
        <is>
          <t>VÄSTERBOTTENS LÄN</t>
        </is>
      </c>
      <c r="E13" t="inlineStr">
        <is>
          <t>NORDMALING</t>
        </is>
      </c>
      <c r="G13" t="n">
        <v>17.3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Violettgrå tagellav
Bronshjon
Vedticka</t>
        </is>
      </c>
      <c r="S13">
        <f>HYPERLINK("https://klasma.github.io/Logging_2401/artfynd/A 37133-2022 artfynd.xlsx", "A 37133-2022")</f>
        <v/>
      </c>
      <c r="T13">
        <f>HYPERLINK("https://klasma.github.io/Logging_2401/kartor/A 37133-2022 karta.png", "A 37133-2022")</f>
        <v/>
      </c>
      <c r="V13">
        <f>HYPERLINK("https://klasma.github.io/Logging_2401/klagomål/A 37133-2022 FSC-klagomål.docx", "A 37133-2022")</f>
        <v/>
      </c>
      <c r="W13">
        <f>HYPERLINK("https://klasma.github.io/Logging_2401/klagomålsmail/A 37133-2022 FSC-klagomål mail.docx", "A 37133-2022")</f>
        <v/>
      </c>
      <c r="X13">
        <f>HYPERLINK("https://klasma.github.io/Logging_2401/tillsyn/A 37133-2022 tillsynsbegäran.docx", "A 37133-2022")</f>
        <v/>
      </c>
      <c r="Y13">
        <f>HYPERLINK("https://klasma.github.io/Logging_2401/tillsynsmail/A 37133-2022 tillsynsbegäran mail.docx", "A 37133-2022")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46200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46200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3</v>
      </c>
      <c r="P15" t="n">
        <v>3</v>
      </c>
      <c r="Q15" t="n">
        <v>4</v>
      </c>
      <c r="R15" s="2" t="inlineStr">
        <is>
          <t>Garnlav
Goliatmusseron
Rotfingersvamp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46200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46200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46200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46200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23753-2023</t>
        </is>
      </c>
      <c r="B20" s="1" t="n">
        <v>45077</v>
      </c>
      <c r="C20" s="1" t="n">
        <v>46200</v>
      </c>
      <c r="D20" t="inlineStr">
        <is>
          <t>VÄSTERBOTTENS LÄN</t>
        </is>
      </c>
      <c r="E20" t="inlineStr">
        <is>
          <t>NORDMALING</t>
        </is>
      </c>
      <c r="G20" t="n">
        <v>0.5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Grönfink
Gulsparv
Ladusvala</t>
        </is>
      </c>
      <c r="S20">
        <f>HYPERLINK("https://klasma.github.io/Logging_2401/artfynd/A 23753-2023 artfynd.xlsx", "A 23753-2023")</f>
        <v/>
      </c>
      <c r="T20">
        <f>HYPERLINK("https://klasma.github.io/Logging_2401/kartor/A 23753-2023 karta.png", "A 23753-2023")</f>
        <v/>
      </c>
      <c r="V20">
        <f>HYPERLINK("https://klasma.github.io/Logging_2401/klagomål/A 23753-2023 FSC-klagomål.docx", "A 23753-2023")</f>
        <v/>
      </c>
      <c r="W20">
        <f>HYPERLINK("https://klasma.github.io/Logging_2401/klagomålsmail/A 23753-2023 FSC-klagomål mail.docx", "A 23753-2023")</f>
        <v/>
      </c>
      <c r="X20">
        <f>HYPERLINK("https://klasma.github.io/Logging_2401/tillsyn/A 23753-2023 tillsynsbegäran.docx", "A 23753-2023")</f>
        <v/>
      </c>
      <c r="Y20">
        <f>HYPERLINK("https://klasma.github.io/Logging_2401/tillsynsmail/A 23753-2023 tillsynsbegäran mail.docx", "A 23753-2023")</f>
        <v/>
      </c>
      <c r="Z20">
        <f>HYPERLINK("https://klasma.github.io/Logging_2401/fåglar/A 23753-2023 prioriterade fågelarter.docx", "A 23753-2023")</f>
        <v/>
      </c>
    </row>
    <row r="21" ht="15" customHeight="1">
      <c r="A21" t="inlineStr">
        <is>
          <t>A 44987-2024</t>
        </is>
      </c>
      <c r="B21" s="1" t="n">
        <v>45575</v>
      </c>
      <c r="C21" s="1" t="n">
        <v>46200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Nordtagging
Vaddporing
Violettgrå tagellav</t>
        </is>
      </c>
      <c r="S21">
        <f>HYPERLINK("https://klasma.github.io/Logging_2401/artfynd/A 44987-2024 artfynd.xlsx", "A 44987-2024")</f>
        <v/>
      </c>
      <c r="T21">
        <f>HYPERLINK("https://klasma.github.io/Logging_2401/kartor/A 44987-2024 karta.png", "A 44987-2024")</f>
        <v/>
      </c>
      <c r="V21">
        <f>HYPERLINK("https://klasma.github.io/Logging_2401/klagomål/A 44987-2024 FSC-klagomål.docx", "A 44987-2024")</f>
        <v/>
      </c>
      <c r="W21">
        <f>HYPERLINK("https://klasma.github.io/Logging_2401/klagomålsmail/A 44987-2024 FSC-klagomål mail.docx", "A 44987-2024")</f>
        <v/>
      </c>
      <c r="X21">
        <f>HYPERLINK("https://klasma.github.io/Logging_2401/tillsyn/A 44987-2024 tillsynsbegäran.docx", "A 44987-2024")</f>
        <v/>
      </c>
      <c r="Y21">
        <f>HYPERLINK("https://klasma.github.io/Logging_2401/tillsynsmail/A 44987-2024 tillsynsbegäran mail.docx", "A 44987-2024")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46200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46200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4085-2026</t>
        </is>
      </c>
      <c r="B24" s="1" t="n">
        <v>46043</v>
      </c>
      <c r="C24" s="1" t="n">
        <v>46200</v>
      </c>
      <c r="D24" t="inlineStr">
        <is>
          <t>VÄSTERBOTTENS LÄN</t>
        </is>
      </c>
      <c r="E24" t="inlineStr">
        <is>
          <t>NORDMALING</t>
        </is>
      </c>
      <c r="G24" t="n">
        <v>33.1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Tretåig hackspett
Skinnlav</t>
        </is>
      </c>
      <c r="S24">
        <f>HYPERLINK("https://klasma.github.io/Logging_2401/artfynd/A 4085-2026 artfynd.xlsx", "A 4085-2026")</f>
        <v/>
      </c>
      <c r="T24">
        <f>HYPERLINK("https://klasma.github.io/Logging_2401/kartor/A 4085-2026 karta.png", "A 4085-2026")</f>
        <v/>
      </c>
      <c r="V24">
        <f>HYPERLINK("https://klasma.github.io/Logging_2401/klagomål/A 4085-2026 FSC-klagomål.docx", "A 4085-2026")</f>
        <v/>
      </c>
      <c r="W24">
        <f>HYPERLINK("https://klasma.github.io/Logging_2401/klagomålsmail/A 4085-2026 FSC-klagomål mail.docx", "A 4085-2026")</f>
        <v/>
      </c>
      <c r="X24">
        <f>HYPERLINK("https://klasma.github.io/Logging_2401/tillsyn/A 4085-2026 tillsynsbegäran.docx", "A 4085-2026")</f>
        <v/>
      </c>
      <c r="Y24">
        <f>HYPERLINK("https://klasma.github.io/Logging_2401/tillsynsmail/A 4085-2026 tillsynsbegäran mail.docx", "A 4085-2026")</f>
        <v/>
      </c>
      <c r="Z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s="1" t="n">
        <v>46042</v>
      </c>
      <c r="C25" s="1" t="n">
        <v>46200</v>
      </c>
      <c r="D25" t="inlineStr">
        <is>
          <t>VÄSTERBOTTENS LÄN</t>
        </is>
      </c>
      <c r="E25" t="inlineStr">
        <is>
          <t>NORDMALING</t>
        </is>
      </c>
      <c r="G25" t="n">
        <v>0.7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Garnlav
Stjärntagging
Ullticka</t>
        </is>
      </c>
      <c r="S25">
        <f>HYPERLINK("https://klasma.github.io/Logging_2401/artfynd/A 3483-2026 artfynd.xlsx", "A 3483-2026")</f>
        <v/>
      </c>
      <c r="T25">
        <f>HYPERLINK("https://klasma.github.io/Logging_2401/kartor/A 3483-2026 karta.png", "A 3483-2026")</f>
        <v/>
      </c>
      <c r="V25">
        <f>HYPERLINK("https://klasma.github.io/Logging_2401/klagomål/A 3483-2026 FSC-klagomål.docx", "A 3483-2026")</f>
        <v/>
      </c>
      <c r="W25">
        <f>HYPERLINK("https://klasma.github.io/Logging_2401/klagomålsmail/A 3483-2026 FSC-klagomål mail.docx", "A 3483-2026")</f>
        <v/>
      </c>
      <c r="X25">
        <f>HYPERLINK("https://klasma.github.io/Logging_2401/tillsyn/A 3483-2026 tillsynsbegäran.docx", "A 3483-2026")</f>
        <v/>
      </c>
      <c r="Y25">
        <f>HYPERLINK("https://klasma.github.io/Logging_2401/tillsynsmail/A 3483-2026 tillsynsbegäran mail.docx", "A 3483-2026")</f>
        <v/>
      </c>
    </row>
    <row r="26" ht="15" customHeight="1">
      <c r="A26" t="inlineStr">
        <is>
          <t>A 9012-2025</t>
        </is>
      </c>
      <c r="B26" s="1" t="n">
        <v>45713</v>
      </c>
      <c r="C26" s="1" t="n">
        <v>46200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Gråspett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46200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46200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1433-2026</t>
        </is>
      </c>
      <c r="B29" s="1" t="n">
        <v>46032</v>
      </c>
      <c r="C29" s="1" t="n">
        <v>46200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Vedticka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46200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Sävsparv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46200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46200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46200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46200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39851-2023</t>
        </is>
      </c>
      <c r="B39" s="1" t="n">
        <v>45166</v>
      </c>
      <c r="C39" s="1" t="n">
        <v>46200</v>
      </c>
      <c r="D39" t="inlineStr">
        <is>
          <t>VÄSTERBOTTENS LÄN</t>
        </is>
      </c>
      <c r="E39" t="inlineStr">
        <is>
          <t>NORDMALING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39851-2023 artfynd.xlsx", "A 39851-2023")</f>
        <v/>
      </c>
      <c r="T39">
        <f>HYPERLINK("https://klasma.github.io/Logging_2401/kartor/A 39851-2023 karta.png", "A 39851-2023")</f>
        <v/>
      </c>
      <c r="V39">
        <f>HYPERLINK("https://klasma.github.io/Logging_2401/klagomål/A 39851-2023 FSC-klagomål.docx", "A 39851-2023")</f>
        <v/>
      </c>
      <c r="W39">
        <f>HYPERLINK("https://klasma.github.io/Logging_2401/klagomålsmail/A 39851-2023 FSC-klagomål mail.docx", "A 39851-2023")</f>
        <v/>
      </c>
      <c r="X39">
        <f>HYPERLINK("https://klasma.github.io/Logging_2401/tillsyn/A 39851-2023 tillsynsbegäran.docx", "A 39851-2023")</f>
        <v/>
      </c>
      <c r="Y39">
        <f>HYPERLINK("https://klasma.github.io/Logging_2401/tillsynsmail/A 39851-2023 tillsynsbegäran mail.docx", "A 39851-2023")</f>
        <v/>
      </c>
      <c r="Z39">
        <f>HYPERLINK("https://klasma.github.io/Logging_2401/fåglar/A 39851-2023 prioriterade fågelarter.docx", "A 39851-2023")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46200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6993-2024</t>
        </is>
      </c>
      <c r="B41" s="1" t="n">
        <v>45343</v>
      </c>
      <c r="C41" s="1" t="n">
        <v>46200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23.2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HYPERLINK("https://klasma.github.io/Logging_2401/artfynd/A 6993-2024 artfynd.xlsx", "A 6993-2024")</f>
        <v/>
      </c>
      <c r="T41">
        <f>HYPERLINK("https://klasma.github.io/Logging_2401/kartor/A 6993-2024 karta.png", "A 6993-2024")</f>
        <v/>
      </c>
      <c r="V41">
        <f>HYPERLINK("https://klasma.github.io/Logging_2401/klagomål/A 6993-2024 FSC-klagomål.docx", "A 6993-2024")</f>
        <v/>
      </c>
      <c r="W41">
        <f>HYPERLINK("https://klasma.github.io/Logging_2401/klagomålsmail/A 6993-2024 FSC-klagomål mail.docx", "A 6993-2024")</f>
        <v/>
      </c>
      <c r="X41">
        <f>HYPERLINK("https://klasma.github.io/Logging_2401/tillsyn/A 6993-2024 tillsynsbegäran.docx", "A 6993-2024")</f>
        <v/>
      </c>
      <c r="Y41">
        <f>HYPERLINK("https://klasma.github.io/Logging_2401/tillsynsmail/A 6993-2024 tillsynsbegäran mail.docx", "A 6993-2024")</f>
        <v/>
      </c>
    </row>
    <row r="42" ht="15" customHeight="1">
      <c r="A42" t="inlineStr">
        <is>
          <t>A 61149-2022</t>
        </is>
      </c>
      <c r="B42" s="1" t="n">
        <v>44908</v>
      </c>
      <c r="C42" s="1" t="n">
        <v>46200</v>
      </c>
      <c r="D42" t="inlineStr">
        <is>
          <t>VÄSTERBOTTENS LÄN</t>
        </is>
      </c>
      <c r="E42" t="inlineStr">
        <is>
          <t>NORDMALING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Fiskgjuse</t>
        </is>
      </c>
      <c r="S42">
        <f>HYPERLINK("https://klasma.github.io/Logging_2401/artfynd/A 61149-2022 artfynd.xlsx", "A 61149-2022")</f>
        <v/>
      </c>
      <c r="T42">
        <f>HYPERLINK("https://klasma.github.io/Logging_2401/kartor/A 61149-2022 karta.png", "A 61149-2022")</f>
        <v/>
      </c>
      <c r="V42">
        <f>HYPERLINK("https://klasma.github.io/Logging_2401/klagomål/A 61149-2022 FSC-klagomål.docx", "A 61149-2022")</f>
        <v/>
      </c>
      <c r="W42">
        <f>HYPERLINK("https://klasma.github.io/Logging_2401/klagomålsmail/A 61149-2022 FSC-klagomål mail.docx", "A 61149-2022")</f>
        <v/>
      </c>
      <c r="X42">
        <f>HYPERLINK("https://klasma.github.io/Logging_2401/tillsyn/A 61149-2022 tillsynsbegäran.docx", "A 61149-2022")</f>
        <v/>
      </c>
      <c r="Y42">
        <f>HYPERLINK("https://klasma.github.io/Logging_2401/tillsynsmail/A 61149-2022 tillsynsbegäran mail.docx", "A 61149-2022")</f>
        <v/>
      </c>
      <c r="Z42">
        <f>HYPERLINK("https://klasma.github.io/Logging_2401/fåglar/A 61149-2022 prioriterade fågelarter.docx", "A 61149-2022")</f>
        <v/>
      </c>
    </row>
    <row r="43" ht="15" customHeight="1">
      <c r="A43" t="inlineStr">
        <is>
          <t>A 43783-2024</t>
        </is>
      </c>
      <c r="B43" s="1" t="n">
        <v>45570</v>
      </c>
      <c r="C43" s="1" t="n">
        <v>46200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HYPERLINK("https://klasma.github.io/Logging_2401/artfynd/A 43783-2024 artfynd.xlsx", "A 43783-2024")</f>
        <v/>
      </c>
      <c r="T43">
        <f>HYPERLINK("https://klasma.github.io/Logging_2401/kartor/A 43783-2024 karta.png", "A 43783-2024")</f>
        <v/>
      </c>
      <c r="V43">
        <f>HYPERLINK("https://klasma.github.io/Logging_2401/klagomål/A 43783-2024 FSC-klagomål.docx", "A 43783-2024")</f>
        <v/>
      </c>
      <c r="W43">
        <f>HYPERLINK("https://klasma.github.io/Logging_2401/klagomålsmail/A 43783-2024 FSC-klagomål mail.docx", "A 43783-2024")</f>
        <v/>
      </c>
      <c r="X43">
        <f>HYPERLINK("https://klasma.github.io/Logging_2401/tillsyn/A 43783-2024 tillsynsbegäran.docx", "A 43783-2024")</f>
        <v/>
      </c>
      <c r="Y43">
        <f>HYPERLINK("https://klasma.github.io/Logging_2401/tillsynsmail/A 43783-2024 tillsynsbegäran mail.docx", "A 43783-2024")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46200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29323-2025</t>
        </is>
      </c>
      <c r="B45" s="1" t="n">
        <v>45824</v>
      </c>
      <c r="C45" s="1" t="n">
        <v>46200</v>
      </c>
      <c r="D45" t="inlineStr">
        <is>
          <t>VÄSTERBOTTENS LÄN</t>
        </is>
      </c>
      <c r="E45" t="inlineStr">
        <is>
          <t>NORDMALING</t>
        </is>
      </c>
      <c r="G45" t="n">
        <v>2.9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Garnlav</t>
        </is>
      </c>
      <c r="S45">
        <f>HYPERLINK("https://klasma.github.io/Logging_2401/artfynd/A 29323-2025 artfynd.xlsx", "A 29323-2025")</f>
        <v/>
      </c>
      <c r="T45">
        <f>HYPERLINK("https://klasma.github.io/Logging_2401/kartor/A 29323-2025 karta.png", "A 29323-2025")</f>
        <v/>
      </c>
      <c r="V45">
        <f>HYPERLINK("https://klasma.github.io/Logging_2401/klagomål/A 29323-2025 FSC-klagomål.docx", "A 29323-2025")</f>
        <v/>
      </c>
      <c r="W45">
        <f>HYPERLINK("https://klasma.github.io/Logging_2401/klagomålsmail/A 29323-2025 FSC-klagomål mail.docx", "A 29323-2025")</f>
        <v/>
      </c>
      <c r="X45">
        <f>HYPERLINK("https://klasma.github.io/Logging_2401/tillsyn/A 29323-2025 tillsynsbegäran.docx", "A 29323-2025")</f>
        <v/>
      </c>
      <c r="Y45">
        <f>HYPERLINK("https://klasma.github.io/Logging_2401/tillsynsmail/A 29323-2025 tillsynsbegäran mail.docx", "A 29323-2025")</f>
        <v/>
      </c>
    </row>
    <row r="46" ht="15" customHeight="1">
      <c r="A46" t="inlineStr">
        <is>
          <t>A 35292-2023</t>
        </is>
      </c>
      <c r="B46" s="1" t="n">
        <v>45145</v>
      </c>
      <c r="C46" s="1" t="n">
        <v>46200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HYPERLINK("https://klasma.github.io/Logging_2401/artfynd/A 35292-2023 artfynd.xlsx", "A 35292-2023")</f>
        <v/>
      </c>
      <c r="T46">
        <f>HYPERLINK("https://klasma.github.io/Logging_2401/kartor/A 35292-2023 karta.png", "A 35292-2023")</f>
        <v/>
      </c>
      <c r="V46">
        <f>HYPERLINK("https://klasma.github.io/Logging_2401/klagomål/A 35292-2023 FSC-klagomål.docx", "A 35292-2023")</f>
        <v/>
      </c>
      <c r="W46">
        <f>HYPERLINK("https://klasma.github.io/Logging_2401/klagomålsmail/A 35292-2023 FSC-klagomål mail.docx", "A 35292-2023")</f>
        <v/>
      </c>
      <c r="X46">
        <f>HYPERLINK("https://klasma.github.io/Logging_2401/tillsyn/A 35292-2023 tillsynsbegäran.docx", "A 35292-2023")</f>
        <v/>
      </c>
      <c r="Y46">
        <f>HYPERLINK("https://klasma.github.io/Logging_2401/tillsynsmail/A 35292-2023 tillsynsbegäran mail.docx", "A 35292-2023")</f>
        <v/>
      </c>
    </row>
    <row r="47" ht="15" customHeight="1">
      <c r="A47" t="inlineStr">
        <is>
          <t>A 72873-2021</t>
        </is>
      </c>
      <c r="B47" s="1" t="n">
        <v>44547</v>
      </c>
      <c r="C47" s="1" t="n">
        <v>46200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HYPERLINK("https://klasma.github.io/Logging_2401/artfynd/A 72873-2021 artfynd.xlsx", "A 72873-2021")</f>
        <v/>
      </c>
      <c r="T47">
        <f>HYPERLINK("https://klasma.github.io/Logging_2401/kartor/A 72873-2021 karta.png", "A 72873-2021")</f>
        <v/>
      </c>
      <c r="V47">
        <f>HYPERLINK("https://klasma.github.io/Logging_2401/klagomål/A 72873-2021 FSC-klagomål.docx", "A 72873-2021")</f>
        <v/>
      </c>
      <c r="W47">
        <f>HYPERLINK("https://klasma.github.io/Logging_2401/klagomålsmail/A 72873-2021 FSC-klagomål mail.docx", "A 72873-2021")</f>
        <v/>
      </c>
      <c r="X47">
        <f>HYPERLINK("https://klasma.github.io/Logging_2401/tillsyn/A 72873-2021 tillsynsbegäran.docx", "A 72873-2021")</f>
        <v/>
      </c>
      <c r="Y47">
        <f>HYPERLINK("https://klasma.github.io/Logging_2401/tillsynsmail/A 72873-2021 tillsynsbegäran mail.docx", "A 72873-2021")</f>
        <v/>
      </c>
    </row>
    <row r="48" ht="15" customHeight="1">
      <c r="A48" t="inlineStr">
        <is>
          <t>A 54893-2024</t>
        </is>
      </c>
      <c r="B48" s="1" t="n">
        <v>45618</v>
      </c>
      <c r="C48" s="1" t="n">
        <v>46200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54893-2024 artfynd.xlsx", "A 54893-2024")</f>
        <v/>
      </c>
      <c r="T48">
        <f>HYPERLINK("https://klasma.github.io/Logging_2401/kartor/A 54893-2024 karta.png", "A 54893-2024")</f>
        <v/>
      </c>
      <c r="V48">
        <f>HYPERLINK("https://klasma.github.io/Logging_2401/klagomål/A 54893-2024 FSC-klagomål.docx", "A 54893-2024")</f>
        <v/>
      </c>
      <c r="W48">
        <f>HYPERLINK("https://klasma.github.io/Logging_2401/klagomålsmail/A 54893-2024 FSC-klagomål mail.docx", "A 54893-2024")</f>
        <v/>
      </c>
      <c r="X48">
        <f>HYPERLINK("https://klasma.github.io/Logging_2401/tillsyn/A 54893-2024 tillsynsbegäran.docx", "A 54893-2024")</f>
        <v/>
      </c>
      <c r="Y48">
        <f>HYPERLINK("https://klasma.github.io/Logging_2401/tillsynsmail/A 54893-2024 tillsynsbegäran mail.docx", "A 54893-2024")</f>
        <v/>
      </c>
    </row>
    <row r="49" ht="15" customHeight="1">
      <c r="A49" t="inlineStr">
        <is>
          <t>A 33496-2022</t>
        </is>
      </c>
      <c r="B49" s="1" t="n">
        <v>44788</v>
      </c>
      <c r="C49" s="1" t="n">
        <v>46200</v>
      </c>
      <c r="D49" t="inlineStr">
        <is>
          <t>VÄSTERBOTTENS LÄN</t>
        </is>
      </c>
      <c r="E49" t="inlineStr">
        <is>
          <t>NORDMALING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Buskskvätta</t>
        </is>
      </c>
      <c r="S49">
        <f>HYPERLINK("https://klasma.github.io/Logging_2401/artfynd/A 33496-2022 artfynd.xlsx", "A 33496-2022")</f>
        <v/>
      </c>
      <c r="T49">
        <f>HYPERLINK("https://klasma.github.io/Logging_2401/kartor/A 33496-2022 karta.png", "A 33496-2022")</f>
        <v/>
      </c>
      <c r="V49">
        <f>HYPERLINK("https://klasma.github.io/Logging_2401/klagomål/A 33496-2022 FSC-klagomål.docx", "A 33496-2022")</f>
        <v/>
      </c>
      <c r="W49">
        <f>HYPERLINK("https://klasma.github.io/Logging_2401/klagomålsmail/A 33496-2022 FSC-klagomål mail.docx", "A 33496-2022")</f>
        <v/>
      </c>
      <c r="X49">
        <f>HYPERLINK("https://klasma.github.io/Logging_2401/tillsyn/A 33496-2022 tillsynsbegäran.docx", "A 33496-2022")</f>
        <v/>
      </c>
      <c r="Y49">
        <f>HYPERLINK("https://klasma.github.io/Logging_2401/tillsynsmail/A 33496-2022 tillsynsbegäran mail.docx", "A 33496-2022")</f>
        <v/>
      </c>
    </row>
    <row r="50" ht="15" customHeight="1">
      <c r="A50" t="inlineStr">
        <is>
          <t>A 61867-2024</t>
        </is>
      </c>
      <c r="B50" s="1" t="n">
        <v>45651</v>
      </c>
      <c r="C50" s="1" t="n">
        <v>46200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HYPERLINK("https://klasma.github.io/Logging_2401/artfynd/A 61867-2024 artfynd.xlsx", "A 61867-2024")</f>
        <v/>
      </c>
      <c r="T50">
        <f>HYPERLINK("https://klasma.github.io/Logging_2401/kartor/A 61867-2024 karta.png", "A 61867-2024")</f>
        <v/>
      </c>
      <c r="V50">
        <f>HYPERLINK("https://klasma.github.io/Logging_2401/klagomål/A 61867-2024 FSC-klagomål.docx", "A 61867-2024")</f>
        <v/>
      </c>
      <c r="W50">
        <f>HYPERLINK("https://klasma.github.io/Logging_2401/klagomålsmail/A 61867-2024 FSC-klagomål mail.docx", "A 61867-2024")</f>
        <v/>
      </c>
      <c r="X50">
        <f>HYPERLINK("https://klasma.github.io/Logging_2401/tillsyn/A 61867-2024 tillsynsbegäran.docx", "A 61867-2024")</f>
        <v/>
      </c>
      <c r="Y50">
        <f>HYPERLINK("https://klasma.github.io/Logging_2401/tillsynsmail/A 61867-2024 tillsynsbegäran mail.docx", "A 61867-2024")</f>
        <v/>
      </c>
    </row>
    <row r="51" ht="15" customHeight="1">
      <c r="A51" t="inlineStr">
        <is>
          <t>A 48999-2025</t>
        </is>
      </c>
      <c r="B51" s="1" t="n">
        <v>45937</v>
      </c>
      <c r="C51" s="1" t="n">
        <v>46200</v>
      </c>
      <c r="D51" t="inlineStr">
        <is>
          <t>VÄSTERBOTTENS LÄN</t>
        </is>
      </c>
      <c r="E51" t="inlineStr">
        <is>
          <t>NORDMALING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48999-2025 artfynd.xlsx", "A 48999-2025")</f>
        <v/>
      </c>
      <c r="T51">
        <f>HYPERLINK("https://klasma.github.io/Logging_2401/kartor/A 48999-2025 karta.png", "A 48999-2025")</f>
        <v/>
      </c>
      <c r="V51">
        <f>HYPERLINK("https://klasma.github.io/Logging_2401/klagomål/A 48999-2025 FSC-klagomål.docx", "A 48999-2025")</f>
        <v/>
      </c>
      <c r="W51">
        <f>HYPERLINK("https://klasma.github.io/Logging_2401/klagomålsmail/A 48999-2025 FSC-klagomål mail.docx", "A 48999-2025")</f>
        <v/>
      </c>
      <c r="X51">
        <f>HYPERLINK("https://klasma.github.io/Logging_2401/tillsyn/A 48999-2025 tillsynsbegäran.docx", "A 48999-2025")</f>
        <v/>
      </c>
      <c r="Y51">
        <f>HYPERLINK("https://klasma.github.io/Logging_2401/tillsynsmail/A 48999-2025 tillsynsbegäran mail.docx", "A 48999-2025")</f>
        <v/>
      </c>
    </row>
    <row r="52" ht="15" customHeight="1">
      <c r="A52" t="inlineStr">
        <is>
          <t>A 60773-2025</t>
        </is>
      </c>
      <c r="B52" s="1" t="n">
        <v>45999</v>
      </c>
      <c r="C52" s="1" t="n">
        <v>46200</v>
      </c>
      <c r="D52" t="inlineStr">
        <is>
          <t>VÄSTERBOTTENS LÄN</t>
        </is>
      </c>
      <c r="E52" t="inlineStr">
        <is>
          <t>NORDMALING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HYPERLINK("https://klasma.github.io/Logging_2401/artfynd/A 60773-2025 artfynd.xlsx", "A 60773-2025")</f>
        <v/>
      </c>
      <c r="T52">
        <f>HYPERLINK("https://klasma.github.io/Logging_2401/kartor/A 60773-2025 karta.png", "A 60773-2025")</f>
        <v/>
      </c>
      <c r="V52">
        <f>HYPERLINK("https://klasma.github.io/Logging_2401/klagomål/A 60773-2025 FSC-klagomål.docx", "A 60773-2025")</f>
        <v/>
      </c>
      <c r="W52">
        <f>HYPERLINK("https://klasma.github.io/Logging_2401/klagomålsmail/A 60773-2025 FSC-klagomål mail.docx", "A 60773-2025")</f>
        <v/>
      </c>
      <c r="X52">
        <f>HYPERLINK("https://klasma.github.io/Logging_2401/tillsyn/A 60773-2025 tillsynsbegäran.docx", "A 60773-2025")</f>
        <v/>
      </c>
      <c r="Y52">
        <f>HYPERLINK("https://klasma.github.io/Logging_2401/tillsynsmail/A 60773-2025 tillsynsbegäran mail.docx", "A 60773-2025")</f>
        <v/>
      </c>
    </row>
    <row r="53" ht="15" customHeight="1">
      <c r="A53" t="inlineStr">
        <is>
          <t>A 60756-2025</t>
        </is>
      </c>
      <c r="B53" s="1" t="n">
        <v>45999</v>
      </c>
      <c r="C53" s="1" t="n">
        <v>46200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HYPERLINK("https://klasma.github.io/Logging_2401/artfynd/A 60756-2025 artfynd.xlsx", "A 60756-2025")</f>
        <v/>
      </c>
      <c r="T53">
        <f>HYPERLINK("https://klasma.github.io/Logging_2401/kartor/A 60756-2025 karta.png", "A 60756-2025")</f>
        <v/>
      </c>
      <c r="V53">
        <f>HYPERLINK("https://klasma.github.io/Logging_2401/klagomål/A 60756-2025 FSC-klagomål.docx", "A 60756-2025")</f>
        <v/>
      </c>
      <c r="W53">
        <f>HYPERLINK("https://klasma.github.io/Logging_2401/klagomålsmail/A 60756-2025 FSC-klagomål mail.docx", "A 60756-2025")</f>
        <v/>
      </c>
      <c r="X53">
        <f>HYPERLINK("https://klasma.github.io/Logging_2401/tillsyn/A 60756-2025 tillsynsbegäran.docx", "A 60756-2025")</f>
        <v/>
      </c>
      <c r="Y53">
        <f>HYPERLINK("https://klasma.github.io/Logging_2401/tillsynsmail/A 60756-2025 tillsynsbegäran mail.docx", "A 60756-2025")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46200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9717-2026</t>
        </is>
      </c>
      <c r="B55" s="1" t="n">
        <v>46072</v>
      </c>
      <c r="C55" s="1" t="n">
        <v>46200</v>
      </c>
      <c r="D55" t="inlineStr">
        <is>
          <t>VÄSTERBOTTENS LÄN</t>
        </is>
      </c>
      <c r="E55" t="inlineStr">
        <is>
          <t>NORDMALING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9717-2026 artfynd.xlsx", "A 9717-2026")</f>
        <v/>
      </c>
      <c r="T55">
        <f>HYPERLINK("https://klasma.github.io/Logging_2401/kartor/A 9717-2026 karta.png", "A 9717-2026")</f>
        <v/>
      </c>
      <c r="V55">
        <f>HYPERLINK("https://klasma.github.io/Logging_2401/klagomål/A 9717-2026 FSC-klagomål.docx", "A 9717-2026")</f>
        <v/>
      </c>
      <c r="W55">
        <f>HYPERLINK("https://klasma.github.io/Logging_2401/klagomålsmail/A 9717-2026 FSC-klagomål mail.docx", "A 9717-2026")</f>
        <v/>
      </c>
      <c r="X55">
        <f>HYPERLINK("https://klasma.github.io/Logging_2401/tillsyn/A 9717-2026 tillsynsbegäran.docx", "A 9717-2026")</f>
        <v/>
      </c>
      <c r="Y55">
        <f>HYPERLINK("https://klasma.github.io/Logging_2401/tillsynsmail/A 9717-2026 tillsynsbegäran mail.docx", "A 9717-2026")</f>
        <v/>
      </c>
    </row>
    <row r="56" ht="15" customHeight="1">
      <c r="A56" t="inlineStr">
        <is>
          <t>A 18897-2026</t>
        </is>
      </c>
      <c r="B56" s="1" t="n">
        <v>46129</v>
      </c>
      <c r="C56" s="1" t="n">
        <v>46200</v>
      </c>
      <c r="D56" t="inlineStr">
        <is>
          <t>VÄSTERBOTTENS LÄN</t>
        </is>
      </c>
      <c r="E56" t="inlineStr">
        <is>
          <t>NORDMALING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HYPERLINK("https://klasma.github.io/Logging_2401/artfynd/A 18897-2026 artfynd.xlsx", "A 18897-2026")</f>
        <v/>
      </c>
      <c r="T56">
        <f>HYPERLINK("https://klasma.github.io/Logging_2401/kartor/A 18897-2026 karta.png", "A 18897-2026")</f>
        <v/>
      </c>
      <c r="V56">
        <f>HYPERLINK("https://klasma.github.io/Logging_2401/klagomål/A 18897-2026 FSC-klagomål.docx", "A 18897-2026")</f>
        <v/>
      </c>
      <c r="W56">
        <f>HYPERLINK("https://klasma.github.io/Logging_2401/klagomålsmail/A 18897-2026 FSC-klagomål mail.docx", "A 18897-2026")</f>
        <v/>
      </c>
      <c r="X56">
        <f>HYPERLINK("https://klasma.github.io/Logging_2401/tillsyn/A 18897-2026 tillsynsbegäran.docx", "A 18897-2026")</f>
        <v/>
      </c>
      <c r="Y56">
        <f>HYPERLINK("https://klasma.github.io/Logging_2401/tillsynsmail/A 18897-2026 tillsynsbegäran mail.docx", "A 18897-2026")</f>
        <v/>
      </c>
      <c r="Z56">
        <f>HYPERLINK("https://klasma.github.io/Logging_2401/fåglar/A 18897-2026 prioriterade fågelarter.docx", "A 18897-2026")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46200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46200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46200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46200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46200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46200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46200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46200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46200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46200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46200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46200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46200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46200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46200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46200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43139-2022</t>
        </is>
      </c>
      <c r="B78" s="1" t="n">
        <v>44833</v>
      </c>
      <c r="C78" s="1" t="n">
        <v>46200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</v>
      </c>
      <c r="C79" s="1" t="n">
        <v>46200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</v>
      </c>
      <c r="C80" s="1" t="n">
        <v>46200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46200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46200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58034-2021</t>
        </is>
      </c>
      <c r="B83" s="1" t="n">
        <v>44487</v>
      </c>
      <c r="C83" s="1" t="n">
        <v>46200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</v>
      </c>
      <c r="C84" s="1" t="n">
        <v>46200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46200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</v>
      </c>
      <c r="C86" s="1" t="n">
        <v>46200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</v>
      </c>
      <c r="C87" s="1" t="n">
        <v>46200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42905-2022</t>
        </is>
      </c>
      <c r="B88" s="1" t="n">
        <v>44832</v>
      </c>
      <c r="C88" s="1" t="n">
        <v>46200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</v>
      </c>
      <c r="C89" s="1" t="n">
        <v>46200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46200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46200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</v>
      </c>
      <c r="C92" s="1" t="n">
        <v>46200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54872-2021</t>
        </is>
      </c>
      <c r="B93" s="1" t="n">
        <v>44473</v>
      </c>
      <c r="C93" s="1" t="n">
        <v>46200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46200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46200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17889-2024</t>
        </is>
      </c>
      <c r="B96" s="1" t="n">
        <v>45419</v>
      </c>
      <c r="C96" s="1" t="n">
        <v>46200</v>
      </c>
      <c r="D96" t="inlineStr">
        <is>
          <t>VÄSTERBOTTENS LÄN</t>
        </is>
      </c>
      <c r="E96" t="inlineStr">
        <is>
          <t>NORDMALING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</v>
      </c>
      <c r="C97" s="1" t="n">
        <v>46200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58655-2023</t>
        </is>
      </c>
      <c r="B98" s="1" t="n">
        <v>45247</v>
      </c>
      <c r="C98" s="1" t="n">
        <v>46200</v>
      </c>
      <c r="D98" t="inlineStr">
        <is>
          <t>VÄSTERBOTTENS LÄN</t>
        </is>
      </c>
      <c r="E98" t="inlineStr">
        <is>
          <t>NORDMALING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48178-2024</t>
        </is>
      </c>
      <c r="B99" s="1" t="n">
        <v>45589</v>
      </c>
      <c r="C99" s="1" t="n">
        <v>46200</v>
      </c>
      <c r="D99" t="inlineStr">
        <is>
          <t>VÄSTERBOTTENS LÄN</t>
        </is>
      </c>
      <c r="E99" t="inlineStr">
        <is>
          <t>NORDMALING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</v>
      </c>
      <c r="C100" s="1" t="n">
        <v>46200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46200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</v>
      </c>
      <c r="C102" s="1" t="n">
        <v>46200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46200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</v>
      </c>
      <c r="C104" s="1" t="n">
        <v>46200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59389-2022</t>
        </is>
      </c>
      <c r="B105" s="1" t="n">
        <v>44905</v>
      </c>
      <c r="C105" s="1" t="n">
        <v>46200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22618-2024</t>
        </is>
      </c>
      <c r="B106" s="1" t="n">
        <v>45447</v>
      </c>
      <c r="C106" s="1" t="n">
        <v>46200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22004-2024</t>
        </is>
      </c>
      <c r="B107" s="1" t="n">
        <v>45443</v>
      </c>
      <c r="C107" s="1" t="n">
        <v>46200</v>
      </c>
      <c r="D107" t="inlineStr">
        <is>
          <t>VÄSTERBOTTENS LÄN</t>
        </is>
      </c>
      <c r="E107" t="inlineStr">
        <is>
          <t>NORDMALING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47063-2024</t>
        </is>
      </c>
      <c r="B108" s="1" t="n">
        <v>45586</v>
      </c>
      <c r="C108" s="1" t="n">
        <v>46200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</v>
      </c>
      <c r="C109" s="1" t="n">
        <v>46200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</v>
      </c>
      <c r="C110" s="1" t="n">
        <v>46200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502-2025</t>
        </is>
      </c>
      <c r="B111" s="1" t="n">
        <v>45664</v>
      </c>
      <c r="C111" s="1" t="n">
        <v>46200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44012-2023</t>
        </is>
      </c>
      <c r="B112" s="1" t="n">
        <v>45182</v>
      </c>
      <c r="C112" s="1" t="n">
        <v>46200</v>
      </c>
      <c r="D112" t="inlineStr">
        <is>
          <t>VÄSTERBOTTENS LÄN</t>
        </is>
      </c>
      <c r="E112" t="inlineStr">
        <is>
          <t>NORDMALING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34901-2023</t>
        </is>
      </c>
      <c r="B113" s="1" t="n">
        <v>45141</v>
      </c>
      <c r="C113" s="1" t="n">
        <v>46200</v>
      </c>
      <c r="D113" t="inlineStr">
        <is>
          <t>VÄSTERBOTTENS LÄN</t>
        </is>
      </c>
      <c r="E113" t="inlineStr">
        <is>
          <t>NORDMALING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34905-2023</t>
        </is>
      </c>
      <c r="B114" s="1" t="n">
        <v>45141</v>
      </c>
      <c r="C114" s="1" t="n">
        <v>46200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46200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48234-2024</t>
        </is>
      </c>
      <c r="B116" s="1" t="n">
        <v>45590</v>
      </c>
      <c r="C116" s="1" t="n">
        <v>46200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61657-2022</t>
        </is>
      </c>
      <c r="B117" s="1" t="n">
        <v>44916</v>
      </c>
      <c r="C117" s="1" t="n">
        <v>46200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48946-2023</t>
        </is>
      </c>
      <c r="B118" s="1" t="n">
        <v>45204</v>
      </c>
      <c r="C118" s="1" t="n">
        <v>46200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15750-2023</t>
        </is>
      </c>
      <c r="B119" s="1" t="n">
        <v>45021</v>
      </c>
      <c r="C119" s="1" t="n">
        <v>46200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17462-2023</t>
        </is>
      </c>
      <c r="B120" s="1" t="n">
        <v>45034</v>
      </c>
      <c r="C120" s="1" t="n">
        <v>46200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65688-2021</t>
        </is>
      </c>
      <c r="B121" s="1" t="n">
        <v>44515</v>
      </c>
      <c r="C121" s="1" t="n">
        <v>46200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9993-2022</t>
        </is>
      </c>
      <c r="B122" s="1" t="n">
        <v>44621</v>
      </c>
      <c r="C122" s="1" t="n">
        <v>46200</v>
      </c>
      <c r="D122" t="inlineStr">
        <is>
          <t>VÄSTERBOTTENS LÄN</t>
        </is>
      </c>
      <c r="E122" t="inlineStr">
        <is>
          <t>NORDMALING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878-2025</t>
        </is>
      </c>
      <c r="B123" s="1" t="n">
        <v>45665</v>
      </c>
      <c r="C123" s="1" t="n">
        <v>46200</v>
      </c>
      <c r="D123" t="inlineStr">
        <is>
          <t>VÄSTERBOTTENS LÄN</t>
        </is>
      </c>
      <c r="E123" t="inlineStr">
        <is>
          <t>NORDMALING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64498-2023</t>
        </is>
      </c>
      <c r="B124" s="1" t="n">
        <v>45280</v>
      </c>
      <c r="C124" s="1" t="n">
        <v>46200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52149-2024</t>
        </is>
      </c>
      <c r="B125" s="1" t="n">
        <v>45608</v>
      </c>
      <c r="C125" s="1" t="n">
        <v>46200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</v>
      </c>
      <c r="C126" s="1" t="n">
        <v>46200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3456-2023</t>
        </is>
      </c>
      <c r="B127" s="1" t="n">
        <v>44949</v>
      </c>
      <c r="C127" s="1" t="n">
        <v>46200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19300-2023</t>
        </is>
      </c>
      <c r="B128" s="1" t="n">
        <v>45049</v>
      </c>
      <c r="C128" s="1" t="n">
        <v>46200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24415-2024</t>
        </is>
      </c>
      <c r="B129" s="1" t="n">
        <v>45457</v>
      </c>
      <c r="C129" s="1" t="n">
        <v>46200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62203-2022</t>
        </is>
      </c>
      <c r="B130" s="1" t="n">
        <v>44922</v>
      </c>
      <c r="C130" s="1" t="n">
        <v>46200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26930-2024</t>
        </is>
      </c>
      <c r="B131" s="1" t="n">
        <v>45470</v>
      </c>
      <c r="C131" s="1" t="n">
        <v>46200</v>
      </c>
      <c r="D131" t="inlineStr">
        <is>
          <t>VÄSTERBOTTENS LÄN</t>
        </is>
      </c>
      <c r="E131" t="inlineStr">
        <is>
          <t>NORDMALING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11053-2023</t>
        </is>
      </c>
      <c r="B132" s="1" t="n">
        <v>44991</v>
      </c>
      <c r="C132" s="1" t="n">
        <v>46200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37548-2023</t>
        </is>
      </c>
      <c r="B133" s="1" t="n">
        <v>45158</v>
      </c>
      <c r="C133" s="1" t="n">
        <v>46200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5083-2025</t>
        </is>
      </c>
      <c r="B134" s="1" t="n">
        <v>45691</v>
      </c>
      <c r="C134" s="1" t="n">
        <v>46200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16455-2024</t>
        </is>
      </c>
      <c r="B135" s="1" t="n">
        <v>45407</v>
      </c>
      <c r="C135" s="1" t="n">
        <v>46200</v>
      </c>
      <c r="D135" t="inlineStr">
        <is>
          <t>VÄSTERBOTTENS LÄN</t>
        </is>
      </c>
      <c r="E135" t="inlineStr">
        <is>
          <t>NORDMALING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14519-2023</t>
        </is>
      </c>
      <c r="B136" s="1" t="n">
        <v>45012</v>
      </c>
      <c r="C136" s="1" t="n">
        <v>46200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62119-2022</t>
        </is>
      </c>
      <c r="B137" s="1" t="n">
        <v>44921</v>
      </c>
      <c r="C137" s="1" t="n">
        <v>46200</v>
      </c>
      <c r="D137" t="inlineStr">
        <is>
          <t>VÄSTERBOTTENS LÄN</t>
        </is>
      </c>
      <c r="E137" t="inlineStr">
        <is>
          <t>NORDMALING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14540-2022</t>
        </is>
      </c>
      <c r="B138" s="1" t="n">
        <v>44655</v>
      </c>
      <c r="C138" s="1" t="n">
        <v>46200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4496-2024</t>
        </is>
      </c>
      <c r="B139" s="1" t="n">
        <v>45327</v>
      </c>
      <c r="C139" s="1" t="n">
        <v>46200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26197-2022</t>
        </is>
      </c>
      <c r="B140" s="1" t="n">
        <v>44735</v>
      </c>
      <c r="C140" s="1" t="n">
        <v>46200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</v>
      </c>
      <c r="C141" s="1" t="n">
        <v>46200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46200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</v>
      </c>
      <c r="C143" s="1" t="n">
        <v>46200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53889-2024</t>
        </is>
      </c>
      <c r="B144" s="1" t="n">
        <v>45615</v>
      </c>
      <c r="C144" s="1" t="n">
        <v>46200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41025-2023</t>
        </is>
      </c>
      <c r="B145" s="1" t="n">
        <v>45173</v>
      </c>
      <c r="C145" s="1" t="n">
        <v>46200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15986-2023</t>
        </is>
      </c>
      <c r="B146" s="1" t="n">
        <v>45022</v>
      </c>
      <c r="C146" s="1" t="n">
        <v>46200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17502-2025</t>
        </is>
      </c>
      <c r="B147" s="1" t="n">
        <v>45757</v>
      </c>
      <c r="C147" s="1" t="n">
        <v>46200</v>
      </c>
      <c r="D147" t="inlineStr">
        <is>
          <t>VÄSTERBOTTENS LÄN</t>
        </is>
      </c>
      <c r="E147" t="inlineStr">
        <is>
          <t>NORDMALING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18639-2022</t>
        </is>
      </c>
      <c r="B148" s="1" t="n">
        <v>44687</v>
      </c>
      <c r="C148" s="1" t="n">
        <v>46200</v>
      </c>
      <c r="D148" t="inlineStr">
        <is>
          <t>VÄSTERBOTTENS LÄN</t>
        </is>
      </c>
      <c r="E148" t="inlineStr">
        <is>
          <t>NORDMALING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42320-2024</t>
        </is>
      </c>
      <c r="B149" s="1" t="n">
        <v>45562</v>
      </c>
      <c r="C149" s="1" t="n">
        <v>46200</v>
      </c>
      <c r="D149" t="inlineStr">
        <is>
          <t>VÄSTERBOTTENS LÄN</t>
        </is>
      </c>
      <c r="E149" t="inlineStr">
        <is>
          <t>NORDMALING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46200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34184-2023</t>
        </is>
      </c>
      <c r="B151" s="1" t="n">
        <v>45126</v>
      </c>
      <c r="C151" s="1" t="n">
        <v>46200</v>
      </c>
      <c r="D151" t="inlineStr">
        <is>
          <t>VÄSTERBOTTENS LÄN</t>
        </is>
      </c>
      <c r="E151" t="inlineStr">
        <is>
          <t>NORDMALING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72841-2021</t>
        </is>
      </c>
      <c r="B152" s="1" t="n">
        <v>44547</v>
      </c>
      <c r="C152" s="1" t="n">
        <v>46200</v>
      </c>
      <c r="D152" t="inlineStr">
        <is>
          <t>VÄSTERBOTTENS LÄN</t>
        </is>
      </c>
      <c r="E152" t="inlineStr">
        <is>
          <t>NORDMALING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59913-2022</t>
        </is>
      </c>
      <c r="B153" s="1" t="n">
        <v>44908</v>
      </c>
      <c r="C153" s="1" t="n">
        <v>46200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19516-2025</t>
        </is>
      </c>
      <c r="B154" s="1" t="n">
        <v>45770</v>
      </c>
      <c r="C154" s="1" t="n">
        <v>46200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7618-2024</t>
        </is>
      </c>
      <c r="B155" s="1" t="n">
        <v>45348</v>
      </c>
      <c r="C155" s="1" t="n">
        <v>46200</v>
      </c>
      <c r="D155" t="inlineStr">
        <is>
          <t>VÄSTERBOTTENS LÄN</t>
        </is>
      </c>
      <c r="E155" t="inlineStr">
        <is>
          <t>NORDMALING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5258-2024</t>
        </is>
      </c>
      <c r="B156" s="1" t="n">
        <v>45330</v>
      </c>
      <c r="C156" s="1" t="n">
        <v>46200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48945-2022</t>
        </is>
      </c>
      <c r="B157" s="1" t="n">
        <v>44859</v>
      </c>
      <c r="C157" s="1" t="n">
        <v>46200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27372-2023</t>
        </is>
      </c>
      <c r="B158" s="1" t="n">
        <v>45096</v>
      </c>
      <c r="C158" s="1" t="n">
        <v>46200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46200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47777-2022</t>
        </is>
      </c>
      <c r="B160" s="1" t="n">
        <v>44854</v>
      </c>
      <c r="C160" s="1" t="n">
        <v>46200</v>
      </c>
      <c r="D160" t="inlineStr">
        <is>
          <t>VÄSTERBOTTENS LÄN</t>
        </is>
      </c>
      <c r="E160" t="inlineStr">
        <is>
          <t>NORDMALING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34904-2023</t>
        </is>
      </c>
      <c r="B161" s="1" t="n">
        <v>45141</v>
      </c>
      <c r="C161" s="1" t="n">
        <v>46200</v>
      </c>
      <c r="D161" t="inlineStr">
        <is>
          <t>VÄSTERBOTTENS LÄN</t>
        </is>
      </c>
      <c r="E161" t="inlineStr">
        <is>
          <t>NORDMALING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20133-2023</t>
        </is>
      </c>
      <c r="B162" s="1" t="n">
        <v>45051</v>
      </c>
      <c r="C162" s="1" t="n">
        <v>46200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34485-2023</t>
        </is>
      </c>
      <c r="B163" s="1" t="n">
        <v>45139</v>
      </c>
      <c r="C163" s="1" t="n">
        <v>46200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43541-2024</t>
        </is>
      </c>
      <c r="B164" s="1" t="n">
        <v>45569</v>
      </c>
      <c r="C164" s="1" t="n">
        <v>46200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8759-2025</t>
        </is>
      </c>
      <c r="B165" s="1" t="n">
        <v>45712</v>
      </c>
      <c r="C165" s="1" t="n">
        <v>46200</v>
      </c>
      <c r="D165" t="inlineStr">
        <is>
          <t>VÄSTERBOTTENS LÄN</t>
        </is>
      </c>
      <c r="E165" t="inlineStr">
        <is>
          <t>NORDMALING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49417-2022</t>
        </is>
      </c>
      <c r="B166" s="1" t="n">
        <v>44859</v>
      </c>
      <c r="C166" s="1" t="n">
        <v>46200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9015-2025</t>
        </is>
      </c>
      <c r="B167" s="1" t="n">
        <v>45713</v>
      </c>
      <c r="C167" s="1" t="n">
        <v>46200</v>
      </c>
      <c r="D167" t="inlineStr">
        <is>
          <t>VÄSTERBOTTENS LÄN</t>
        </is>
      </c>
      <c r="E167" t="inlineStr">
        <is>
          <t>NORDMALING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56277-2023</t>
        </is>
      </c>
      <c r="B168" s="1" t="n">
        <v>45241</v>
      </c>
      <c r="C168" s="1" t="n">
        <v>46200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8173-2022</t>
        </is>
      </c>
      <c r="B169" s="1" t="n">
        <v>44609</v>
      </c>
      <c r="C169" s="1" t="n">
        <v>46200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35650-2023</t>
        </is>
      </c>
      <c r="B170" s="1" t="n">
        <v>45147</v>
      </c>
      <c r="C170" s="1" t="n">
        <v>46200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46200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7007-2024</t>
        </is>
      </c>
      <c r="B172" s="1" t="n">
        <v>45343</v>
      </c>
      <c r="C172" s="1" t="n">
        <v>46200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46200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</v>
      </c>
      <c r="C174" s="1" t="n">
        <v>46200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14689-2025</t>
        </is>
      </c>
      <c r="B175" s="1" t="n">
        <v>45742</v>
      </c>
      <c r="C175" s="1" t="n">
        <v>46200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46625-2024</t>
        </is>
      </c>
      <c r="B176" s="1" t="n">
        <v>45583</v>
      </c>
      <c r="C176" s="1" t="n">
        <v>46200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55198-2022</t>
        </is>
      </c>
      <c r="B177" s="1" t="n">
        <v>44886</v>
      </c>
      <c r="C177" s="1" t="n">
        <v>46200</v>
      </c>
      <c r="D177" t="inlineStr">
        <is>
          <t>VÄSTERBOTTENS LÄN</t>
        </is>
      </c>
      <c r="E177" t="inlineStr">
        <is>
          <t>NORDMALING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21862-2024</t>
        </is>
      </c>
      <c r="B178" s="1" t="n">
        <v>45443</v>
      </c>
      <c r="C178" s="1" t="n">
        <v>46200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43367-2022</t>
        </is>
      </c>
      <c r="B179" s="1" t="n">
        <v>44834</v>
      </c>
      <c r="C179" s="1" t="n">
        <v>46200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20479-2025</t>
        </is>
      </c>
      <c r="B180" s="1" t="n">
        <v>45775</v>
      </c>
      <c r="C180" s="1" t="n">
        <v>46200</v>
      </c>
      <c r="D180" t="inlineStr">
        <is>
          <t>VÄSTERBOTTENS LÄN</t>
        </is>
      </c>
      <c r="E180" t="inlineStr">
        <is>
          <t>NORDMALING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20481-2025</t>
        </is>
      </c>
      <c r="B181" s="1" t="n">
        <v>45775</v>
      </c>
      <c r="C181" s="1" t="n">
        <v>46200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2251-2025</t>
        </is>
      </c>
      <c r="B182" s="1" t="n">
        <v>45673</v>
      </c>
      <c r="C182" s="1" t="n">
        <v>46200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39198-2022</t>
        </is>
      </c>
      <c r="B183" s="1" t="n">
        <v>44816</v>
      </c>
      <c r="C183" s="1" t="n">
        <v>46200</v>
      </c>
      <c r="D183" t="inlineStr">
        <is>
          <t>VÄSTERBOTTENS LÄN</t>
        </is>
      </c>
      <c r="E183" t="inlineStr">
        <is>
          <t>NORDMALING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9541-2023</t>
        </is>
      </c>
      <c r="B184" s="1" t="n">
        <v>44981</v>
      </c>
      <c r="C184" s="1" t="n">
        <v>46200</v>
      </c>
      <c r="D184" t="inlineStr">
        <is>
          <t>VÄSTERBOTTENS LÄN</t>
        </is>
      </c>
      <c r="E184" t="inlineStr">
        <is>
          <t>NORDMALING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59486-2024</t>
        </is>
      </c>
      <c r="B185" s="1" t="n">
        <v>45638</v>
      </c>
      <c r="C185" s="1" t="n">
        <v>46200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7700-2024</t>
        </is>
      </c>
      <c r="B186" s="1" t="n">
        <v>45349</v>
      </c>
      <c r="C186" s="1" t="n">
        <v>46200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54138-2023</t>
        </is>
      </c>
      <c r="B187" s="1" t="n">
        <v>45232</v>
      </c>
      <c r="C187" s="1" t="n">
        <v>46200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45061-2024</t>
        </is>
      </c>
      <c r="B188" s="1" t="n">
        <v>45575</v>
      </c>
      <c r="C188" s="1" t="n">
        <v>46200</v>
      </c>
      <c r="D188" t="inlineStr">
        <is>
          <t>VÄSTERBOTTENS LÄN</t>
        </is>
      </c>
      <c r="E188" t="inlineStr">
        <is>
          <t>NORDMALING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36429-2024</t>
        </is>
      </c>
      <c r="B189" s="1" t="n">
        <v>45536</v>
      </c>
      <c r="C189" s="1" t="n">
        <v>46200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31486-2024</t>
        </is>
      </c>
      <c r="B190" s="1" t="n">
        <v>45505</v>
      </c>
      <c r="C190" s="1" t="n">
        <v>46200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38285-2022</t>
        </is>
      </c>
      <c r="B191" s="1" t="n">
        <v>44812</v>
      </c>
      <c r="C191" s="1" t="n">
        <v>46200</v>
      </c>
      <c r="D191" t="inlineStr">
        <is>
          <t>VÄSTERBOTTENS LÄN</t>
        </is>
      </c>
      <c r="E191" t="inlineStr">
        <is>
          <t>NORDMALING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61283-2023</t>
        </is>
      </c>
      <c r="B192" s="1" t="n">
        <v>45264</v>
      </c>
      <c r="C192" s="1" t="n">
        <v>46200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23565-2024</t>
        </is>
      </c>
      <c r="B193" s="1" t="n">
        <v>45453</v>
      </c>
      <c r="C193" s="1" t="n">
        <v>46200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46200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30183-2024</t>
        </is>
      </c>
      <c r="B195" s="1" t="n">
        <v>45489</v>
      </c>
      <c r="C195" s="1" t="n">
        <v>46200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27383-2024</t>
        </is>
      </c>
      <c r="B196" s="1" t="n">
        <v>45473</v>
      </c>
      <c r="C196" s="1" t="n">
        <v>46200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43491-2024</t>
        </is>
      </c>
      <c r="B197" s="1" t="n">
        <v>45568</v>
      </c>
      <c r="C197" s="1" t="n">
        <v>46200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43492-2024</t>
        </is>
      </c>
      <c r="B198" s="1" t="n">
        <v>45568</v>
      </c>
      <c r="C198" s="1" t="n">
        <v>46200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69519-2021</t>
        </is>
      </c>
      <c r="B199" s="1" t="n">
        <v>44531</v>
      </c>
      <c r="C199" s="1" t="n">
        <v>46200</v>
      </c>
      <c r="D199" t="inlineStr">
        <is>
          <t>VÄSTERBOTTENS LÄN</t>
        </is>
      </c>
      <c r="E199" t="inlineStr">
        <is>
          <t>NORDMALING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6969-2024</t>
        </is>
      </c>
      <c r="B200" s="1" t="n">
        <v>45343</v>
      </c>
      <c r="C200" s="1" t="n">
        <v>46200</v>
      </c>
      <c r="D200" t="inlineStr">
        <is>
          <t>VÄSTERBOTTENS LÄN</t>
        </is>
      </c>
      <c r="E200" t="inlineStr">
        <is>
          <t>NORDMALING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47516-2024</t>
        </is>
      </c>
      <c r="B201" s="1" t="n">
        <v>45587</v>
      </c>
      <c r="C201" s="1" t="n">
        <v>46200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30438-2024</t>
        </is>
      </c>
      <c r="B202" s="1" t="n">
        <v>45491</v>
      </c>
      <c r="C202" s="1" t="n">
        <v>46200</v>
      </c>
      <c r="D202" t="inlineStr">
        <is>
          <t>VÄSTERBOTTENS LÄN</t>
        </is>
      </c>
      <c r="E202" t="inlineStr">
        <is>
          <t>NORDMALING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34176-2023</t>
        </is>
      </c>
      <c r="B203" s="1" t="n">
        <v>45126</v>
      </c>
      <c r="C203" s="1" t="n">
        <v>46200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46200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61795-2023</t>
        </is>
      </c>
      <c r="B205" s="1" t="n">
        <v>45265</v>
      </c>
      <c r="C205" s="1" t="n">
        <v>46200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42501-2023</t>
        </is>
      </c>
      <c r="B206" s="1" t="n">
        <v>45180</v>
      </c>
      <c r="C206" s="1" t="n">
        <v>46200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15808-2023</t>
        </is>
      </c>
      <c r="B207" s="1" t="n">
        <v>45021</v>
      </c>
      <c r="C207" s="1" t="n">
        <v>46200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33612-2022</t>
        </is>
      </c>
      <c r="B208" s="1" t="n">
        <v>44789</v>
      </c>
      <c r="C208" s="1" t="n">
        <v>46200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61793-2023</t>
        </is>
      </c>
      <c r="B209" s="1" t="n">
        <v>45265</v>
      </c>
      <c r="C209" s="1" t="n">
        <v>46200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8641-2023</t>
        </is>
      </c>
      <c r="B210" s="1" t="n">
        <v>44977</v>
      </c>
      <c r="C210" s="1" t="n">
        <v>46200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28443-2023</t>
        </is>
      </c>
      <c r="B211" s="1" t="n">
        <v>45102</v>
      </c>
      <c r="C211" s="1" t="n">
        <v>46200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2645-2023</t>
        </is>
      </c>
      <c r="B212" s="1" t="n">
        <v>44943</v>
      </c>
      <c r="C212" s="1" t="n">
        <v>46200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34484-2023</t>
        </is>
      </c>
      <c r="B213" s="1" t="n">
        <v>45139</v>
      </c>
      <c r="C213" s="1" t="n">
        <v>46200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44387-2023</t>
        </is>
      </c>
      <c r="B214" s="1" t="n">
        <v>45188</v>
      </c>
      <c r="C214" s="1" t="n">
        <v>46200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2925-2025</t>
        </is>
      </c>
      <c r="B215" s="1" t="n">
        <v>45678</v>
      </c>
      <c r="C215" s="1" t="n">
        <v>46200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1856-2023</t>
        </is>
      </c>
      <c r="B216" s="1" t="n">
        <v>44938</v>
      </c>
      <c r="C216" s="1" t="n">
        <v>46200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55740-2023</t>
        </is>
      </c>
      <c r="B217" s="1" t="n">
        <v>45239</v>
      </c>
      <c r="C217" s="1" t="n">
        <v>46200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7251-2024</t>
        </is>
      </c>
      <c r="B218" s="1" t="n">
        <v>45344</v>
      </c>
      <c r="C218" s="1" t="n">
        <v>46200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46200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48515-2024</t>
        </is>
      </c>
      <c r="B220" s="1" t="n">
        <v>45593</v>
      </c>
      <c r="C220" s="1" t="n">
        <v>46200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70028-2021</t>
        </is>
      </c>
      <c r="B221" s="1" t="n">
        <v>44533</v>
      </c>
      <c r="C221" s="1" t="n">
        <v>46200</v>
      </c>
      <c r="D221" t="inlineStr">
        <is>
          <t>VÄSTERBOTTENS LÄN</t>
        </is>
      </c>
      <c r="E221" t="inlineStr">
        <is>
          <t>NORDMALING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38271-2022</t>
        </is>
      </c>
      <c r="B222" s="1" t="n">
        <v>44812</v>
      </c>
      <c r="C222" s="1" t="n">
        <v>46200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8484-2023</t>
        </is>
      </c>
      <c r="B223" s="1" t="n">
        <v>44972</v>
      </c>
      <c r="C223" s="1" t="n">
        <v>46200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44942-2023</t>
        </is>
      </c>
      <c r="B224" s="1" t="n">
        <v>45187</v>
      </c>
      <c r="C224" s="1" t="n">
        <v>46200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42823-2024</t>
        </is>
      </c>
      <c r="B225" s="1" t="n">
        <v>45566</v>
      </c>
      <c r="C225" s="1" t="n">
        <v>46200</v>
      </c>
      <c r="D225" t="inlineStr">
        <is>
          <t>VÄSTERBOTTENS LÄN</t>
        </is>
      </c>
      <c r="E225" t="inlineStr">
        <is>
          <t>NORDMALING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</v>
      </c>
      <c r="C226" s="1" t="n">
        <v>46200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38274-2022</t>
        </is>
      </c>
      <c r="B227" s="1" t="n">
        <v>44812</v>
      </c>
      <c r="C227" s="1" t="n">
        <v>46200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58480-2023</t>
        </is>
      </c>
      <c r="B228" s="1" t="n">
        <v>45251</v>
      </c>
      <c r="C228" s="1" t="n">
        <v>46200</v>
      </c>
      <c r="D228" t="inlineStr">
        <is>
          <t>VÄSTERBOTTENS LÄN</t>
        </is>
      </c>
      <c r="E228" t="inlineStr">
        <is>
          <t>NORDMALING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56734-2022</t>
        </is>
      </c>
      <c r="B229" s="1" t="n">
        <v>44893</v>
      </c>
      <c r="C229" s="1" t="n">
        <v>46200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34894-2023</t>
        </is>
      </c>
      <c r="B230" s="1" t="n">
        <v>45141</v>
      </c>
      <c r="C230" s="1" t="n">
        <v>46200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20489-2025</t>
        </is>
      </c>
      <c r="B231" s="1" t="n">
        <v>45775</v>
      </c>
      <c r="C231" s="1" t="n">
        <v>46200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34489-2024</t>
        </is>
      </c>
      <c r="B232" s="1" t="n">
        <v>45525</v>
      </c>
      <c r="C232" s="1" t="n">
        <v>46200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46200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34246-2024</t>
        </is>
      </c>
      <c r="B234" s="1" t="n">
        <v>45524</v>
      </c>
      <c r="C234" s="1" t="n">
        <v>46200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57251-2023</t>
        </is>
      </c>
      <c r="B235" s="1" t="n">
        <v>45245</v>
      </c>
      <c r="C235" s="1" t="n">
        <v>46200</v>
      </c>
      <c r="D235" t="inlineStr">
        <is>
          <t>VÄSTERBOTTENS LÄN</t>
        </is>
      </c>
      <c r="E235" t="inlineStr">
        <is>
          <t>NORDMALING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24850-2023</t>
        </is>
      </c>
      <c r="B236" s="1" t="n">
        <v>45078</v>
      </c>
      <c r="C236" s="1" t="n">
        <v>46200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2260-2025</t>
        </is>
      </c>
      <c r="B237" s="1" t="n">
        <v>45673</v>
      </c>
      <c r="C237" s="1" t="n">
        <v>46200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21079-2024</t>
        </is>
      </c>
      <c r="B238" s="1" t="n">
        <v>45439</v>
      </c>
      <c r="C238" s="1" t="n">
        <v>46200</v>
      </c>
      <c r="D238" t="inlineStr">
        <is>
          <t>VÄSTERBOTTENS LÄN</t>
        </is>
      </c>
      <c r="E238" t="inlineStr">
        <is>
          <t>NORDMALING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</v>
      </c>
      <c r="C239" s="1" t="n">
        <v>46200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11651-2025</t>
        </is>
      </c>
      <c r="B240" s="1" t="n">
        <v>45727</v>
      </c>
      <c r="C240" s="1" t="n">
        <v>46200</v>
      </c>
      <c r="D240" t="inlineStr">
        <is>
          <t>VÄSTERBOTTENS LÄN</t>
        </is>
      </c>
      <c r="E240" t="inlineStr">
        <is>
          <t>NORDMALING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</v>
      </c>
      <c r="C241" s="1" t="n">
        <v>46200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19581-2024</t>
        </is>
      </c>
      <c r="B242" s="1" t="n">
        <v>45429</v>
      </c>
      <c r="C242" s="1" t="n">
        <v>46200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34492-2024</t>
        </is>
      </c>
      <c r="B243" s="1" t="n">
        <v>45525</v>
      </c>
      <c r="C243" s="1" t="n">
        <v>46200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15745-2023</t>
        </is>
      </c>
      <c r="B244" s="1" t="n">
        <v>45021</v>
      </c>
      <c r="C244" s="1" t="n">
        <v>46200</v>
      </c>
      <c r="D244" t="inlineStr">
        <is>
          <t>VÄSTERBOTTENS LÄN</t>
        </is>
      </c>
      <c r="E244" t="inlineStr">
        <is>
          <t>NORDMALING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27568-2023</t>
        </is>
      </c>
      <c r="B245" s="1" t="n">
        <v>45092</v>
      </c>
      <c r="C245" s="1" t="n">
        <v>46200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3449-2023</t>
        </is>
      </c>
      <c r="B246" s="1" t="n">
        <v>44949</v>
      </c>
      <c r="C246" s="1" t="n">
        <v>46200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55627-2023</t>
        </is>
      </c>
      <c r="B247" s="1" t="n">
        <v>45238</v>
      </c>
      <c r="C247" s="1" t="n">
        <v>46200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51695-2024</t>
        </is>
      </c>
      <c r="B248" s="1" t="n">
        <v>45607</v>
      </c>
      <c r="C248" s="1" t="n">
        <v>46200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4732-2025</t>
        </is>
      </c>
      <c r="B249" s="1" t="n">
        <v>45688</v>
      </c>
      <c r="C249" s="1" t="n">
        <v>46200</v>
      </c>
      <c r="D249" t="inlineStr">
        <is>
          <t>VÄSTERBOTTENS LÄN</t>
        </is>
      </c>
      <c r="E249" t="inlineStr">
        <is>
          <t>NORDMALING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47070-2024</t>
        </is>
      </c>
      <c r="B250" s="1" t="n">
        <v>45586</v>
      </c>
      <c r="C250" s="1" t="n">
        <v>46200</v>
      </c>
      <c r="D250" t="inlineStr">
        <is>
          <t>VÄSTERBOTTENS LÄN</t>
        </is>
      </c>
      <c r="E250" t="inlineStr">
        <is>
          <t>NORDMALING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39104-2022</t>
        </is>
      </c>
      <c r="B251" s="1" t="n">
        <v>44816</v>
      </c>
      <c r="C251" s="1" t="n">
        <v>46200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59605-2022</t>
        </is>
      </c>
      <c r="B252" s="1" t="n">
        <v>44907</v>
      </c>
      <c r="C252" s="1" t="n">
        <v>46200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55634-2023</t>
        </is>
      </c>
      <c r="B253" s="1" t="n">
        <v>45238</v>
      </c>
      <c r="C253" s="1" t="n">
        <v>46200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47635-2024</t>
        </is>
      </c>
      <c r="B254" s="1" t="n">
        <v>45588</v>
      </c>
      <c r="C254" s="1" t="n">
        <v>46200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9860-2022</t>
        </is>
      </c>
      <c r="B255" s="1" t="n">
        <v>44620</v>
      </c>
      <c r="C255" s="1" t="n">
        <v>46200</v>
      </c>
      <c r="D255" t="inlineStr">
        <is>
          <t>VÄSTERBOTTENS LÄN</t>
        </is>
      </c>
      <c r="E255" t="inlineStr">
        <is>
          <t>NORDMALING</t>
        </is>
      </c>
      <c r="G255" t="n">
        <v>82.40000000000001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19029-2025</t>
        </is>
      </c>
      <c r="B256" s="1" t="n">
        <v>45764</v>
      </c>
      <c r="C256" s="1" t="n">
        <v>46200</v>
      </c>
      <c r="D256" t="inlineStr">
        <is>
          <t>VÄSTERBOTTENS LÄN</t>
        </is>
      </c>
      <c r="E256" t="inlineStr">
        <is>
          <t>NORDMALING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19038-2025</t>
        </is>
      </c>
      <c r="B257" s="1" t="n">
        <v>45764</v>
      </c>
      <c r="C257" s="1" t="n">
        <v>46200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18232-2024</t>
        </is>
      </c>
      <c r="B258" s="1" t="n">
        <v>45420</v>
      </c>
      <c r="C258" s="1" t="n">
        <v>46200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43651-2023</t>
        </is>
      </c>
      <c r="B259" s="1" t="n">
        <v>45187</v>
      </c>
      <c r="C259" s="1" t="n">
        <v>46200</v>
      </c>
      <c r="D259" t="inlineStr">
        <is>
          <t>VÄSTERBOTTENS LÄN</t>
        </is>
      </c>
      <c r="E259" t="inlineStr">
        <is>
          <t>NORDMALING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51824-2024</t>
        </is>
      </c>
      <c r="B260" s="1" t="n">
        <v>45607</v>
      </c>
      <c r="C260" s="1" t="n">
        <v>46200</v>
      </c>
      <c r="D260" t="inlineStr">
        <is>
          <t>VÄSTERBOTTENS LÄN</t>
        </is>
      </c>
      <c r="E260" t="inlineStr">
        <is>
          <t>NORDMALING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51832-2024</t>
        </is>
      </c>
      <c r="B261" s="1" t="n">
        <v>45607</v>
      </c>
      <c r="C261" s="1" t="n">
        <v>46200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</v>
      </c>
      <c r="C262" s="1" t="n">
        <v>46200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29573-2025</t>
        </is>
      </c>
      <c r="B263" s="1" t="n">
        <v>45825</v>
      </c>
      <c r="C263" s="1" t="n">
        <v>46200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18649-2025</t>
        </is>
      </c>
      <c r="B264" s="1" t="n">
        <v>45763</v>
      </c>
      <c r="C264" s="1" t="n">
        <v>46200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29576-2025</t>
        </is>
      </c>
      <c r="B265" s="1" t="n">
        <v>45825</v>
      </c>
      <c r="C265" s="1" t="n">
        <v>46200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29606-2025</t>
        </is>
      </c>
      <c r="B266" s="1" t="n">
        <v>45825</v>
      </c>
      <c r="C266" s="1" t="n">
        <v>46200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29579-2025</t>
        </is>
      </c>
      <c r="B267" s="1" t="n">
        <v>45825</v>
      </c>
      <c r="C267" s="1" t="n">
        <v>46200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56674-2021</t>
        </is>
      </c>
      <c r="B268" s="1" t="n">
        <v>44480</v>
      </c>
      <c r="C268" s="1" t="n">
        <v>46200</v>
      </c>
      <c r="D268" t="inlineStr">
        <is>
          <t>VÄSTERBOTTENS LÄN</t>
        </is>
      </c>
      <c r="E268" t="inlineStr">
        <is>
          <t>NORDMALING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30439-2024</t>
        </is>
      </c>
      <c r="B269" s="1" t="n">
        <v>45491</v>
      </c>
      <c r="C269" s="1" t="n">
        <v>46200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34685-2023</t>
        </is>
      </c>
      <c r="B270" s="1" t="n">
        <v>45140</v>
      </c>
      <c r="C270" s="1" t="n">
        <v>46200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37549-2023</t>
        </is>
      </c>
      <c r="B271" s="1" t="n">
        <v>45158</v>
      </c>
      <c r="C271" s="1" t="n">
        <v>46200</v>
      </c>
      <c r="D271" t="inlineStr">
        <is>
          <t>VÄSTERBOTTENS LÄN</t>
        </is>
      </c>
      <c r="E271" t="inlineStr">
        <is>
          <t>NORDMALING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50520-2023</t>
        </is>
      </c>
      <c r="B272" s="1" t="n">
        <v>45216</v>
      </c>
      <c r="C272" s="1" t="n">
        <v>46200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19865-2024</t>
        </is>
      </c>
      <c r="B273" s="1" t="n">
        <v>45433</v>
      </c>
      <c r="C273" s="1" t="n">
        <v>46200</v>
      </c>
      <c r="D273" t="inlineStr">
        <is>
          <t>VÄSTERBOTTENS LÄN</t>
        </is>
      </c>
      <c r="E273" t="inlineStr">
        <is>
          <t>NORDMALING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</v>
      </c>
      <c r="C274" s="1" t="n">
        <v>46200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40008-2023</t>
        </is>
      </c>
      <c r="B275" s="1" t="n">
        <v>45167</v>
      </c>
      <c r="C275" s="1" t="n">
        <v>46200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12375-2024</t>
        </is>
      </c>
      <c r="B276" s="1" t="n">
        <v>45378</v>
      </c>
      <c r="C276" s="1" t="n">
        <v>46200</v>
      </c>
      <c r="D276" t="inlineStr">
        <is>
          <t>VÄSTERBOTTENS LÄN</t>
        </is>
      </c>
      <c r="E276" t="inlineStr">
        <is>
          <t>NORDMALING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48940-2022</t>
        </is>
      </c>
      <c r="B277" s="1" t="n">
        <v>44859</v>
      </c>
      <c r="C277" s="1" t="n">
        <v>46200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55305-2023</t>
        </is>
      </c>
      <c r="B278" s="1" t="n">
        <v>45237</v>
      </c>
      <c r="C278" s="1" t="n">
        <v>46200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</v>
      </c>
      <c r="C279" s="1" t="n">
        <v>46200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60175-2022</t>
        </is>
      </c>
      <c r="B280" s="1" t="n">
        <v>44909</v>
      </c>
      <c r="C280" s="1" t="n">
        <v>46200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35291-2023</t>
        </is>
      </c>
      <c r="B281" s="1" t="n">
        <v>45145</v>
      </c>
      <c r="C281" s="1" t="n">
        <v>46200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29344-2023</t>
        </is>
      </c>
      <c r="B282" s="1" t="n">
        <v>45105</v>
      </c>
      <c r="C282" s="1" t="n">
        <v>46200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31966-2025</t>
        </is>
      </c>
      <c r="B283" s="1" t="n">
        <v>45835</v>
      </c>
      <c r="C283" s="1" t="n">
        <v>46200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69516-2021</t>
        </is>
      </c>
      <c r="B284" s="1" t="n">
        <v>44531</v>
      </c>
      <c r="C284" s="1" t="n">
        <v>46200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35688-2023</t>
        </is>
      </c>
      <c r="B285" s="1" t="n">
        <v>45147</v>
      </c>
      <c r="C285" s="1" t="n">
        <v>46200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46200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32575-2025</t>
        </is>
      </c>
      <c r="B287" s="1" t="n">
        <v>45838</v>
      </c>
      <c r="C287" s="1" t="n">
        <v>46200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20328-2024</t>
        </is>
      </c>
      <c r="B288" s="1" t="n">
        <v>45435</v>
      </c>
      <c r="C288" s="1" t="n">
        <v>46200</v>
      </c>
      <c r="D288" t="inlineStr">
        <is>
          <t>VÄSTERBOTTENS LÄN</t>
        </is>
      </c>
      <c r="E288" t="inlineStr">
        <is>
          <t>NORDMALING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36667-2021</t>
        </is>
      </c>
      <c r="B289" s="1" t="n">
        <v>44392</v>
      </c>
      <c r="C289" s="1" t="n">
        <v>46200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</v>
      </c>
      <c r="C290" s="1" t="n">
        <v>46200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</v>
      </c>
      <c r="C291" s="1" t="n">
        <v>46200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8103-2025</t>
        </is>
      </c>
      <c r="B292" s="1" t="n">
        <v>45707</v>
      </c>
      <c r="C292" s="1" t="n">
        <v>46200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9490-2023</t>
        </is>
      </c>
      <c r="B293" s="1" t="n">
        <v>44977</v>
      </c>
      <c r="C293" s="1" t="n">
        <v>46200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2658-2025</t>
        </is>
      </c>
      <c r="B294" s="1" t="n">
        <v>45676</v>
      </c>
      <c r="C294" s="1" t="n">
        <v>46200</v>
      </c>
      <c r="D294" t="inlineStr">
        <is>
          <t>VÄSTERBOTTENS LÄN</t>
        </is>
      </c>
      <c r="E294" t="inlineStr">
        <is>
          <t>NORDMALING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32965-2024</t>
        </is>
      </c>
      <c r="B295" s="1" t="n">
        <v>45517</v>
      </c>
      <c r="C295" s="1" t="n">
        <v>46200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Holmen skog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59348-2024</t>
        </is>
      </c>
      <c r="B296" s="1" t="n">
        <v>45638</v>
      </c>
      <c r="C296" s="1" t="n">
        <v>46200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36814-2024</t>
        </is>
      </c>
      <c r="B297" s="1" t="n">
        <v>45538</v>
      </c>
      <c r="C297" s="1" t="n">
        <v>46200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11369-2023</t>
        </is>
      </c>
      <c r="B298" s="1" t="n">
        <v>44993</v>
      </c>
      <c r="C298" s="1" t="n">
        <v>46200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34601-2025</t>
        </is>
      </c>
      <c r="B299" s="1" t="n">
        <v>45846</v>
      </c>
      <c r="C299" s="1" t="n">
        <v>46200</v>
      </c>
      <c r="D299" t="inlineStr">
        <is>
          <t>VÄSTERBOTTENS LÄN</t>
        </is>
      </c>
      <c r="E299" t="inlineStr">
        <is>
          <t>NORDMALING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44950-2023</t>
        </is>
      </c>
      <c r="B300" s="1" t="n">
        <v>45187</v>
      </c>
      <c r="C300" s="1" t="n">
        <v>46200</v>
      </c>
      <c r="D300" t="inlineStr">
        <is>
          <t>VÄSTERBOTTENS LÄN</t>
        </is>
      </c>
      <c r="E300" t="inlineStr">
        <is>
          <t>NORDMALING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44952-2023</t>
        </is>
      </c>
      <c r="B301" s="1" t="n">
        <v>45187</v>
      </c>
      <c r="C301" s="1" t="n">
        <v>46200</v>
      </c>
      <c r="D301" t="inlineStr">
        <is>
          <t>VÄSTERBOTTENS LÄN</t>
        </is>
      </c>
      <c r="E301" t="inlineStr">
        <is>
          <t>NORDMALING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</v>
      </c>
      <c r="C302" s="1" t="n">
        <v>46200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35057-2025</t>
        </is>
      </c>
      <c r="B303" s="1" t="n">
        <v>45852</v>
      </c>
      <c r="C303" s="1" t="n">
        <v>46200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7254-2024</t>
        </is>
      </c>
      <c r="B304" s="1" t="n">
        <v>45344</v>
      </c>
      <c r="C304" s="1" t="n">
        <v>46200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</v>
      </c>
      <c r="C305" s="1" t="n">
        <v>46200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53986-2022</t>
        </is>
      </c>
      <c r="B306" s="1" t="n">
        <v>44881</v>
      </c>
      <c r="C306" s="1" t="n">
        <v>46200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54784-2021</t>
        </is>
      </c>
      <c r="B307" s="1" t="n">
        <v>44473</v>
      </c>
      <c r="C307" s="1" t="n">
        <v>46200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26927-2024</t>
        </is>
      </c>
      <c r="B308" s="1" t="n">
        <v>45470</v>
      </c>
      <c r="C308" s="1" t="n">
        <v>46200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17890-2024</t>
        </is>
      </c>
      <c r="B309" s="1" t="n">
        <v>45419</v>
      </c>
      <c r="C309" s="1" t="n">
        <v>46200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16690-2025</t>
        </is>
      </c>
      <c r="B310" s="1" t="n">
        <v>45754</v>
      </c>
      <c r="C310" s="1" t="n">
        <v>46200</v>
      </c>
      <c r="D310" t="inlineStr">
        <is>
          <t>VÄSTERBOTTENS LÄN</t>
        </is>
      </c>
      <c r="E310" t="inlineStr">
        <is>
          <t>NORDMALING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31258-2024</t>
        </is>
      </c>
      <c r="B311" s="1" t="n">
        <v>45503</v>
      </c>
      <c r="C311" s="1" t="n">
        <v>46200</v>
      </c>
      <c r="D311" t="inlineStr">
        <is>
          <t>VÄSTERBOTTENS LÄN</t>
        </is>
      </c>
      <c r="E311" t="inlineStr">
        <is>
          <t>NORDMALING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</v>
      </c>
      <c r="C312" s="1" t="n">
        <v>46200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</v>
      </c>
      <c r="C313" s="1" t="n">
        <v>46200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20008-2025</t>
        </is>
      </c>
      <c r="B314" s="1" t="n">
        <v>45772</v>
      </c>
      <c r="C314" s="1" t="n">
        <v>46200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44924-2023</t>
        </is>
      </c>
      <c r="B315" s="1" t="n">
        <v>45187</v>
      </c>
      <c r="C315" s="1" t="n">
        <v>46200</v>
      </c>
      <c r="D315" t="inlineStr">
        <is>
          <t>VÄSTERBOTTENS LÄN</t>
        </is>
      </c>
      <c r="E315" t="inlineStr">
        <is>
          <t>NORDMALING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54169-2024</t>
        </is>
      </c>
      <c r="B316" s="1" t="n">
        <v>45616</v>
      </c>
      <c r="C316" s="1" t="n">
        <v>46200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43735-2021</t>
        </is>
      </c>
      <c r="B317" s="1" t="n">
        <v>44433</v>
      </c>
      <c r="C317" s="1" t="n">
        <v>46200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44475-2024</t>
        </is>
      </c>
      <c r="B318" s="1" t="n">
        <v>45574</v>
      </c>
      <c r="C318" s="1" t="n">
        <v>46200</v>
      </c>
      <c r="D318" t="inlineStr">
        <is>
          <t>VÄSTERBOTTENS LÄN</t>
        </is>
      </c>
      <c r="E318" t="inlineStr">
        <is>
          <t>NORDMALING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55810-2022</t>
        </is>
      </c>
      <c r="B319" s="1" t="n">
        <v>44888</v>
      </c>
      <c r="C319" s="1" t="n">
        <v>46200</v>
      </c>
      <c r="D319" t="inlineStr">
        <is>
          <t>VÄSTERBOTTENS LÄN</t>
        </is>
      </c>
      <c r="E319" t="inlineStr">
        <is>
          <t>NORDMALING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879-2025</t>
        </is>
      </c>
      <c r="B320" s="1" t="n">
        <v>45665</v>
      </c>
      <c r="C320" s="1" t="n">
        <v>46200</v>
      </c>
      <c r="D320" t="inlineStr">
        <is>
          <t>VÄSTERBOTTENS LÄN</t>
        </is>
      </c>
      <c r="E320" t="inlineStr">
        <is>
          <t>NORDMALING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</v>
      </c>
      <c r="C321" s="1" t="n">
        <v>46200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20471-2025</t>
        </is>
      </c>
      <c r="B322" s="1" t="n">
        <v>45775</v>
      </c>
      <c r="C322" s="1" t="n">
        <v>46200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16758-2023</t>
        </is>
      </c>
      <c r="B323" s="1" t="n">
        <v>45030</v>
      </c>
      <c r="C323" s="1" t="n">
        <v>46200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12374-2024</t>
        </is>
      </c>
      <c r="B324" s="1" t="n">
        <v>45378</v>
      </c>
      <c r="C324" s="1" t="n">
        <v>46200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21733-2025</t>
        </is>
      </c>
      <c r="B325" s="1" t="n">
        <v>45783</v>
      </c>
      <c r="C325" s="1" t="n">
        <v>46200</v>
      </c>
      <c r="D325" t="inlineStr">
        <is>
          <t>VÄSTERBOTTENS LÄN</t>
        </is>
      </c>
      <c r="E325" t="inlineStr">
        <is>
          <t>NORDMALING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21736-2025</t>
        </is>
      </c>
      <c r="B326" s="1" t="n">
        <v>45783</v>
      </c>
      <c r="C326" s="1" t="n">
        <v>46200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21607-2022</t>
        </is>
      </c>
      <c r="B327" s="1" t="n">
        <v>44706</v>
      </c>
      <c r="C327" s="1" t="n">
        <v>46200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38365-2025</t>
        </is>
      </c>
      <c r="B328" s="1" t="n">
        <v>45883</v>
      </c>
      <c r="C328" s="1" t="n">
        <v>46200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16212-2023</t>
        </is>
      </c>
      <c r="B329" s="1" t="n">
        <v>45028</v>
      </c>
      <c r="C329" s="1" t="n">
        <v>46200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38367-2025</t>
        </is>
      </c>
      <c r="B330" s="1" t="n">
        <v>45883</v>
      </c>
      <c r="C330" s="1" t="n">
        <v>46200</v>
      </c>
      <c r="D330" t="inlineStr">
        <is>
          <t>VÄSTERBOTTENS LÄN</t>
        </is>
      </c>
      <c r="E330" t="inlineStr">
        <is>
          <t>NORDMALING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38260-2025</t>
        </is>
      </c>
      <c r="B331" s="1" t="n">
        <v>45883</v>
      </c>
      <c r="C331" s="1" t="n">
        <v>46200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38864-2025</t>
        </is>
      </c>
      <c r="B332" s="1" t="n">
        <v>45887</v>
      </c>
      <c r="C332" s="1" t="n">
        <v>46200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38870-2025</t>
        </is>
      </c>
      <c r="B333" s="1" t="n">
        <v>45887</v>
      </c>
      <c r="C333" s="1" t="n">
        <v>46200</v>
      </c>
      <c r="D333" t="inlineStr">
        <is>
          <t>VÄSTERBOTTENS LÄN</t>
        </is>
      </c>
      <c r="E333" t="inlineStr">
        <is>
          <t>NORDMALING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47834-2025</t>
        </is>
      </c>
      <c r="B334" s="1" t="n">
        <v>45932</v>
      </c>
      <c r="C334" s="1" t="n">
        <v>46200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48744-2025</t>
        </is>
      </c>
      <c r="B335" s="1" t="n">
        <v>45936</v>
      </c>
      <c r="C335" s="1" t="n">
        <v>46200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48632-2025</t>
        </is>
      </c>
      <c r="B336" s="1" t="n">
        <v>45936</v>
      </c>
      <c r="C336" s="1" t="n">
        <v>46200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49360-2025</t>
        </is>
      </c>
      <c r="B337" s="1" t="n">
        <v>45938</v>
      </c>
      <c r="C337" s="1" t="n">
        <v>46200</v>
      </c>
      <c r="D337" t="inlineStr">
        <is>
          <t>VÄSTERBOTTENS LÄN</t>
        </is>
      </c>
      <c r="E337" t="inlineStr">
        <is>
          <t>NORDMALING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33343-2022</t>
        </is>
      </c>
      <c r="B338" s="1" t="n">
        <v>44788</v>
      </c>
      <c r="C338" s="1" t="n">
        <v>46200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51746-2021</t>
        </is>
      </c>
      <c r="B339" s="1" t="n">
        <v>44462</v>
      </c>
      <c r="C339" s="1" t="n">
        <v>46200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38991-2025</t>
        </is>
      </c>
      <c r="B340" s="1" t="n">
        <v>45888</v>
      </c>
      <c r="C340" s="1" t="n">
        <v>46200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49361-2025</t>
        </is>
      </c>
      <c r="B341" s="1" t="n">
        <v>45938</v>
      </c>
      <c r="C341" s="1" t="n">
        <v>46200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49849-2025</t>
        </is>
      </c>
      <c r="B342" s="1" t="n">
        <v>45940</v>
      </c>
      <c r="C342" s="1" t="n">
        <v>46200</v>
      </c>
      <c r="D342" t="inlineStr">
        <is>
          <t>VÄSTERBOTTENS LÄN</t>
        </is>
      </c>
      <c r="E342" t="inlineStr">
        <is>
          <t>NORDMALING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49847-2025</t>
        </is>
      </c>
      <c r="B343" s="1" t="n">
        <v>45940</v>
      </c>
      <c r="C343" s="1" t="n">
        <v>46200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39874-2025</t>
        </is>
      </c>
      <c r="B344" s="1" t="n">
        <v>45891</v>
      </c>
      <c r="C344" s="1" t="n">
        <v>46200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50969-2024</t>
        </is>
      </c>
      <c r="B345" s="1" t="n">
        <v>45603</v>
      </c>
      <c r="C345" s="1" t="n">
        <v>46200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40062-2025</t>
        </is>
      </c>
      <c r="B346" s="1" t="n">
        <v>45894</v>
      </c>
      <c r="C346" s="1" t="n">
        <v>46200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</v>
      </c>
      <c r="C347" s="1" t="n">
        <v>46200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24037-2025</t>
        </is>
      </c>
      <c r="B348" s="1" t="n">
        <v>45796</v>
      </c>
      <c r="C348" s="1" t="n">
        <v>46200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50396-2025</t>
        </is>
      </c>
      <c r="B349" s="1" t="n">
        <v>45944</v>
      </c>
      <c r="C349" s="1" t="n">
        <v>46200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50725-2025</t>
        </is>
      </c>
      <c r="B350" s="1" t="n">
        <v>45946</v>
      </c>
      <c r="C350" s="1" t="n">
        <v>46200</v>
      </c>
      <c r="D350" t="inlineStr">
        <is>
          <t>VÄSTERBOTTENS LÄN</t>
        </is>
      </c>
      <c r="E350" t="inlineStr">
        <is>
          <t>NORDMALING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50726-2025</t>
        </is>
      </c>
      <c r="B351" s="1" t="n">
        <v>45946</v>
      </c>
      <c r="C351" s="1" t="n">
        <v>46200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50734-2025</t>
        </is>
      </c>
      <c r="B352" s="1" t="n">
        <v>45946</v>
      </c>
      <c r="C352" s="1" t="n">
        <v>46200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40608-2025</t>
        </is>
      </c>
      <c r="B353" s="1" t="n">
        <v>45896</v>
      </c>
      <c r="C353" s="1" t="n">
        <v>46200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41573-2025</t>
        </is>
      </c>
      <c r="B354" s="1" t="n">
        <v>45901</v>
      </c>
      <c r="C354" s="1" t="n">
        <v>46200</v>
      </c>
      <c r="D354" t="inlineStr">
        <is>
          <t>VÄSTERBOTTENS LÄN</t>
        </is>
      </c>
      <c r="E354" t="inlineStr">
        <is>
          <t>NORDMALING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41364-2025</t>
        </is>
      </c>
      <c r="B355" s="1" t="n">
        <v>45900</v>
      </c>
      <c r="C355" s="1" t="n">
        <v>46200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61616-2023</t>
        </is>
      </c>
      <c r="B356" s="1" t="n">
        <v>45261</v>
      </c>
      <c r="C356" s="1" t="n">
        <v>46200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32312-2025</t>
        </is>
      </c>
      <c r="B357" s="1" t="n">
        <v>45835</v>
      </c>
      <c r="C357" s="1" t="n">
        <v>46200</v>
      </c>
      <c r="D357" t="inlineStr">
        <is>
          <t>VÄSTERBOTTENS LÄN</t>
        </is>
      </c>
      <c r="E357" t="inlineStr">
        <is>
          <t>NORDMALING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51552-2025</t>
        </is>
      </c>
      <c r="B358" s="1" t="n">
        <v>45950</v>
      </c>
      <c r="C358" s="1" t="n">
        <v>46200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41365-2025</t>
        </is>
      </c>
      <c r="B359" s="1" t="n">
        <v>45900</v>
      </c>
      <c r="C359" s="1" t="n">
        <v>46200</v>
      </c>
      <c r="D359" t="inlineStr">
        <is>
          <t>VÄSTERBOTTENS LÄN</t>
        </is>
      </c>
      <c r="E359" t="inlineStr">
        <is>
          <t>NORDMALING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</v>
      </c>
      <c r="C360" s="1" t="n">
        <v>46200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</v>
      </c>
      <c r="C361" s="1" t="n">
        <v>46200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51511-2025</t>
        </is>
      </c>
      <c r="B362" s="1" t="n">
        <v>45950</v>
      </c>
      <c r="C362" s="1" t="n">
        <v>46200</v>
      </c>
      <c r="D362" t="inlineStr">
        <is>
          <t>VÄSTERBOTTENS LÄN</t>
        </is>
      </c>
      <c r="E362" t="inlineStr">
        <is>
          <t>NORDMALING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41131-2025</t>
        </is>
      </c>
      <c r="B363" s="1" t="n">
        <v>45898</v>
      </c>
      <c r="C363" s="1" t="n">
        <v>46200</v>
      </c>
      <c r="D363" t="inlineStr">
        <is>
          <t>VÄSTERBOTTENS LÄN</t>
        </is>
      </c>
      <c r="E363" t="inlineStr">
        <is>
          <t>NORDMALING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51736-2025</t>
        </is>
      </c>
      <c r="B364" s="1" t="n">
        <v>45951</v>
      </c>
      <c r="C364" s="1" t="n">
        <v>46200</v>
      </c>
      <c r="D364" t="inlineStr">
        <is>
          <t>VÄSTERBOTTENS LÄN</t>
        </is>
      </c>
      <c r="E364" t="inlineStr">
        <is>
          <t>NORDMALING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34480-2024</t>
        </is>
      </c>
      <c r="B365" s="1" t="n">
        <v>45525</v>
      </c>
      <c r="C365" s="1" t="n">
        <v>46200</v>
      </c>
      <c r="D365" t="inlineStr">
        <is>
          <t>VÄSTERBOTTENS LÄN</t>
        </is>
      </c>
      <c r="E365" t="inlineStr">
        <is>
          <t>NORDMALING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52201-2025</t>
        </is>
      </c>
      <c r="B366" s="1" t="n">
        <v>45953</v>
      </c>
      <c r="C366" s="1" t="n">
        <v>46200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35882-2024</t>
        </is>
      </c>
      <c r="B367" s="1" t="n">
        <v>45533</v>
      </c>
      <c r="C367" s="1" t="n">
        <v>46200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42054-2025</t>
        </is>
      </c>
      <c r="B368" s="1" t="n">
        <v>45903</v>
      </c>
      <c r="C368" s="1" t="n">
        <v>46200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34252-2024</t>
        </is>
      </c>
      <c r="B369" s="1" t="n">
        <v>45524</v>
      </c>
      <c r="C369" s="1" t="n">
        <v>46200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53001-2025</t>
        </is>
      </c>
      <c r="B370" s="1" t="n">
        <v>45957</v>
      </c>
      <c r="C370" s="1" t="n">
        <v>46200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</v>
      </c>
      <c r="C371" s="1" t="n">
        <v>46200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13506-2025</t>
        </is>
      </c>
      <c r="B372" s="1" t="n">
        <v>45736</v>
      </c>
      <c r="C372" s="1" t="n">
        <v>46200</v>
      </c>
      <c r="D372" t="inlineStr">
        <is>
          <t>VÄSTERBOTTENS LÄN</t>
        </is>
      </c>
      <c r="E372" t="inlineStr">
        <is>
          <t>NORDMALING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53456-2025</t>
        </is>
      </c>
      <c r="B373" s="1" t="n">
        <v>45959</v>
      </c>
      <c r="C373" s="1" t="n">
        <v>46200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42660-2025</t>
        </is>
      </c>
      <c r="B374" s="1" t="n">
        <v>45907</v>
      </c>
      <c r="C374" s="1" t="n">
        <v>46200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43218-2025</t>
        </is>
      </c>
      <c r="B375" s="1" t="n">
        <v>45910</v>
      </c>
      <c r="C375" s="1" t="n">
        <v>46200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</v>
      </c>
      <c r="C376" s="1" t="n">
        <v>46200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23029-2025</t>
        </is>
      </c>
      <c r="B377" s="1" t="n">
        <v>45790</v>
      </c>
      <c r="C377" s="1" t="n">
        <v>46200</v>
      </c>
      <c r="D377" t="inlineStr">
        <is>
          <t>VÄSTERBOTTENS LÄN</t>
        </is>
      </c>
      <c r="E377" t="inlineStr">
        <is>
          <t>NORDMALING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23041-2025</t>
        </is>
      </c>
      <c r="B378" s="1" t="n">
        <v>45790</v>
      </c>
      <c r="C378" s="1" t="n">
        <v>46200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43538-2025</t>
        </is>
      </c>
      <c r="B379" s="1" t="n">
        <v>45911</v>
      </c>
      <c r="C379" s="1" t="n">
        <v>46200</v>
      </c>
      <c r="D379" t="inlineStr">
        <is>
          <t>VÄSTERBOTTENS LÄN</t>
        </is>
      </c>
      <c r="E379" t="inlineStr">
        <is>
          <t>NORDMALING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40053-2021</t>
        </is>
      </c>
      <c r="B380" s="1" t="n">
        <v>44418</v>
      </c>
      <c r="C380" s="1" t="n">
        <v>46200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23037-2025</t>
        </is>
      </c>
      <c r="B381" s="1" t="n">
        <v>45790</v>
      </c>
      <c r="C381" s="1" t="n">
        <v>46200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17711-2023</t>
        </is>
      </c>
      <c r="B382" s="1" t="n">
        <v>45036</v>
      </c>
      <c r="C382" s="1" t="n">
        <v>46200</v>
      </c>
      <c r="D382" t="inlineStr">
        <is>
          <t>VÄSTERBOTTENS LÄN</t>
        </is>
      </c>
      <c r="E382" t="inlineStr">
        <is>
          <t>NORDMALING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53969-2025</t>
        </is>
      </c>
      <c r="B383" s="1" t="n">
        <v>45961</v>
      </c>
      <c r="C383" s="1" t="n">
        <v>46200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43940-2025</t>
        </is>
      </c>
      <c r="B384" s="1" t="n">
        <v>45912</v>
      </c>
      <c r="C384" s="1" t="n">
        <v>46200</v>
      </c>
      <c r="D384" t="inlineStr">
        <is>
          <t>VÄSTERBOTTENS LÄN</t>
        </is>
      </c>
      <c r="E384" t="inlineStr">
        <is>
          <t>NORDMALING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53777-2025</t>
        </is>
      </c>
      <c r="B385" s="1" t="n">
        <v>45960</v>
      </c>
      <c r="C385" s="1" t="n">
        <v>46200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53776-2025</t>
        </is>
      </c>
      <c r="B386" s="1" t="n">
        <v>45960</v>
      </c>
      <c r="C386" s="1" t="n">
        <v>46200</v>
      </c>
      <c r="D386" t="inlineStr">
        <is>
          <t>VÄSTERBOTTENS LÄN</t>
        </is>
      </c>
      <c r="E386" t="inlineStr">
        <is>
          <t>NORDMALING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44639-2025</t>
        </is>
      </c>
      <c r="B387" s="1" t="n">
        <v>45917</v>
      </c>
      <c r="C387" s="1" t="n">
        <v>46200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44636-2025</t>
        </is>
      </c>
      <c r="B388" s="1" t="n">
        <v>45917</v>
      </c>
      <c r="C388" s="1" t="n">
        <v>46200</v>
      </c>
      <c r="D388" t="inlineStr">
        <is>
          <t>VÄSTERBOTTENS LÄN</t>
        </is>
      </c>
      <c r="E388" t="inlineStr">
        <is>
          <t>NORDMALING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54105-2025</t>
        </is>
      </c>
      <c r="B389" s="1" t="n">
        <v>45964</v>
      </c>
      <c r="C389" s="1" t="n">
        <v>46200</v>
      </c>
      <c r="D389" t="inlineStr">
        <is>
          <t>VÄSTERBOTTENS LÄN</t>
        </is>
      </c>
      <c r="E389" t="inlineStr">
        <is>
          <t>NORDMALING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54030-2025</t>
        </is>
      </c>
      <c r="B390" s="1" t="n">
        <v>45962</v>
      </c>
      <c r="C390" s="1" t="n">
        <v>46200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54457-2025</t>
        </is>
      </c>
      <c r="B391" s="1" t="n">
        <v>45965</v>
      </c>
      <c r="C391" s="1" t="n">
        <v>46200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54473-2025</t>
        </is>
      </c>
      <c r="B392" s="1" t="n">
        <v>45965</v>
      </c>
      <c r="C392" s="1" t="n">
        <v>46200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54078-2025</t>
        </is>
      </c>
      <c r="B393" s="1" t="n">
        <v>45964</v>
      </c>
      <c r="C393" s="1" t="n">
        <v>46200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54438-2025</t>
        </is>
      </c>
      <c r="B394" s="1" t="n">
        <v>45965</v>
      </c>
      <c r="C394" s="1" t="n">
        <v>46200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19230-2023</t>
        </is>
      </c>
      <c r="B395" s="1" t="n">
        <v>45048</v>
      </c>
      <c r="C395" s="1" t="n">
        <v>46200</v>
      </c>
      <c r="D395" t="inlineStr">
        <is>
          <t>VÄSTERBOTTENS LÄN</t>
        </is>
      </c>
      <c r="E395" t="inlineStr">
        <is>
          <t>NORDMALING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44772-2025</t>
        </is>
      </c>
      <c r="B396" s="1" t="n">
        <v>45917</v>
      </c>
      <c r="C396" s="1" t="n">
        <v>46200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25344-2024</t>
        </is>
      </c>
      <c r="B397" s="1" t="n">
        <v>45462</v>
      </c>
      <c r="C397" s="1" t="n">
        <v>46200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25349-2024</t>
        </is>
      </c>
      <c r="B398" s="1" t="n">
        <v>45462</v>
      </c>
      <c r="C398" s="1" t="n">
        <v>46200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57388-2023</t>
        </is>
      </c>
      <c r="B399" s="1" t="n">
        <v>45245</v>
      </c>
      <c r="C399" s="1" t="n">
        <v>46200</v>
      </c>
      <c r="D399" t="inlineStr">
        <is>
          <t>VÄSTERBOTTENS LÄN</t>
        </is>
      </c>
      <c r="E399" t="inlineStr">
        <is>
          <t>NORDMALING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54474-2025</t>
        </is>
      </c>
      <c r="B400" s="1" t="n">
        <v>45965</v>
      </c>
      <c r="C400" s="1" t="n">
        <v>46200</v>
      </c>
      <c r="D400" t="inlineStr">
        <is>
          <t>VÄSTERBOTTENS LÄN</t>
        </is>
      </c>
      <c r="E400" t="inlineStr">
        <is>
          <t>NORDMALING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24010-2022</t>
        </is>
      </c>
      <c r="B401" s="1" t="n">
        <v>44722</v>
      </c>
      <c r="C401" s="1" t="n">
        <v>46200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44774-2025</t>
        </is>
      </c>
      <c r="B402" s="1" t="n">
        <v>45917</v>
      </c>
      <c r="C402" s="1" t="n">
        <v>46200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54800-2025</t>
        </is>
      </c>
      <c r="B403" s="1" t="n">
        <v>45966</v>
      </c>
      <c r="C403" s="1" t="n">
        <v>46200</v>
      </c>
      <c r="D403" t="inlineStr">
        <is>
          <t>VÄSTERBOTTENS LÄN</t>
        </is>
      </c>
      <c r="E403" t="inlineStr">
        <is>
          <t>NORDMALING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45676-2025</t>
        </is>
      </c>
      <c r="B404" s="1" t="n">
        <v>45923</v>
      </c>
      <c r="C404" s="1" t="n">
        <v>46200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45326-2025</t>
        </is>
      </c>
      <c r="B405" s="1" t="n">
        <v>45922</v>
      </c>
      <c r="C405" s="1" t="n">
        <v>46200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45678-2025</t>
        </is>
      </c>
      <c r="B406" s="1" t="n">
        <v>45923</v>
      </c>
      <c r="C406" s="1" t="n">
        <v>46200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55786-2025</t>
        </is>
      </c>
      <c r="B407" s="1" t="n">
        <v>45972</v>
      </c>
      <c r="C407" s="1" t="n">
        <v>46200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46876-2025</t>
        </is>
      </c>
      <c r="B408" s="1" t="n">
        <v>45929</v>
      </c>
      <c r="C408" s="1" t="n">
        <v>46200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55792-2025</t>
        </is>
      </c>
      <c r="B409" s="1" t="n">
        <v>45972</v>
      </c>
      <c r="C409" s="1" t="n">
        <v>46200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46878-2025</t>
        </is>
      </c>
      <c r="B410" s="1" t="n">
        <v>45929</v>
      </c>
      <c r="C410" s="1" t="n">
        <v>46200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47046-2025</t>
        </is>
      </c>
      <c r="B411" s="1" t="n">
        <v>45929</v>
      </c>
      <c r="C411" s="1" t="n">
        <v>46200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46548-2025</t>
        </is>
      </c>
      <c r="B412" s="1" t="n">
        <v>45926</v>
      </c>
      <c r="C412" s="1" t="n">
        <v>46200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46877-2025</t>
        </is>
      </c>
      <c r="B413" s="1" t="n">
        <v>45929</v>
      </c>
      <c r="C413" s="1" t="n">
        <v>46200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56247-2025</t>
        </is>
      </c>
      <c r="B414" s="1" t="n">
        <v>45974</v>
      </c>
      <c r="C414" s="1" t="n">
        <v>46200</v>
      </c>
      <c r="D414" t="inlineStr">
        <is>
          <t>VÄSTERBOTTENS LÄN</t>
        </is>
      </c>
      <c r="E414" t="inlineStr">
        <is>
          <t>NORDMALING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57146-2025</t>
        </is>
      </c>
      <c r="B415" s="1" t="n">
        <v>45979</v>
      </c>
      <c r="C415" s="1" t="n">
        <v>46200</v>
      </c>
      <c r="D415" t="inlineStr">
        <is>
          <t>VÄSTERBOTTENS LÄN</t>
        </is>
      </c>
      <c r="E415" t="inlineStr">
        <is>
          <t>NORDMALING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57065-2025</t>
        </is>
      </c>
      <c r="B416" s="1" t="n">
        <v>45979</v>
      </c>
      <c r="C416" s="1" t="n">
        <v>46200</v>
      </c>
      <c r="D416" t="inlineStr">
        <is>
          <t>VÄSTERBOTTENS LÄN</t>
        </is>
      </c>
      <c r="E416" t="inlineStr">
        <is>
          <t>NORDMALING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57093-2025</t>
        </is>
      </c>
      <c r="B417" s="1" t="n">
        <v>45979</v>
      </c>
      <c r="C417" s="1" t="n">
        <v>46200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</v>
      </c>
      <c r="C418" s="1" t="n">
        <v>46200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6402-2025</t>
        </is>
      </c>
      <c r="B419" s="1" t="n">
        <v>45699</v>
      </c>
      <c r="C419" s="1" t="n">
        <v>46200</v>
      </c>
      <c r="D419" t="inlineStr">
        <is>
          <t>VÄSTERBOTTENS LÄN</t>
        </is>
      </c>
      <c r="E419" t="inlineStr">
        <is>
          <t>NORDMALING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</v>
      </c>
      <c r="C420" s="1" t="n">
        <v>46200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</v>
      </c>
      <c r="C421" s="1" t="n">
        <v>46200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57548-2025</t>
        </is>
      </c>
      <c r="B422" s="1" t="n">
        <v>45980</v>
      </c>
      <c r="C422" s="1" t="n">
        <v>46200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57898-2025</t>
        </is>
      </c>
      <c r="B423" s="1" t="n">
        <v>45981</v>
      </c>
      <c r="C423" s="1" t="n">
        <v>46200</v>
      </c>
      <c r="D423" t="inlineStr">
        <is>
          <t>VÄSTERBOTTENS LÄN</t>
        </is>
      </c>
      <c r="E423" t="inlineStr">
        <is>
          <t>NORDMALING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57903-2025</t>
        </is>
      </c>
      <c r="B424" s="1" t="n">
        <v>45981</v>
      </c>
      <c r="C424" s="1" t="n">
        <v>46200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</v>
      </c>
      <c r="C425" s="1" t="n">
        <v>46200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58579-2025</t>
        </is>
      </c>
      <c r="B426" s="1" t="n">
        <v>45986</v>
      </c>
      <c r="C426" s="1" t="n">
        <v>46200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58621-2025</t>
        </is>
      </c>
      <c r="B427" s="1" t="n">
        <v>45986</v>
      </c>
      <c r="C427" s="1" t="n">
        <v>46200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58620-2025</t>
        </is>
      </c>
      <c r="B428" s="1" t="n">
        <v>45986</v>
      </c>
      <c r="C428" s="1" t="n">
        <v>46200</v>
      </c>
      <c r="D428" t="inlineStr">
        <is>
          <t>VÄSTERBOTTENS LÄN</t>
        </is>
      </c>
      <c r="E428" t="inlineStr">
        <is>
          <t>NORDMALING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58619-2025</t>
        </is>
      </c>
      <c r="B429" s="1" t="n">
        <v>45986</v>
      </c>
      <c r="C429" s="1" t="n">
        <v>46200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</v>
      </c>
      <c r="C430" s="1" t="n">
        <v>46200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59945-2025</t>
        </is>
      </c>
      <c r="B431" s="1" t="n">
        <v>45993</v>
      </c>
      <c r="C431" s="1" t="n">
        <v>46200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59169-2025</t>
        </is>
      </c>
      <c r="B432" s="1" t="n">
        <v>45988</v>
      </c>
      <c r="C432" s="1" t="n">
        <v>46200</v>
      </c>
      <c r="D432" t="inlineStr">
        <is>
          <t>VÄSTERBOTTENS LÄN</t>
        </is>
      </c>
      <c r="E432" t="inlineStr">
        <is>
          <t>NORDMALING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59160-2025</t>
        </is>
      </c>
      <c r="B433" s="1" t="n">
        <v>45988</v>
      </c>
      <c r="C433" s="1" t="n">
        <v>46200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</v>
      </c>
      <c r="C434" s="1" t="n">
        <v>46200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59157-2025</t>
        </is>
      </c>
      <c r="B435" s="1" t="n">
        <v>45988</v>
      </c>
      <c r="C435" s="1" t="n">
        <v>46200</v>
      </c>
      <c r="D435" t="inlineStr">
        <is>
          <t>VÄSTERBOTTENS LÄN</t>
        </is>
      </c>
      <c r="E435" t="inlineStr">
        <is>
          <t>NORDMALING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59133-2025</t>
        </is>
      </c>
      <c r="B436" s="1" t="n">
        <v>45988</v>
      </c>
      <c r="C436" s="1" t="n">
        <v>46200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60113-2025</t>
        </is>
      </c>
      <c r="B437" s="1" t="n">
        <v>45994</v>
      </c>
      <c r="C437" s="1" t="n">
        <v>46200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60111-2025</t>
        </is>
      </c>
      <c r="B438" s="1" t="n">
        <v>45994</v>
      </c>
      <c r="C438" s="1" t="n">
        <v>46200</v>
      </c>
      <c r="D438" t="inlineStr">
        <is>
          <t>VÄSTERBOTTENS LÄN</t>
        </is>
      </c>
      <c r="E438" t="inlineStr">
        <is>
          <t>NORDMALING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25074-2025</t>
        </is>
      </c>
      <c r="B439" s="1" t="n">
        <v>45799</v>
      </c>
      <c r="C439" s="1" t="n">
        <v>46200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60780-2025</t>
        </is>
      </c>
      <c r="B440" s="1" t="n">
        <v>45999</v>
      </c>
      <c r="C440" s="1" t="n">
        <v>46200</v>
      </c>
      <c r="D440" t="inlineStr">
        <is>
          <t>VÄSTERBOTTENS LÄN</t>
        </is>
      </c>
      <c r="E440" t="inlineStr">
        <is>
          <t>NORDMALING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61090-2025</t>
        </is>
      </c>
      <c r="B441" s="1" t="n">
        <v>46000</v>
      </c>
      <c r="C441" s="1" t="n">
        <v>46200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61167-2025</t>
        </is>
      </c>
      <c r="B442" s="1" t="n">
        <v>46000</v>
      </c>
      <c r="C442" s="1" t="n">
        <v>46200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61138-2025</t>
        </is>
      </c>
      <c r="B443" s="1" t="n">
        <v>46000</v>
      </c>
      <c r="C443" s="1" t="n">
        <v>46200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61881-2025</t>
        </is>
      </c>
      <c r="B444" s="1" t="n">
        <v>46003</v>
      </c>
      <c r="C444" s="1" t="n">
        <v>46200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61900-2025</t>
        </is>
      </c>
      <c r="B445" s="1" t="n">
        <v>46003</v>
      </c>
      <c r="C445" s="1" t="n">
        <v>46200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</v>
      </c>
      <c r="C446" s="1" t="n">
        <v>46200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62219-2025</t>
        </is>
      </c>
      <c r="B447" s="1" t="n">
        <v>46006</v>
      </c>
      <c r="C447" s="1" t="n">
        <v>46200</v>
      </c>
      <c r="D447" t="inlineStr">
        <is>
          <t>VÄSTERBOTTENS LÄN</t>
        </is>
      </c>
      <c r="E447" t="inlineStr">
        <is>
          <t>NORDMALING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</v>
      </c>
      <c r="C448" s="1" t="n">
        <v>46200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62151-2025</t>
        </is>
      </c>
      <c r="B449" s="1" t="n">
        <v>46006</v>
      </c>
      <c r="C449" s="1" t="n">
        <v>46200</v>
      </c>
      <c r="D449" t="inlineStr">
        <is>
          <t>VÄSTERBOTTENS LÄN</t>
        </is>
      </c>
      <c r="E449" t="inlineStr">
        <is>
          <t>NORDMALING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62157-2025</t>
        </is>
      </c>
      <c r="B450" s="1" t="n">
        <v>46006</v>
      </c>
      <c r="C450" s="1" t="n">
        <v>46200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62058-2025</t>
        </is>
      </c>
      <c r="B451" s="1" t="n">
        <v>46006</v>
      </c>
      <c r="C451" s="1" t="n">
        <v>46200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62078-2025</t>
        </is>
      </c>
      <c r="B452" s="1" t="n">
        <v>46006</v>
      </c>
      <c r="C452" s="1" t="n">
        <v>46200</v>
      </c>
      <c r="D452" t="inlineStr">
        <is>
          <t>VÄSTERBOTTENS LÄN</t>
        </is>
      </c>
      <c r="E452" t="inlineStr">
        <is>
          <t>NORDMALING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</v>
      </c>
      <c r="C453" s="1" t="n">
        <v>46200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63073-2025</t>
        </is>
      </c>
      <c r="B454" s="1" t="n">
        <v>46009</v>
      </c>
      <c r="C454" s="1" t="n">
        <v>46200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62928-2025</t>
        </is>
      </c>
      <c r="B455" s="1" t="n">
        <v>46009</v>
      </c>
      <c r="C455" s="1" t="n">
        <v>46200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63037-2025</t>
        </is>
      </c>
      <c r="B456" s="1" t="n">
        <v>46009</v>
      </c>
      <c r="C456" s="1" t="n">
        <v>46200</v>
      </c>
      <c r="D456" t="inlineStr">
        <is>
          <t>VÄSTERBOTTENS LÄN</t>
        </is>
      </c>
      <c r="E456" t="inlineStr">
        <is>
          <t>NORDMALING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63065-2025</t>
        </is>
      </c>
      <c r="B457" s="1" t="n">
        <v>46009</v>
      </c>
      <c r="C457" s="1" t="n">
        <v>46200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63007-2025</t>
        </is>
      </c>
      <c r="B458" s="1" t="n">
        <v>46009</v>
      </c>
      <c r="C458" s="1" t="n">
        <v>46200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35786-2023</t>
        </is>
      </c>
      <c r="B459" s="1" t="n">
        <v>45147</v>
      </c>
      <c r="C459" s="1" t="n">
        <v>46200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35801-2023</t>
        </is>
      </c>
      <c r="B460" s="1" t="n">
        <v>45147</v>
      </c>
      <c r="C460" s="1" t="n">
        <v>46200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35792-2023</t>
        </is>
      </c>
      <c r="B461" s="1" t="n">
        <v>45147</v>
      </c>
      <c r="C461" s="1" t="n">
        <v>46200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35797-2023</t>
        </is>
      </c>
      <c r="B462" s="1" t="n">
        <v>45147</v>
      </c>
      <c r="C462" s="1" t="n">
        <v>46200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63253-2025</t>
        </is>
      </c>
      <c r="B463" s="1" t="n">
        <v>46010</v>
      </c>
      <c r="C463" s="1" t="n">
        <v>46200</v>
      </c>
      <c r="D463" t="inlineStr">
        <is>
          <t>VÄSTERBOTTENS LÄN</t>
        </is>
      </c>
      <c r="E463" t="inlineStr">
        <is>
          <t>NORDMALING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63256-2025</t>
        </is>
      </c>
      <c r="B464" s="1" t="n">
        <v>46010</v>
      </c>
      <c r="C464" s="1" t="n">
        <v>46200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63266-2025</t>
        </is>
      </c>
      <c r="B465" s="1" t="n">
        <v>46010</v>
      </c>
      <c r="C465" s="1" t="n">
        <v>46200</v>
      </c>
      <c r="D465" t="inlineStr">
        <is>
          <t>VÄSTERBOTTENS LÄN</t>
        </is>
      </c>
      <c r="E465" t="inlineStr">
        <is>
          <t>NORDMALING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35803-2023</t>
        </is>
      </c>
      <c r="B466" s="1" t="n">
        <v>45147</v>
      </c>
      <c r="C466" s="1" t="n">
        <v>46200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63813-2025</t>
        </is>
      </c>
      <c r="B467" s="1" t="n">
        <v>46020</v>
      </c>
      <c r="C467" s="1" t="n">
        <v>46200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63756-2025</t>
        </is>
      </c>
      <c r="B468" s="1" t="n">
        <v>46018</v>
      </c>
      <c r="C468" s="1" t="n">
        <v>46200</v>
      </c>
      <c r="D468" t="inlineStr">
        <is>
          <t>VÄSTERBOTTENS LÄN</t>
        </is>
      </c>
      <c r="E468" t="inlineStr">
        <is>
          <t>NORDMALING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63922-2025</t>
        </is>
      </c>
      <c r="B469" s="1" t="n">
        <v>46020</v>
      </c>
      <c r="C469" s="1" t="n">
        <v>46200</v>
      </c>
      <c r="D469" t="inlineStr">
        <is>
          <t>VÄSTERBOTTENS LÄN</t>
        </is>
      </c>
      <c r="E469" t="inlineStr">
        <is>
          <t>NORDMALING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63754-2025</t>
        </is>
      </c>
      <c r="B470" s="1" t="n">
        <v>46018</v>
      </c>
      <c r="C470" s="1" t="n">
        <v>46200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63755-2025</t>
        </is>
      </c>
      <c r="B471" s="1" t="n">
        <v>46018</v>
      </c>
      <c r="C471" s="1" t="n">
        <v>46200</v>
      </c>
      <c r="D471" t="inlineStr">
        <is>
          <t>VÄSTERBOTTENS LÄN</t>
        </is>
      </c>
      <c r="E471" t="inlineStr">
        <is>
          <t>NORDMALING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64158-2025</t>
        </is>
      </c>
      <c r="B472" s="1" t="n">
        <v>46022</v>
      </c>
      <c r="C472" s="1" t="n">
        <v>46200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501-2026</t>
        </is>
      </c>
      <c r="B473" s="1" t="n">
        <v>46029</v>
      </c>
      <c r="C473" s="1" t="n">
        <v>46200</v>
      </c>
      <c r="D473" t="inlineStr">
        <is>
          <t>VÄSTERBOTTENS LÄN</t>
        </is>
      </c>
      <c r="E473" t="inlineStr">
        <is>
          <t>NORDMALING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404-2026</t>
        </is>
      </c>
      <c r="B474" s="1" t="n">
        <v>46028</v>
      </c>
      <c r="C474" s="1" t="n">
        <v>46200</v>
      </c>
      <c r="D474" t="inlineStr">
        <is>
          <t>VÄSTERBOTTENS LÄN</t>
        </is>
      </c>
      <c r="E474" t="inlineStr">
        <is>
          <t>NORDMALING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511-2026</t>
        </is>
      </c>
      <c r="B475" s="1" t="n">
        <v>46029</v>
      </c>
      <c r="C475" s="1" t="n">
        <v>46200</v>
      </c>
      <c r="D475" t="inlineStr">
        <is>
          <t>VÄSTERBOTTENS LÄN</t>
        </is>
      </c>
      <c r="E475" t="inlineStr">
        <is>
          <t>NORDMALING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1429-2026</t>
        </is>
      </c>
      <c r="B476" s="1" t="n">
        <v>46032</v>
      </c>
      <c r="C476" s="1" t="n">
        <v>46200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3104-2026</t>
        </is>
      </c>
      <c r="B477" s="1" t="n">
        <v>46041</v>
      </c>
      <c r="C477" s="1" t="n">
        <v>46200</v>
      </c>
      <c r="D477" t="inlineStr">
        <is>
          <t>VÄSTERBOTTENS LÄN</t>
        </is>
      </c>
      <c r="E477" t="inlineStr">
        <is>
          <t>NORDMALING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2724-2026</t>
        </is>
      </c>
      <c r="B478" s="1" t="n">
        <v>46037</v>
      </c>
      <c r="C478" s="1" t="n">
        <v>46200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2947-2026</t>
        </is>
      </c>
      <c r="B479" s="1" t="n">
        <v>46038</v>
      </c>
      <c r="C479" s="1" t="n">
        <v>46200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2955-2026</t>
        </is>
      </c>
      <c r="B480" s="1" t="n">
        <v>46038</v>
      </c>
      <c r="C480" s="1" t="n">
        <v>46200</v>
      </c>
      <c r="D480" t="inlineStr">
        <is>
          <t>VÄSTERBOTTENS LÄN</t>
        </is>
      </c>
      <c r="E480" t="inlineStr">
        <is>
          <t>NORDMALING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3517-2026</t>
        </is>
      </c>
      <c r="B481" s="1" t="n">
        <v>46042</v>
      </c>
      <c r="C481" s="1" t="n">
        <v>46200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3503-2026</t>
        </is>
      </c>
      <c r="B482" s="1" t="n">
        <v>46042</v>
      </c>
      <c r="C482" s="1" t="n">
        <v>46200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3931-2026</t>
        </is>
      </c>
      <c r="B483" s="1" t="n">
        <v>46043</v>
      </c>
      <c r="C483" s="1" t="n">
        <v>46200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4332-2026</t>
        </is>
      </c>
      <c r="B484" s="1" t="n">
        <v>46045</v>
      </c>
      <c r="C484" s="1" t="n">
        <v>46200</v>
      </c>
      <c r="D484" t="inlineStr">
        <is>
          <t>VÄSTERBOTTENS LÄN</t>
        </is>
      </c>
      <c r="E484" t="inlineStr">
        <is>
          <t>NORDMALING</t>
        </is>
      </c>
      <c r="G484" t="n">
        <v>22.4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4602-2026</t>
        </is>
      </c>
      <c r="B485" s="1" t="n">
        <v>46048</v>
      </c>
      <c r="C485" s="1" t="n">
        <v>46200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4898-2026</t>
        </is>
      </c>
      <c r="B486" s="1" t="n">
        <v>46048</v>
      </c>
      <c r="C486" s="1" t="n">
        <v>46200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5507-2026</t>
        </is>
      </c>
      <c r="B487" s="1" t="n">
        <v>46050</v>
      </c>
      <c r="C487" s="1" t="n">
        <v>46200</v>
      </c>
      <c r="D487" t="inlineStr">
        <is>
          <t>VÄSTERBOTTENS LÄN</t>
        </is>
      </c>
      <c r="E487" t="inlineStr">
        <is>
          <t>NORDMALING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5517-2026</t>
        </is>
      </c>
      <c r="B488" s="1" t="n">
        <v>46050</v>
      </c>
      <c r="C488" s="1" t="n">
        <v>46200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6342-2026</t>
        </is>
      </c>
      <c r="B489" s="1" t="n">
        <v>46055</v>
      </c>
      <c r="C489" s="1" t="n">
        <v>46200</v>
      </c>
      <c r="D489" t="inlineStr">
        <is>
          <t>VÄSTERBOTTENS LÄN</t>
        </is>
      </c>
      <c r="E489" t="inlineStr">
        <is>
          <t>NORDMALING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6624-2026</t>
        </is>
      </c>
      <c r="B490" s="1" t="n">
        <v>46056</v>
      </c>
      <c r="C490" s="1" t="n">
        <v>46200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7122-2026</t>
        </is>
      </c>
      <c r="B491" s="1" t="n">
        <v>46058</v>
      </c>
      <c r="C491" s="1" t="n">
        <v>46200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7123-2026</t>
        </is>
      </c>
      <c r="B492" s="1" t="n">
        <v>46058</v>
      </c>
      <c r="C492" s="1" t="n">
        <v>46200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7159-2026</t>
        </is>
      </c>
      <c r="B493" s="1" t="n">
        <v>46058</v>
      </c>
      <c r="C493" s="1" t="n">
        <v>46200</v>
      </c>
      <c r="D493" t="inlineStr">
        <is>
          <t>VÄSTERBOTTENS LÄN</t>
        </is>
      </c>
      <c r="E493" t="inlineStr">
        <is>
          <t>NORDMALING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7732-2026</t>
        </is>
      </c>
      <c r="B494" s="1" t="n">
        <v>46062</v>
      </c>
      <c r="C494" s="1" t="n">
        <v>46200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8535-2026</t>
        </is>
      </c>
      <c r="B495" s="1" t="n">
        <v>46065</v>
      </c>
      <c r="C495" s="1" t="n">
        <v>46200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8534-2026</t>
        </is>
      </c>
      <c r="B496" s="1" t="n">
        <v>46065</v>
      </c>
      <c r="C496" s="1" t="n">
        <v>46200</v>
      </c>
      <c r="D496" t="inlineStr">
        <is>
          <t>VÄSTERBOTTENS LÄN</t>
        </is>
      </c>
      <c r="E496" t="inlineStr">
        <is>
          <t>NORDMALING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8694-2026</t>
        </is>
      </c>
      <c r="B497" s="1" t="n">
        <v>46066</v>
      </c>
      <c r="C497" s="1" t="n">
        <v>46200</v>
      </c>
      <c r="D497" t="inlineStr">
        <is>
          <t>VÄSTERBOTTENS LÄN</t>
        </is>
      </c>
      <c r="E497" t="inlineStr">
        <is>
          <t>NORDMALING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9863-2026</t>
        </is>
      </c>
      <c r="B498" s="1" t="n">
        <v>46072</v>
      </c>
      <c r="C498" s="1" t="n">
        <v>46200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9869-2026</t>
        </is>
      </c>
      <c r="B499" s="1" t="n">
        <v>46072</v>
      </c>
      <c r="C499" s="1" t="n">
        <v>46200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9692-2026</t>
        </is>
      </c>
      <c r="B500" s="1" t="n">
        <v>46072</v>
      </c>
      <c r="C500" s="1" t="n">
        <v>46200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10300-2026</t>
        </is>
      </c>
      <c r="B501" s="1" t="n">
        <v>46076</v>
      </c>
      <c r="C501" s="1" t="n">
        <v>46200</v>
      </c>
      <c r="D501" t="inlineStr">
        <is>
          <t>VÄSTERBOTTENS LÄN</t>
        </is>
      </c>
      <c r="E501" t="inlineStr">
        <is>
          <t>NORDMALING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9867-2026</t>
        </is>
      </c>
      <c r="B502" s="1" t="n">
        <v>46072</v>
      </c>
      <c r="C502" s="1" t="n">
        <v>46200</v>
      </c>
      <c r="D502" t="inlineStr">
        <is>
          <t>VÄSTERBOTTENS LÄN</t>
        </is>
      </c>
      <c r="E502" t="inlineStr">
        <is>
          <t>NORDMALING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13496-2026</t>
        </is>
      </c>
      <c r="B503" s="1" t="n">
        <v>46094</v>
      </c>
      <c r="C503" s="1" t="n">
        <v>46200</v>
      </c>
      <c r="D503" t="inlineStr">
        <is>
          <t>VÄSTERBOTTENS LÄN</t>
        </is>
      </c>
      <c r="E503" t="inlineStr">
        <is>
          <t>NORDMALING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13566-2026</t>
        </is>
      </c>
      <c r="B504" s="1" t="n">
        <v>46094</v>
      </c>
      <c r="C504" s="1" t="n">
        <v>46200</v>
      </c>
      <c r="D504" t="inlineStr">
        <is>
          <t>VÄSTERBOTTENS LÄN</t>
        </is>
      </c>
      <c r="E504" t="inlineStr">
        <is>
          <t>NORDMALING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13559-2026</t>
        </is>
      </c>
      <c r="B505" s="1" t="n">
        <v>46094</v>
      </c>
      <c r="C505" s="1" t="n">
        <v>46200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15970-2026</t>
        </is>
      </c>
      <c r="B506" s="1" t="n">
        <v>46108</v>
      </c>
      <c r="C506" s="1" t="n">
        <v>46200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15961-2026</t>
        </is>
      </c>
      <c r="B507" s="1" t="n">
        <v>46108</v>
      </c>
      <c r="C507" s="1" t="n">
        <v>46200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Naturvårdsverket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15963-2026</t>
        </is>
      </c>
      <c r="B508" s="1" t="n">
        <v>46108</v>
      </c>
      <c r="C508" s="1" t="n">
        <v>46200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15723-2026</t>
        </is>
      </c>
      <c r="B509" s="1" t="n">
        <v>46106</v>
      </c>
      <c r="C509" s="1" t="n">
        <v>46200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16392-2026</t>
        </is>
      </c>
      <c r="B510" s="1" t="n">
        <v>46111</v>
      </c>
      <c r="C510" s="1" t="n">
        <v>46200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16713-2026</t>
        </is>
      </c>
      <c r="B511" s="1" t="n">
        <v>46113</v>
      </c>
      <c r="C511" s="1" t="n">
        <v>46200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16932-2026</t>
        </is>
      </c>
      <c r="B512" s="1" t="n">
        <v>46113</v>
      </c>
      <c r="C512" s="1" t="n">
        <v>46200</v>
      </c>
      <c r="D512" t="inlineStr">
        <is>
          <t>VÄSTERBOTTENS LÄN</t>
        </is>
      </c>
      <c r="E512" t="inlineStr">
        <is>
          <t>NORDMALING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23006-2026</t>
        </is>
      </c>
      <c r="B513" s="1" t="n">
        <v>46160</v>
      </c>
      <c r="C513" s="1" t="n">
        <v>46200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17451-2026</t>
        </is>
      </c>
      <c r="B514" s="1" t="n">
        <v>46116</v>
      </c>
      <c r="C514" s="1" t="n">
        <v>46200</v>
      </c>
      <c r="D514" t="inlineStr">
        <is>
          <t>VÄSTERBOTTENS LÄN</t>
        </is>
      </c>
      <c r="E514" t="inlineStr">
        <is>
          <t>NORDMALING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23017-2026</t>
        </is>
      </c>
      <c r="B515" s="1" t="n">
        <v>46161</v>
      </c>
      <c r="C515" s="1" t="n">
        <v>46200</v>
      </c>
      <c r="D515" t="inlineStr">
        <is>
          <t>VÄSTERBOTTENS LÄN</t>
        </is>
      </c>
      <c r="E515" t="inlineStr">
        <is>
          <t>NORDMALING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23049-2026</t>
        </is>
      </c>
      <c r="B516" s="1" t="n">
        <v>46161</v>
      </c>
      <c r="C516" s="1" t="n">
        <v>46200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23047-2026</t>
        </is>
      </c>
      <c r="B517" s="1" t="n">
        <v>46161</v>
      </c>
      <c r="C517" s="1" t="n">
        <v>46200</v>
      </c>
      <c r="D517" t="inlineStr">
        <is>
          <t>VÄSTERBOTTENS LÄN</t>
        </is>
      </c>
      <c r="E517" t="inlineStr">
        <is>
          <t>NORDMALING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23022-2026</t>
        </is>
      </c>
      <c r="B518" s="1" t="n">
        <v>46161</v>
      </c>
      <c r="C518" s="1" t="n">
        <v>46200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23056-2026</t>
        </is>
      </c>
      <c r="B519" s="1" t="n">
        <v>46161</v>
      </c>
      <c r="C519" s="1" t="n">
        <v>46200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23216-2026</t>
        </is>
      </c>
      <c r="B520" s="1" t="n">
        <v>46162</v>
      </c>
      <c r="C520" s="1" t="n">
        <v>46200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23005-2026</t>
        </is>
      </c>
      <c r="B521" s="1" t="n">
        <v>46160</v>
      </c>
      <c r="C521" s="1" t="n">
        <v>46200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18039-2026</t>
        </is>
      </c>
      <c r="B522" s="1" t="n">
        <v>46125</v>
      </c>
      <c r="C522" s="1" t="n">
        <v>46200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18042-2026</t>
        </is>
      </c>
      <c r="B523" s="1" t="n">
        <v>46125</v>
      </c>
      <c r="C523" s="1" t="n">
        <v>46200</v>
      </c>
      <c r="D523" t="inlineStr">
        <is>
          <t>VÄSTERBOTTENS LÄN</t>
        </is>
      </c>
      <c r="E523" t="inlineStr">
        <is>
          <t>NORDMALING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24706-2026</t>
        </is>
      </c>
      <c r="B524" s="1" t="n">
        <v>46171</v>
      </c>
      <c r="C524" s="1" t="n">
        <v>46200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18589-2026</t>
        </is>
      </c>
      <c r="B525" s="1" t="n">
        <v>46127</v>
      </c>
      <c r="C525" s="1" t="n">
        <v>46200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24324-2026</t>
        </is>
      </c>
      <c r="B526" s="1" t="n">
        <v>46169</v>
      </c>
      <c r="C526" s="1" t="n">
        <v>46200</v>
      </c>
      <c r="D526" t="inlineStr">
        <is>
          <t>VÄSTERBOTTENS LÄN</t>
        </is>
      </c>
      <c r="E526" t="inlineStr">
        <is>
          <t>NORDMALING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18894-2026</t>
        </is>
      </c>
      <c r="B527" s="1" t="n">
        <v>46129</v>
      </c>
      <c r="C527" s="1" t="n">
        <v>46200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18881-2026</t>
        </is>
      </c>
      <c r="B528" s="1" t="n">
        <v>46129</v>
      </c>
      <c r="C528" s="1" t="n">
        <v>46200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18786-2026</t>
        </is>
      </c>
      <c r="B529" s="1" t="n">
        <v>46128</v>
      </c>
      <c r="C529" s="1" t="n">
        <v>46200</v>
      </c>
      <c r="D529" t="inlineStr">
        <is>
          <t>VÄSTERBOTTENS LÄN</t>
        </is>
      </c>
      <c r="E529" t="inlineStr">
        <is>
          <t>NORDMALING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18788-2026</t>
        </is>
      </c>
      <c r="B530" s="1" t="n">
        <v>46128</v>
      </c>
      <c r="C530" s="1" t="n">
        <v>46200</v>
      </c>
      <c r="D530" t="inlineStr">
        <is>
          <t>VÄSTERBOTTENS LÄN</t>
        </is>
      </c>
      <c r="E530" t="inlineStr">
        <is>
          <t>NORDMALING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9853-2026</t>
        </is>
      </c>
      <c r="B531" s="1" t="n">
        <v>46072</v>
      </c>
      <c r="C531" s="1" t="n">
        <v>46200</v>
      </c>
      <c r="D531" t="inlineStr">
        <is>
          <t>VÄSTERBOTTENS LÄN</t>
        </is>
      </c>
      <c r="E531" t="inlineStr">
        <is>
          <t>NORDMALING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18839-2026</t>
        </is>
      </c>
      <c r="B532" s="1" t="n">
        <v>46129</v>
      </c>
      <c r="C532" s="1" t="n">
        <v>46200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18931-2026</t>
        </is>
      </c>
      <c r="B533" s="1" t="n">
        <v>46129</v>
      </c>
      <c r="C533" s="1" t="n">
        <v>46200</v>
      </c>
      <c r="D533" t="inlineStr">
        <is>
          <t>VÄSTERBOTTENS LÄN</t>
        </is>
      </c>
      <c r="E533" t="inlineStr">
        <is>
          <t>NORDMALING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24901-2026</t>
        </is>
      </c>
      <c r="B534" s="1" t="n">
        <v>46174</v>
      </c>
      <c r="C534" s="1" t="n">
        <v>46200</v>
      </c>
      <c r="D534" t="inlineStr">
        <is>
          <t>VÄSTERBOTTENS LÄN</t>
        </is>
      </c>
      <c r="E534" t="inlineStr">
        <is>
          <t>NORDMALING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24929-2026</t>
        </is>
      </c>
      <c r="B535" s="1" t="n">
        <v>46174</v>
      </c>
      <c r="C535" s="1" t="n">
        <v>46200</v>
      </c>
      <c r="D535" t="inlineStr">
        <is>
          <t>VÄSTERBOTTENS LÄN</t>
        </is>
      </c>
      <c r="E535" t="inlineStr">
        <is>
          <t>NORDMALING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25214-2026</t>
        </is>
      </c>
      <c r="B536" s="1" t="n">
        <v>46171</v>
      </c>
      <c r="C536" s="1" t="n">
        <v>46200</v>
      </c>
      <c r="D536" t="inlineStr">
        <is>
          <t>VÄSTERBOTTENS LÄN</t>
        </is>
      </c>
      <c r="E536" t="inlineStr">
        <is>
          <t>NORDMALING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19143-2026</t>
        </is>
      </c>
      <c r="B537" s="1" t="n">
        <v>46132</v>
      </c>
      <c r="C537" s="1" t="n">
        <v>46200</v>
      </c>
      <c r="D537" t="inlineStr">
        <is>
          <t>VÄSTERBOTTENS LÄN</t>
        </is>
      </c>
      <c r="E537" t="inlineStr">
        <is>
          <t>NORDMALING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19158-2026</t>
        </is>
      </c>
      <c r="B538" s="1" t="n">
        <v>46132</v>
      </c>
      <c r="C538" s="1" t="n">
        <v>46200</v>
      </c>
      <c r="D538" t="inlineStr">
        <is>
          <t>VÄSTERBOTTENS LÄN</t>
        </is>
      </c>
      <c r="E538" t="inlineStr">
        <is>
          <t>NORDMALING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24909-2026</t>
        </is>
      </c>
      <c r="B539" s="1" t="n">
        <v>46174</v>
      </c>
      <c r="C539" s="1" t="n">
        <v>46200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19154-2026</t>
        </is>
      </c>
      <c r="B540" s="1" t="n">
        <v>46132</v>
      </c>
      <c r="C540" s="1" t="n">
        <v>46200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19147-2026</t>
        </is>
      </c>
      <c r="B541" s="1" t="n">
        <v>46132</v>
      </c>
      <c r="C541" s="1" t="n">
        <v>46200</v>
      </c>
      <c r="D541" t="inlineStr">
        <is>
          <t>VÄSTERBOTTENS LÄN</t>
        </is>
      </c>
      <c r="E541" t="inlineStr">
        <is>
          <t>NORDMALING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19797-2026</t>
        </is>
      </c>
      <c r="B542" s="1" t="n">
        <v>46135</v>
      </c>
      <c r="C542" s="1" t="n">
        <v>46200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19565-2026</t>
        </is>
      </c>
      <c r="B543" s="1" t="n">
        <v>46134</v>
      </c>
      <c r="C543" s="1" t="n">
        <v>46200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25272-2026</t>
        </is>
      </c>
      <c r="B544" s="1" t="n">
        <v>46176</v>
      </c>
      <c r="C544" s="1" t="n">
        <v>46200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19731-2026</t>
        </is>
      </c>
      <c r="B545" s="1" t="n">
        <v>46135</v>
      </c>
      <c r="C545" s="1" t="n">
        <v>46200</v>
      </c>
      <c r="D545" t="inlineStr">
        <is>
          <t>VÄSTERBOTTENS LÄN</t>
        </is>
      </c>
      <c r="E545" t="inlineStr">
        <is>
          <t>NORDMALING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494-2026</t>
        </is>
      </c>
      <c r="B546" s="1" t="n">
        <v>46029</v>
      </c>
      <c r="C546" s="1" t="n">
        <v>46200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54837-2024</t>
        </is>
      </c>
      <c r="B547" s="1" t="n">
        <v>45618</v>
      </c>
      <c r="C547" s="1" t="n">
        <v>46200</v>
      </c>
      <c r="D547" t="inlineStr">
        <is>
          <t>VÄSTERBOTTENS LÄN</t>
        </is>
      </c>
      <c r="E547" t="inlineStr">
        <is>
          <t>NORDMALING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25996-2026</t>
        </is>
      </c>
      <c r="B548" s="1" t="n">
        <v>46181</v>
      </c>
      <c r="C548" s="1" t="n">
        <v>46200</v>
      </c>
      <c r="D548" t="inlineStr">
        <is>
          <t>VÄSTERBOTTENS LÄN</t>
        </is>
      </c>
      <c r="E548" t="inlineStr">
        <is>
          <t>NORDMALING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</v>
      </c>
      <c r="C549" s="1" t="n">
        <v>46200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39573-2025</t>
        </is>
      </c>
      <c r="B550" s="1" t="n">
        <v>45890</v>
      </c>
      <c r="C550" s="1" t="n">
        <v>46200</v>
      </c>
      <c r="D550" t="inlineStr">
        <is>
          <t>VÄSTERBOTTENS LÄN</t>
        </is>
      </c>
      <c r="E550" t="inlineStr">
        <is>
          <t>NORDMALING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36129-2025</t>
        </is>
      </c>
      <c r="B551" s="1" t="n">
        <v>45866</v>
      </c>
      <c r="C551" s="1" t="n">
        <v>46200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57897-2025</t>
        </is>
      </c>
      <c r="B552" s="1" t="n">
        <v>45981</v>
      </c>
      <c r="C552" s="1" t="n">
        <v>46200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25162-2025</t>
        </is>
      </c>
      <c r="B553" s="1" t="n">
        <v>45800</v>
      </c>
      <c r="C553" s="1" t="n">
        <v>46200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20162-2026</t>
        </is>
      </c>
      <c r="B554" s="1" t="n">
        <v>46139</v>
      </c>
      <c r="C554" s="1" t="n">
        <v>46200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39776-2024</t>
        </is>
      </c>
      <c r="B555" s="1" t="n">
        <v>45552</v>
      </c>
      <c r="C555" s="1" t="n">
        <v>46200</v>
      </c>
      <c r="D555" t="inlineStr">
        <is>
          <t>VÄSTERBOTTENS LÄN</t>
        </is>
      </c>
      <c r="E555" t="inlineStr">
        <is>
          <t>NORDMALING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60669-2025</t>
        </is>
      </c>
      <c r="B556" s="1" t="n">
        <v>45996</v>
      </c>
      <c r="C556" s="1" t="n">
        <v>46200</v>
      </c>
      <c r="D556" t="inlineStr">
        <is>
          <t>VÄSTERBOTTENS LÄN</t>
        </is>
      </c>
      <c r="E556" t="inlineStr">
        <is>
          <t>NORDMALING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25018-2025</t>
        </is>
      </c>
      <c r="B557" s="1" t="n">
        <v>45799</v>
      </c>
      <c r="C557" s="1" t="n">
        <v>46200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25906-2026</t>
        </is>
      </c>
      <c r="B558" s="1" t="n">
        <v>46178</v>
      </c>
      <c r="C558" s="1" t="n">
        <v>46200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46593-2025</t>
        </is>
      </c>
      <c r="B559" s="1" t="n">
        <v>45926</v>
      </c>
      <c r="C559" s="1" t="n">
        <v>46200</v>
      </c>
      <c r="D559" t="inlineStr">
        <is>
          <t>VÄSTERBOTTENS LÄN</t>
        </is>
      </c>
      <c r="E559" t="inlineStr">
        <is>
          <t>NORDMALING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20015-2026</t>
        </is>
      </c>
      <c r="B560" s="1" t="n">
        <v>46136</v>
      </c>
      <c r="C560" s="1" t="n">
        <v>46200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47015-2025</t>
        </is>
      </c>
      <c r="B561" s="1" t="n">
        <v>45929</v>
      </c>
      <c r="C561" s="1" t="n">
        <v>46200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5544-2026</t>
        </is>
      </c>
      <c r="B562" s="1" t="n">
        <v>46050</v>
      </c>
      <c r="C562" s="1" t="n">
        <v>46200</v>
      </c>
      <c r="D562" t="inlineStr">
        <is>
          <t>VÄSTERBOTTENS LÄN</t>
        </is>
      </c>
      <c r="E562" t="inlineStr">
        <is>
          <t>NORDMALING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20062-2026</t>
        </is>
      </c>
      <c r="B563" s="1" t="n">
        <v>46136</v>
      </c>
      <c r="C563" s="1" t="n">
        <v>46200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20721-2026</t>
        </is>
      </c>
      <c r="B564" s="1" t="n">
        <v>46141</v>
      </c>
      <c r="C564" s="1" t="n">
        <v>46200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20733-2026</t>
        </is>
      </c>
      <c r="B565" s="1" t="n">
        <v>46141</v>
      </c>
      <c r="C565" s="1" t="n">
        <v>46200</v>
      </c>
      <c r="D565" t="inlineStr">
        <is>
          <t>VÄSTERBOTTENS LÄN</t>
        </is>
      </c>
      <c r="E565" t="inlineStr">
        <is>
          <t>NORDMALING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54368-2025</t>
        </is>
      </c>
      <c r="B566" s="1" t="n">
        <v>45965</v>
      </c>
      <c r="C566" s="1" t="n">
        <v>46200</v>
      </c>
      <c r="D566" t="inlineStr">
        <is>
          <t>VÄSTERBOTTENS LÄN</t>
        </is>
      </c>
      <c r="E566" t="inlineStr">
        <is>
          <t>NORDMALING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53976-2025</t>
        </is>
      </c>
      <c r="B567" s="1" t="n">
        <v>45961</v>
      </c>
      <c r="C567" s="1" t="n">
        <v>46200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26796-2026</t>
        </is>
      </c>
      <c r="B568" s="1" t="n">
        <v>46185</v>
      </c>
      <c r="C568" s="1" t="n">
        <v>46200</v>
      </c>
      <c r="D568" t="inlineStr">
        <is>
          <t>VÄSTERBOTTENS LÄN</t>
        </is>
      </c>
      <c r="E568" t="inlineStr">
        <is>
          <t>NORDMALING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27125-2026</t>
        </is>
      </c>
      <c r="B569" s="1" t="n">
        <v>46188</v>
      </c>
      <c r="C569" s="1" t="n">
        <v>46200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21444-2026</t>
        </is>
      </c>
      <c r="B570" s="1" t="n">
        <v>46148</v>
      </c>
      <c r="C570" s="1" t="n">
        <v>46200</v>
      </c>
      <c r="D570" t="inlineStr">
        <is>
          <t>VÄSTERBOTTENS LÄN</t>
        </is>
      </c>
      <c r="E570" t="inlineStr">
        <is>
          <t>NORDMALING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27964-2026</t>
        </is>
      </c>
      <c r="B571" s="1" t="n">
        <v>46195</v>
      </c>
      <c r="C571" s="1" t="n">
        <v>46200</v>
      </c>
      <c r="D571" t="inlineStr">
        <is>
          <t>VÄSTERBOTTENS LÄN</t>
        </is>
      </c>
      <c r="E571" t="inlineStr">
        <is>
          <t>NORDMALING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21952-2026</t>
        </is>
      </c>
      <c r="B572" s="1" t="n">
        <v>46151</v>
      </c>
      <c r="C572" s="1" t="n">
        <v>46200</v>
      </c>
      <c r="D572" t="inlineStr">
        <is>
          <t>VÄSTERBOTTENS LÄN</t>
        </is>
      </c>
      <c r="E572" t="inlineStr">
        <is>
          <t>NORDMALING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28025-2026</t>
        </is>
      </c>
      <c r="B573" s="1" t="n">
        <v>46195</v>
      </c>
      <c r="C573" s="1" t="n">
        <v>46200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21947-2026</t>
        </is>
      </c>
      <c r="B574" s="1" t="n">
        <v>46151</v>
      </c>
      <c r="C574" s="1" t="n">
        <v>46200</v>
      </c>
      <c r="D574" t="inlineStr">
        <is>
          <t>VÄSTERBOTTENS LÄN</t>
        </is>
      </c>
      <c r="E574" t="inlineStr">
        <is>
          <t>NORDMALING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28445-2026</t>
        </is>
      </c>
      <c r="B575" s="1" t="n">
        <v>46197</v>
      </c>
      <c r="C575" s="1" t="n">
        <v>46200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22581-2026</t>
        </is>
      </c>
      <c r="B576" s="1" t="n">
        <v>46155</v>
      </c>
      <c r="C576" s="1" t="n">
        <v>46200</v>
      </c>
      <c r="D576" t="inlineStr">
        <is>
          <t>VÄSTERBOTTENS LÄN</t>
        </is>
      </c>
      <c r="E576" t="inlineStr">
        <is>
          <t>NORDMALING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28446-2026</t>
        </is>
      </c>
      <c r="B577" s="1" t="n">
        <v>46197</v>
      </c>
      <c r="C577" s="1" t="n">
        <v>46200</v>
      </c>
      <c r="D577" t="inlineStr">
        <is>
          <t>VÄSTERBOTTENS LÄN</t>
        </is>
      </c>
      <c r="E577" t="inlineStr">
        <is>
          <t>NORDMALING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22669-2026</t>
        </is>
      </c>
      <c r="B578" s="1" t="n">
        <v>46155</v>
      </c>
      <c r="C578" s="1" t="n">
        <v>46200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28957-2026</t>
        </is>
      </c>
      <c r="B579" s="1" t="n">
        <v>46199</v>
      </c>
      <c r="C579" s="1" t="n">
        <v>46200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28314-2026</t>
        </is>
      </c>
      <c r="B580" s="1" t="n">
        <v>46196</v>
      </c>
      <c r="C580" s="1" t="n">
        <v>46200</v>
      </c>
      <c r="D580" t="inlineStr">
        <is>
          <t>VÄSTERBOTTENS LÄN</t>
        </is>
      </c>
      <c r="E580" t="inlineStr">
        <is>
          <t>NORDMALING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2026-06-27T00:55:16Z</dcterms:created>
  <dcterms:modified xmlns:dcterms="http://purl.org/dc/terms/" xmlns:xsi="http://www.w3.org/2001/XMLSchema-instance" xsi:type="dcterms:W3CDTF">2026-06-27T00:55:16Z</dcterms:modified>
</cp:coreProperties>
</file>