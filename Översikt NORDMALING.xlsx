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46233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46233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46233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46233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46233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46233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46233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46233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46233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46233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46233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46233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46233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46233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Stjärntagging
Ullticka</t>
        </is>
      </c>
      <c r="W21">
        <f>HYPERLINK("https://klasma.github.io/Logging_2401/artfynd/A 3483-2026 artfynd.xlsx", "A 3483-2026")</f>
        <v/>
      </c>
      <c r="X21">
        <f>HYPERLINK("https://klasma.github.io/Logging_2401/kartor/A 3483-2026 karta.png", "A 3483-2026")</f>
        <v/>
      </c>
      <c r="Y21">
        <f>HYPERLINK("https://klasma.github.io/Logging_2401/kartor_geotiff/A 3483-2026 georefererad karta.tif", "A 3483-2026")</f>
        <v/>
      </c>
      <c r="AA21">
        <f>HYPERLINK("https://klasma.github.io/Logging_2401/klagomål/A 3483-2026 FSC-klagomål.docx", "A 3483-2026")</f>
        <v/>
      </c>
      <c r="AB21">
        <f>HYPERLINK("https://klasma.github.io/Logging_2401/klagomålsmail/A 3483-2026 FSC-klagomål mail.docx", "A 3483-2026")</f>
        <v/>
      </c>
      <c r="AC21">
        <f>HYPERLINK("https://klasma.github.io/Logging_2401/tillsyn/A 3483-2026 tillsynsbegäran.docx", "A 3483-2026")</f>
        <v/>
      </c>
      <c r="AD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46233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46233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46233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46233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46233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46233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46233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46233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46233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46233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46233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46233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46233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46233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HYPERLINK("https://klasma.github.io/Logging_2401/artfynd/A 48999-2025 artfynd.xlsx", "A 48999-2025")</f>
        <v/>
      </c>
      <c r="X47">
        <f>HYPERLINK("https://klasma.github.io/Logging_2401/kartor/A 48999-2025 karta.png", "A 48999-2025")</f>
        <v/>
      </c>
      <c r="Y47">
        <f>HYPERLINK("https://klasma.github.io/Logging_2401/kartor_geotiff/A 48999-2025 georefererad karta.tif", "A 48999-2025")</f>
        <v/>
      </c>
      <c r="AA47">
        <f>HYPERLINK("https://klasma.github.io/Logging_2401/klagomål/A 48999-2025 FSC-klagomål.docx", "A 48999-2025")</f>
        <v/>
      </c>
      <c r="AB47">
        <f>HYPERLINK("https://klasma.github.io/Logging_2401/klagomålsmail/A 48999-2025 FSC-klagomål mail.docx", "A 48999-2025")</f>
        <v/>
      </c>
      <c r="AC47">
        <f>HYPERLINK("https://klasma.github.io/Logging_2401/tillsyn/A 48999-2025 tillsynsbegäran.docx", "A 48999-2025")</f>
        <v/>
      </c>
      <c r="AD47">
        <f>HYPERLINK("https://klasma.github.io/Logging_2401/tillsynsmail/A 48999-2025 tillsynsbegäran mail.docx", "A 48999-2025")</f>
        <v/>
      </c>
    </row>
    <row r="48" ht="15" customHeight="1">
      <c r="A48" t="inlineStr">
        <is>
          <t>A 23496-2022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44721</v>
      </c>
      <c r="E48" s="1" t="n">
        <v>46233</v>
      </c>
      <c r="F48" t="inlineStr">
        <is>
          <t>VÄSTERBOTTENS LÄN</t>
        </is>
      </c>
      <c r="G48" t="inlineStr">
        <is>
          <t>NORDMALING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HYPERLINK("https://klasma.github.io/Logging_2401/artfynd/A 23496-2022 artfynd.xlsx", "A 23496-2022")</f>
        <v/>
      </c>
      <c r="X48">
        <f>HYPERLINK("https://klasma.github.io/Logging_2401/kartor/A 23496-2022 karta.png", "A 23496-2022")</f>
        <v/>
      </c>
      <c r="Y48">
        <f>HYPERLINK("https://klasma.github.io/Logging_2401/kartor_geotiff/A 23496-2022 georefererad karta.tif", "A 23496-2022")</f>
        <v/>
      </c>
      <c r="AA48">
        <f>HYPERLINK("https://klasma.github.io/Logging_2401/klagomål/A 23496-2022 FSC-klagomål.docx", "A 23496-2022")</f>
        <v/>
      </c>
      <c r="AB48">
        <f>HYPERLINK("https://klasma.github.io/Logging_2401/klagomålsmail/A 23496-2022 FSC-klagomål mail.docx", "A 23496-2022")</f>
        <v/>
      </c>
      <c r="AC48">
        <f>HYPERLINK("https://klasma.github.io/Logging_2401/tillsyn/A 23496-2022 tillsynsbegäran.docx", "A 23496-2022")</f>
        <v/>
      </c>
      <c r="AD48">
        <f>HYPERLINK("https://klasma.github.io/Logging_2401/tillsynsmail/A 23496-2022 tillsynsbegäran mail.docx", "A 23496-2022")</f>
        <v/>
      </c>
      <c r="AE48">
        <f>HYPERLINK("https://klasma.github.io/Logging_2401/fåglar/A 23496-2022 prioriterade fågelarter.docx", "A 23496-2022")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46233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HYPERLINK("https://klasma.github.io/Logging_2401/artfynd/A 9717-2026 artfynd.xlsx", "A 9717-2026")</f>
        <v/>
      </c>
      <c r="X49">
        <f>HYPERLINK("https://klasma.github.io/Logging_2401/kartor/A 9717-2026 karta.png", "A 9717-2026")</f>
        <v/>
      </c>
      <c r="Y49">
        <f>HYPERLINK("https://klasma.github.io/Logging_2401/kartor_geotiff/A 9717-2026 georefererad karta.tif", "A 9717-2026")</f>
        <v/>
      </c>
      <c r="AA49">
        <f>HYPERLINK("https://klasma.github.io/Logging_2401/klagomål/A 9717-2026 FSC-klagomål.docx", "A 9717-2026")</f>
        <v/>
      </c>
      <c r="AB49">
        <f>HYPERLINK("https://klasma.github.io/Logging_2401/klagomålsmail/A 9717-2026 FSC-klagomål mail.docx", "A 9717-2026")</f>
        <v/>
      </c>
      <c r="AC49">
        <f>HYPERLINK("https://klasma.github.io/Logging_2401/tillsyn/A 9717-2026 tillsynsbegäran.docx", "A 9717-2026")</f>
        <v/>
      </c>
      <c r="AD49">
        <f>HYPERLINK("https://klasma.github.io/Logging_2401/tillsynsmail/A 9717-2026 tillsynsbegäran mail.docx", "A 9717-2026")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46233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46233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46233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46233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HYPERLINK("https://klasma.github.io/Logging_2401/artfynd/A 61867-2024 artfynd.xlsx", "A 61867-2024")</f>
        <v/>
      </c>
      <c r="X53">
        <f>HYPERLINK("https://klasma.github.io/Logging_2401/kartor/A 61867-2024 karta.png", "A 61867-2024")</f>
        <v/>
      </c>
      <c r="Y53">
        <f>HYPERLINK("https://klasma.github.io/Logging_2401/kartor_geotiff/A 61867-2024 georefererad karta.tif", "A 61867-2024")</f>
        <v/>
      </c>
      <c r="AA53">
        <f>HYPERLINK("https://klasma.github.io/Logging_2401/klagomål/A 61867-2024 FSC-klagomål.docx", "A 61867-2024")</f>
        <v/>
      </c>
      <c r="AB53">
        <f>HYPERLINK("https://klasma.github.io/Logging_2401/klagomålsmail/A 61867-2024 FSC-klagomål mail.docx", "A 61867-2024")</f>
        <v/>
      </c>
      <c r="AC53">
        <f>HYPERLINK("https://klasma.github.io/Logging_2401/tillsyn/A 61867-2024 tillsynsbegäran.docx", "A 61867-2024")</f>
        <v/>
      </c>
      <c r="AD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46233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63779-2023 artfynd.xlsx", "A 63779-2023")</f>
        <v/>
      </c>
      <c r="X54">
        <f>HYPERLINK("https://klasma.github.io/Logging_2401/kartor/A 63779-2023 karta.png", "A 63779-2023")</f>
        <v/>
      </c>
      <c r="Y54">
        <f>HYPERLINK("https://klasma.github.io/Logging_2401/kartor_geotiff/A 63779-2023 georefererad karta.tif", "A 63779-2023")</f>
        <v/>
      </c>
      <c r="AA54">
        <f>HYPERLINK("https://klasma.github.io/Logging_2401/klagomål/A 63779-2023 FSC-klagomål.docx", "A 63779-2023")</f>
        <v/>
      </c>
      <c r="AB54">
        <f>HYPERLINK("https://klasma.github.io/Logging_2401/klagomålsmail/A 63779-2023 FSC-klagomål mail.docx", "A 63779-2023")</f>
        <v/>
      </c>
      <c r="AC54">
        <f>HYPERLINK("https://klasma.github.io/Logging_2401/tillsyn/A 63779-2023 tillsynsbegäran.docx", "A 63779-2023")</f>
        <v/>
      </c>
      <c r="AD54">
        <f>HYPERLINK("https://klasma.github.io/Logging_2401/tillsynsmail/A 63779-2023 tillsynsbegäran mail.docx", "A 63779-2023")</f>
        <v/>
      </c>
      <c r="AE54">
        <f>HYPERLINK("https://klasma.github.io/Logging_2401/fåglar/A 63779-2023 prioriterade fågelarter.docx", "A 63779-2023")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46233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46233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46233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46233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46233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46233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46233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46233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46233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46233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46233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46233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46233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46233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46233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46233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46233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46233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46233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46233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46233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46233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46233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46233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46233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46233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46233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46233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46233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46233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46233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46233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46233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46233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46233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46233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46233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46233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46233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30715-2022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44763</v>
      </c>
      <c r="E104" s="1" t="n">
        <v>46233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46233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46233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46233</v>
      </c>
      <c r="F107" t="inlineStr">
        <is>
          <t>VÄSTERBOTTENS LÄN</t>
        </is>
      </c>
      <c r="G107" t="inlineStr">
        <is>
          <t>NORDMALING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46233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46233</v>
      </c>
      <c r="F109" t="inlineStr">
        <is>
          <t>VÄSTERBOTTENS LÄN</t>
        </is>
      </c>
      <c r="G109" t="inlineStr">
        <is>
          <t>NORDMALING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34176-2023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45126</v>
      </c>
      <c r="E110" s="1" t="n">
        <v>46233</v>
      </c>
      <c r="F110" t="inlineStr">
        <is>
          <t>VÄSTERBOTTENS LÄN</t>
        </is>
      </c>
      <c r="G110" t="inlineStr">
        <is>
          <t>NORDMALING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46233</v>
      </c>
      <c r="F111" t="inlineStr">
        <is>
          <t>VÄSTERBOTTENS LÄN</t>
        </is>
      </c>
      <c r="G111" t="inlineStr">
        <is>
          <t>NORDMALING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46233</v>
      </c>
      <c r="F112" t="inlineStr">
        <is>
          <t>VÄSTERBOTTENS LÄN</t>
        </is>
      </c>
      <c r="G112" t="inlineStr">
        <is>
          <t>NORDMALING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46233</v>
      </c>
      <c r="F113" t="inlineStr">
        <is>
          <t>VÄSTERBOTTENS LÄN</t>
        </is>
      </c>
      <c r="G113" t="inlineStr">
        <is>
          <t>NORDMALING</t>
        </is>
      </c>
      <c r="I113" t="n">
        <v>12.5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46233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43735-2021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46233</v>
      </c>
      <c r="F115" t="inlineStr">
        <is>
          <t>VÄSTERBOTTENS LÄN</t>
        </is>
      </c>
      <c r="G115" t="inlineStr">
        <is>
          <t>NORDMALING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46233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61793-2023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46233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46233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46233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45443</v>
      </c>
      <c r="E120" s="1" t="n">
        <v>46233</v>
      </c>
      <c r="F120" t="inlineStr">
        <is>
          <t>VÄSTERBOTTENS LÄN</t>
        </is>
      </c>
      <c r="G120" t="inlineStr">
        <is>
          <t>NORDMALING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46233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45525</v>
      </c>
      <c r="E122" s="1" t="n">
        <v>46233</v>
      </c>
      <c r="F122" t="inlineStr">
        <is>
          <t>VÄSTERBOTTENS LÄN</t>
        </is>
      </c>
      <c r="G122" t="inlineStr">
        <is>
          <t>NORDMALING</t>
        </is>
      </c>
      <c r="I122" t="n">
        <v>12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46233</v>
      </c>
      <c r="F123" t="inlineStr">
        <is>
          <t>VÄSTERBOTTENS LÄN</t>
        </is>
      </c>
      <c r="G123" t="inlineStr">
        <is>
          <t>NORDMALING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44921</v>
      </c>
      <c r="E124" s="1" t="n">
        <v>46233</v>
      </c>
      <c r="F124" t="inlineStr">
        <is>
          <t>VÄSTERBOTTENS LÄN</t>
        </is>
      </c>
      <c r="G124" t="inlineStr">
        <is>
          <t>NORDMALING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45482</v>
      </c>
      <c r="E125" s="1" t="n">
        <v>46233</v>
      </c>
      <c r="F125" t="inlineStr">
        <is>
          <t>VÄSTERBOTTENS LÄN</t>
        </is>
      </c>
      <c r="G125" t="inlineStr">
        <is>
          <t>NORDMALING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46233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46233</v>
      </c>
      <c r="F127" t="inlineStr">
        <is>
          <t>VÄSTERBOTTENS LÄN</t>
        </is>
      </c>
      <c r="G127" t="inlineStr">
        <is>
          <t>NORDMALING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44922</v>
      </c>
      <c r="E128" s="1" t="n">
        <v>46233</v>
      </c>
      <c r="F128" t="inlineStr">
        <is>
          <t>VÄSTERBOTTENS LÄN</t>
        </is>
      </c>
      <c r="G128" t="inlineStr">
        <is>
          <t>NORDMALING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46233</v>
      </c>
      <c r="F129" t="inlineStr">
        <is>
          <t>VÄSTERBOTTENS LÄN</t>
        </is>
      </c>
      <c r="G129" t="inlineStr">
        <is>
          <t>NORDMALING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45021</v>
      </c>
      <c r="E130" s="1" t="n">
        <v>46233</v>
      </c>
      <c r="F130" t="inlineStr">
        <is>
          <t>VÄSTERBOTTENS LÄN</t>
        </is>
      </c>
      <c r="G130" t="inlineStr">
        <is>
          <t>NORDMALING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46233</v>
      </c>
      <c r="F131" t="inlineStr">
        <is>
          <t>VÄSTERBOTTENS LÄN</t>
        </is>
      </c>
      <c r="G131" t="inlineStr">
        <is>
          <t>NORDMALING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46233</v>
      </c>
      <c r="F132" t="inlineStr">
        <is>
          <t>VÄSTERBOTTENS LÄN</t>
        </is>
      </c>
      <c r="G132" t="inlineStr">
        <is>
          <t>NORDMALING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45238</v>
      </c>
      <c r="E133" s="1" t="n">
        <v>46233</v>
      </c>
      <c r="F133" t="inlineStr">
        <is>
          <t>VÄSTERBOTTENS LÄN</t>
        </is>
      </c>
      <c r="G133" t="inlineStr">
        <is>
          <t>NORDMALING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46233</v>
      </c>
      <c r="F134" t="inlineStr">
        <is>
          <t>VÄSTERBOTTENS LÄN</t>
        </is>
      </c>
      <c r="G134" t="inlineStr">
        <is>
          <t>NORDMALING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46233</v>
      </c>
      <c r="F135" t="inlineStr">
        <is>
          <t>VÄSTERBOTTENS LÄN</t>
        </is>
      </c>
      <c r="G135" t="inlineStr">
        <is>
          <t>NORDMALING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46233</v>
      </c>
      <c r="F136" t="inlineStr">
        <is>
          <t>VÄSTERBOTTENS LÄN</t>
        </is>
      </c>
      <c r="G136" t="inlineStr">
        <is>
          <t>NORDMALING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46233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46233</v>
      </c>
      <c r="F138" t="inlineStr">
        <is>
          <t>VÄSTERBOTTENS LÄN</t>
        </is>
      </c>
      <c r="G138" t="inlineStr">
        <is>
          <t>NORDMALING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46233</v>
      </c>
      <c r="F139" t="inlineStr">
        <is>
          <t>VÄSTERBOTTENS LÄN</t>
        </is>
      </c>
      <c r="G139" t="inlineStr">
        <is>
          <t>NORDMALING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36814-2024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45538</v>
      </c>
      <c r="E140" s="1" t="n">
        <v>46233</v>
      </c>
      <c r="F140" t="inlineStr">
        <is>
          <t>VÄSTERBOTTENS LÄN</t>
        </is>
      </c>
      <c r="G140" t="inlineStr">
        <is>
          <t>NORDMALING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48234-2024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45590</v>
      </c>
      <c r="E141" s="1" t="n">
        <v>46233</v>
      </c>
      <c r="F141" t="inlineStr">
        <is>
          <t>VÄSTERBOTTENS LÄN</t>
        </is>
      </c>
      <c r="G141" t="inlineStr">
        <is>
          <t>NORDMALING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46233</v>
      </c>
      <c r="F142" t="inlineStr">
        <is>
          <t>VÄSTERBOTTENS LÄN</t>
        </is>
      </c>
      <c r="G142" t="inlineStr">
        <is>
          <t>NORDMALING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46233</v>
      </c>
      <c r="F143" t="inlineStr">
        <is>
          <t>VÄSTERBOTTENS LÄN</t>
        </is>
      </c>
      <c r="G143" t="inlineStr">
        <is>
          <t>NORDMALING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46233</v>
      </c>
      <c r="F144" t="inlineStr">
        <is>
          <t>VÄSTERBOTTENS LÄN</t>
        </is>
      </c>
      <c r="G144" t="inlineStr">
        <is>
          <t>NORDMALING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34184-2023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45126</v>
      </c>
      <c r="E145" s="1" t="n">
        <v>46233</v>
      </c>
      <c r="F145" t="inlineStr">
        <is>
          <t>VÄSTERBOTTENS LÄN</t>
        </is>
      </c>
      <c r="G145" t="inlineStr">
        <is>
          <t>NORDMALING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46233</v>
      </c>
      <c r="F146" t="inlineStr">
        <is>
          <t>VÄSTERBOTTENS LÄN</t>
        </is>
      </c>
      <c r="G146" t="inlineStr">
        <is>
          <t>NORDMALING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46233</v>
      </c>
      <c r="F147" t="inlineStr">
        <is>
          <t>VÄSTERBOTTENS LÄN</t>
        </is>
      </c>
      <c r="G147" t="inlineStr">
        <is>
          <t>NORDMALING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45491</v>
      </c>
      <c r="E148" s="1" t="n">
        <v>46233</v>
      </c>
      <c r="F148" t="inlineStr">
        <is>
          <t>VÄSTERBOTTENS LÄN</t>
        </is>
      </c>
      <c r="G148" t="inlineStr">
        <is>
          <t>NORDMALING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46233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46233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46233</v>
      </c>
      <c r="F151" t="inlineStr">
        <is>
          <t>VÄSTERBOTTENS LÄN</t>
        </is>
      </c>
      <c r="G151" t="inlineStr">
        <is>
          <t>NORDMALING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46233</v>
      </c>
      <c r="F152" t="inlineStr">
        <is>
          <t>VÄSTERBOTTENS LÄN</t>
        </is>
      </c>
      <c r="G152" t="inlineStr">
        <is>
          <t>NORDMALING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45796</v>
      </c>
      <c r="E153" s="1" t="n">
        <v>46233</v>
      </c>
      <c r="F153" t="inlineStr">
        <is>
          <t>VÄSTERBOTTENS LÄN</t>
        </is>
      </c>
      <c r="G153" t="inlineStr">
        <is>
          <t>NORDMALING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46233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46233</v>
      </c>
      <c r="F155" t="inlineStr">
        <is>
          <t>VÄSTERBOTTENS LÄN</t>
        </is>
      </c>
      <c r="G155" t="inlineStr">
        <is>
          <t>NORDMALING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46233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46233</v>
      </c>
      <c r="F157" t="inlineStr">
        <is>
          <t>VÄSTERBOTTENS LÄN</t>
        </is>
      </c>
      <c r="G157" t="inlineStr">
        <is>
          <t>NORDMALING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46048</v>
      </c>
      <c r="E158" s="1" t="n">
        <v>46233</v>
      </c>
      <c r="F158" t="inlineStr">
        <is>
          <t>VÄSTERBOTTENS LÄN</t>
        </is>
      </c>
      <c r="G158" t="inlineStr">
        <is>
          <t>NORDMALING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46233</v>
      </c>
      <c r="F159" t="inlineStr">
        <is>
          <t>VÄSTERBOTTENS LÄN</t>
        </is>
      </c>
      <c r="G159" t="inlineStr">
        <is>
          <t>NORDMALING</t>
        </is>
      </c>
      <c r="I159" t="n">
        <v>22.4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29606-2025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45825</v>
      </c>
      <c r="E160" s="1" t="n">
        <v>46233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46233</v>
      </c>
      <c r="F161" t="inlineStr">
        <is>
          <t>VÄSTERBOTTENS LÄN</t>
        </is>
      </c>
      <c r="G161" t="inlineStr">
        <is>
          <t>NORDMALING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46233</v>
      </c>
      <c r="F162" t="inlineStr">
        <is>
          <t>VÄSTERBOTTENS LÄN</t>
        </is>
      </c>
      <c r="G162" t="inlineStr">
        <is>
          <t>NORDMALING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46233</v>
      </c>
      <c r="F163" t="inlineStr">
        <is>
          <t>VÄSTERBOTTENS LÄN</t>
        </is>
      </c>
      <c r="G163" t="inlineStr">
        <is>
          <t>NORDMALING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46233</v>
      </c>
      <c r="F164" t="inlineStr">
        <is>
          <t>VÄSTERBOTTENS LÄN</t>
        </is>
      </c>
      <c r="G164" t="inlineStr">
        <is>
          <t>NORDMALING</t>
        </is>
      </c>
      <c r="I164" t="n">
        <v>12.5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46233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46233</v>
      </c>
      <c r="F166" t="inlineStr">
        <is>
          <t>VÄSTERBOTTENS LÄN</t>
        </is>
      </c>
      <c r="G166" t="inlineStr">
        <is>
          <t>NORDMALING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46233</v>
      </c>
      <c r="F167" t="inlineStr">
        <is>
          <t>VÄSTERBOTTENS LÄN</t>
        </is>
      </c>
      <c r="G167" t="inlineStr">
        <is>
          <t>NORDMALING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46233</v>
      </c>
      <c r="F168" t="inlineStr">
        <is>
          <t>VÄSTERBOTTENS LÄN</t>
        </is>
      </c>
      <c r="G168" t="inlineStr">
        <is>
          <t>NORDMALING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46233</v>
      </c>
      <c r="F169" t="inlineStr">
        <is>
          <t>VÄSTERBOTTENS LÄN</t>
        </is>
      </c>
      <c r="G169" t="inlineStr">
        <is>
          <t>NORDMALING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46233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46233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45232</v>
      </c>
      <c r="E172" s="1" t="n">
        <v>46233</v>
      </c>
      <c r="F172" t="inlineStr">
        <is>
          <t>VÄSTERBOTTENS LÄN</t>
        </is>
      </c>
      <c r="G172" t="inlineStr">
        <is>
          <t>NORDMALING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46233</v>
      </c>
      <c r="F173" t="inlineStr">
        <is>
          <t>VÄSTERBOTTENS LÄN</t>
        </is>
      </c>
      <c r="G173" t="inlineStr">
        <is>
          <t>NORDMALING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46233</v>
      </c>
      <c r="F174" t="inlineStr">
        <is>
          <t>VÄSTERBOTTENS LÄN</t>
        </is>
      </c>
      <c r="G174" t="inlineStr">
        <is>
          <t>NORDMALING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46233</v>
      </c>
      <c r="F175" t="inlineStr">
        <is>
          <t>VÄSTERBOTTENS LÄN</t>
        </is>
      </c>
      <c r="G175" t="inlineStr">
        <is>
          <t>NORDMALING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46050</v>
      </c>
      <c r="E176" s="1" t="n">
        <v>46233</v>
      </c>
      <c r="F176" t="inlineStr">
        <is>
          <t>VÄSTERBOTTENS LÄN</t>
        </is>
      </c>
      <c r="G176" t="inlineStr">
        <is>
          <t>NORDMALING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46233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46233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46233</v>
      </c>
      <c r="F179" t="inlineStr">
        <is>
          <t>VÄSTERBOTTENS LÄN</t>
        </is>
      </c>
      <c r="G179" t="inlineStr">
        <is>
          <t>NORDMALING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46233</v>
      </c>
      <c r="F180" t="inlineStr">
        <is>
          <t>VÄSTERBOTTENS LÄN</t>
        </is>
      </c>
      <c r="G180" t="inlineStr">
        <is>
          <t>NORDMALING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54784-2021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44473</v>
      </c>
      <c r="E181" s="1" t="n">
        <v>46233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SCA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46233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46233</v>
      </c>
      <c r="F183" t="inlineStr">
        <is>
          <t>VÄSTERBOTTENS LÄN</t>
        </is>
      </c>
      <c r="G183" t="inlineStr">
        <is>
          <t>NORDMALING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46233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46233</v>
      </c>
      <c r="F185" t="inlineStr">
        <is>
          <t>VÄSTERBOTTENS LÄN</t>
        </is>
      </c>
      <c r="G185" t="inlineStr">
        <is>
          <t>NORDMALING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44905</v>
      </c>
      <c r="E186" s="1" t="n">
        <v>46233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46233</v>
      </c>
      <c r="F187" t="inlineStr">
        <is>
          <t>VÄSTERBOTTENS LÄN</t>
        </is>
      </c>
      <c r="G187" t="inlineStr">
        <is>
          <t>NORDMALING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45344</v>
      </c>
      <c r="E188" s="1" t="n">
        <v>46233</v>
      </c>
      <c r="F188" t="inlineStr">
        <is>
          <t>VÄSTERBOTTENS LÄN</t>
        </is>
      </c>
      <c r="G188" t="inlineStr">
        <is>
          <t>NORDMALING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46233</v>
      </c>
      <c r="F189" t="inlineStr">
        <is>
          <t>VÄSTERBOTTENS LÄN</t>
        </is>
      </c>
      <c r="G189" t="inlineStr">
        <is>
          <t>NORDMALING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46233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46233</v>
      </c>
      <c r="F191" t="inlineStr">
        <is>
          <t>VÄSTERBOTTENS LÄN</t>
        </is>
      </c>
      <c r="G191" t="inlineStr">
        <is>
          <t>NORDMALING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45849</v>
      </c>
      <c r="E192" s="1" t="n">
        <v>46233</v>
      </c>
      <c r="F192" t="inlineStr">
        <is>
          <t>VÄSTERBOTTENS LÄN</t>
        </is>
      </c>
      <c r="G192" t="inlineStr">
        <is>
          <t>NORDMALING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45852</v>
      </c>
      <c r="E193" s="1" t="n">
        <v>46233</v>
      </c>
      <c r="F193" t="inlineStr">
        <is>
          <t>VÄSTERBOTTENS LÄN</t>
        </is>
      </c>
      <c r="G193" t="inlineStr">
        <is>
          <t>NORDMALING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44753</v>
      </c>
      <c r="E194" s="1" t="n">
        <v>46233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46233</v>
      </c>
      <c r="F195" t="inlineStr">
        <is>
          <t>VÄSTERBOTTENS LÄN</t>
        </is>
      </c>
      <c r="G195" t="inlineStr">
        <is>
          <t>NORDMALING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46233</v>
      </c>
      <c r="F196" t="inlineStr">
        <is>
          <t>VÄSTERBOTTENS LÄN</t>
        </is>
      </c>
      <c r="G196" t="inlineStr">
        <is>
          <t>NORDMALING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19300-2023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45049</v>
      </c>
      <c r="E197" s="1" t="n">
        <v>46233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Kyrkan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46233</v>
      </c>
      <c r="F198" t="inlineStr">
        <is>
          <t>VÄSTERBOTTENS LÄN</t>
        </is>
      </c>
      <c r="G198" t="inlineStr">
        <is>
          <t>NORDMALING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46233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45470</v>
      </c>
      <c r="E200" s="1" t="n">
        <v>46233</v>
      </c>
      <c r="F200" t="inlineStr">
        <is>
          <t>VÄSTERBOTTENS LÄN</t>
        </is>
      </c>
      <c r="G200" t="inlineStr">
        <is>
          <t>NORDMALING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46233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46233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46233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45866</v>
      </c>
      <c r="E204" s="1" t="n">
        <v>46233</v>
      </c>
      <c r="F204" t="inlineStr">
        <is>
          <t>VÄSTERBOTTENS LÄN</t>
        </is>
      </c>
      <c r="G204" t="inlineStr">
        <is>
          <t>NORDMALING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46233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46233</v>
      </c>
      <c r="F206" t="inlineStr">
        <is>
          <t>VÄSTERBOTTENS LÄN</t>
        </is>
      </c>
      <c r="G206" t="inlineStr">
        <is>
          <t>NORDMALING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46055</v>
      </c>
      <c r="E207" s="1" t="n">
        <v>46233</v>
      </c>
      <c r="F207" t="inlineStr">
        <is>
          <t>VÄSTERBOTTENS LÄN</t>
        </is>
      </c>
      <c r="G207" t="inlineStr">
        <is>
          <t>NORDMALING</t>
        </is>
      </c>
      <c r="I207" t="n">
        <v>7.8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46233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46233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46233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46233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46233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46233</v>
      </c>
      <c r="F213" t="inlineStr">
        <is>
          <t>VÄSTERBOTTENS LÄN</t>
        </is>
      </c>
      <c r="G213" t="inlineStr">
        <is>
          <t>NORDMALING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46233</v>
      </c>
      <c r="F214" t="inlineStr">
        <is>
          <t>VÄSTERBOTTENS LÄN</t>
        </is>
      </c>
      <c r="G214" t="inlineStr">
        <is>
          <t>NORDMALING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46233</v>
      </c>
      <c r="F215" t="inlineStr">
        <is>
          <t>VÄSTERBOTTENS LÄN</t>
        </is>
      </c>
      <c r="G215" t="inlineStr">
        <is>
          <t>NORDMALING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46233</v>
      </c>
      <c r="F216" t="inlineStr">
        <is>
          <t>VÄSTERBOTTENS LÄN</t>
        </is>
      </c>
      <c r="G216" t="inlineStr">
        <is>
          <t>NORDMALING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51746-2021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44462</v>
      </c>
      <c r="E217" s="1" t="n">
        <v>46233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46233</v>
      </c>
      <c r="F218" t="inlineStr">
        <is>
          <t>VÄSTERBOTTENS LÄN</t>
        </is>
      </c>
      <c r="G218" t="inlineStr">
        <is>
          <t>NORDMALING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46233</v>
      </c>
      <c r="F219" t="inlineStr">
        <is>
          <t>VÄSTERBOTTENS LÄN</t>
        </is>
      </c>
      <c r="G219" t="inlineStr">
        <is>
          <t>NORDMALING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46058</v>
      </c>
      <c r="E220" s="1" t="n">
        <v>46233</v>
      </c>
      <c r="F220" t="inlineStr">
        <is>
          <t>VÄSTERBOTTENS LÄN</t>
        </is>
      </c>
      <c r="G220" t="inlineStr">
        <is>
          <t>NORDMALING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46233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46233</v>
      </c>
      <c r="F222" t="inlineStr">
        <is>
          <t>VÄSTERBOTTENS LÄN</t>
        </is>
      </c>
      <c r="G222" t="inlineStr">
        <is>
          <t>NORDMALING</t>
        </is>
      </c>
      <c r="I222" t="n">
        <v>13.1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46233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46233</v>
      </c>
      <c r="F224" t="inlineStr">
        <is>
          <t>VÄSTERBOTTENS LÄN</t>
        </is>
      </c>
      <c r="G224" t="inlineStr">
        <is>
          <t>NORDMALING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46233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46233</v>
      </c>
      <c r="F226" t="inlineStr">
        <is>
          <t>VÄSTERBOTTENS LÄN</t>
        </is>
      </c>
      <c r="G226" t="inlineStr">
        <is>
          <t>NORDMALING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45525</v>
      </c>
      <c r="E227" s="1" t="n">
        <v>46233</v>
      </c>
      <c r="F227" t="inlineStr">
        <is>
          <t>VÄSTERBOTTENS LÄN</t>
        </is>
      </c>
      <c r="G227" t="inlineStr">
        <is>
          <t>NORDMALING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46233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46233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46233</v>
      </c>
      <c r="F230" t="inlineStr">
        <is>
          <t>VÄSTERBOTTENS LÄN</t>
        </is>
      </c>
      <c r="G230" t="inlineStr">
        <is>
          <t>NORDMALING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51542-2025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45950</v>
      </c>
      <c r="E231" s="1" t="n">
        <v>46233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46233</v>
      </c>
      <c r="F232" t="inlineStr">
        <is>
          <t>VÄSTERBOTTENS LÄN</t>
        </is>
      </c>
      <c r="G232" t="inlineStr">
        <is>
          <t>NORDMALING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24712-2023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45075</v>
      </c>
      <c r="E233" s="1" t="n">
        <v>46233</v>
      </c>
      <c r="F233" t="inlineStr">
        <is>
          <t>VÄSTERBOTTENS LÄN</t>
        </is>
      </c>
      <c r="G233" t="inlineStr">
        <is>
          <t>NORDMALING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46233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Holmen skog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46233</v>
      </c>
      <c r="F235" t="inlineStr">
        <is>
          <t>VÄSTERBOTTENS LÄN</t>
        </is>
      </c>
      <c r="G235" t="inlineStr">
        <is>
          <t>NORDMALING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46233</v>
      </c>
      <c r="F236" t="inlineStr">
        <is>
          <t>VÄSTERBOTTENS LÄN</t>
        </is>
      </c>
      <c r="G236" t="inlineStr">
        <is>
          <t>NORDMALING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8534-2026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46233</v>
      </c>
      <c r="F237" t="inlineStr">
        <is>
          <t>VÄSTERBOTTENS LÄN</t>
        </is>
      </c>
      <c r="G237" t="inlineStr">
        <is>
          <t>NORDMALING</t>
        </is>
      </c>
      <c r="I237" t="n">
        <v>7.9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46233</v>
      </c>
      <c r="F238" t="inlineStr">
        <is>
          <t>VÄSTERBOTTENS LÄN</t>
        </is>
      </c>
      <c r="G238" t="inlineStr">
        <is>
          <t>NORDMALING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46233</v>
      </c>
      <c r="F239" t="inlineStr">
        <is>
          <t>VÄSTERBOTTENS LÄN</t>
        </is>
      </c>
      <c r="G239" t="inlineStr">
        <is>
          <t>NORDMALING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32183-2023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45119</v>
      </c>
      <c r="E240" s="1" t="n">
        <v>46233</v>
      </c>
      <c r="F240" t="inlineStr">
        <is>
          <t>VÄSTERBOTTENS LÄN</t>
        </is>
      </c>
      <c r="G240" t="inlineStr">
        <is>
          <t>NORDMALING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46233</v>
      </c>
      <c r="F241" t="inlineStr">
        <is>
          <t>VÄSTERBOTTENS LÄN</t>
        </is>
      </c>
      <c r="G241" t="inlineStr">
        <is>
          <t>NORDMALING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46233</v>
      </c>
      <c r="F242" t="inlineStr">
        <is>
          <t>VÄSTERBOTTENS LÄN</t>
        </is>
      </c>
      <c r="G242" t="inlineStr">
        <is>
          <t>NORDMALING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46233</v>
      </c>
      <c r="F243" t="inlineStr">
        <is>
          <t>VÄSTERBOTTENS LÄN</t>
        </is>
      </c>
      <c r="G243" t="inlineStr">
        <is>
          <t>NORDMALING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46233</v>
      </c>
      <c r="F244" t="inlineStr">
        <is>
          <t>VÄSTERBOTTENS LÄN</t>
        </is>
      </c>
      <c r="G244" t="inlineStr">
        <is>
          <t>NORDMALING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46233</v>
      </c>
      <c r="F245" t="inlineStr">
        <is>
          <t>VÄSTERBOTTENS LÄN</t>
        </is>
      </c>
      <c r="G245" t="inlineStr">
        <is>
          <t>NORDMALING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46233</v>
      </c>
      <c r="F246" t="inlineStr">
        <is>
          <t>VÄSTERBOTTENS LÄN</t>
        </is>
      </c>
      <c r="G246" t="inlineStr">
        <is>
          <t>NORDMALING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45962</v>
      </c>
      <c r="E247" s="1" t="n">
        <v>46233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46233</v>
      </c>
      <c r="F248" t="inlineStr">
        <is>
          <t>VÄSTERBOTTENS LÄN</t>
        </is>
      </c>
      <c r="G248" t="inlineStr">
        <is>
          <t>NORDMALING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46233</v>
      </c>
      <c r="F249" t="inlineStr">
        <is>
          <t>VÄSTERBOTTENS LÄN</t>
        </is>
      </c>
      <c r="G249" t="inlineStr">
        <is>
          <t>NORDMALING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46233</v>
      </c>
      <c r="F250" t="inlineStr">
        <is>
          <t>VÄSTERBOTTENS LÄN</t>
        </is>
      </c>
      <c r="G250" t="inlineStr">
        <is>
          <t>NORDMALING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46233</v>
      </c>
      <c r="F251" t="inlineStr">
        <is>
          <t>VÄSTERBOTTENS LÄN</t>
        </is>
      </c>
      <c r="G251" t="inlineStr">
        <is>
          <t>NORDMALING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46233</v>
      </c>
      <c r="F252" t="inlineStr">
        <is>
          <t>VÄSTERBOTTENS LÄN</t>
        </is>
      </c>
      <c r="G252" t="inlineStr">
        <is>
          <t>NORDMALING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46233</v>
      </c>
      <c r="F253" t="inlineStr">
        <is>
          <t>VÄSTERBOTTENS LÄN</t>
        </is>
      </c>
      <c r="G253" t="inlineStr">
        <is>
          <t>NORDMALING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46233</v>
      </c>
      <c r="F254" t="inlineStr">
        <is>
          <t>VÄSTERBOTTENS LÄN</t>
        </is>
      </c>
      <c r="G254" t="inlineStr">
        <is>
          <t>NORDMALING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45147</v>
      </c>
      <c r="E255" s="1" t="n">
        <v>46233</v>
      </c>
      <c r="F255" t="inlineStr">
        <is>
          <t>VÄSTERBOTTENS LÄN</t>
        </is>
      </c>
      <c r="G255" t="inlineStr">
        <is>
          <t>NORDMALING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46233</v>
      </c>
      <c r="F256" t="inlineStr">
        <is>
          <t>VÄSTERBOTTENS LÄN</t>
        </is>
      </c>
      <c r="G256" t="inlineStr">
        <is>
          <t>NORDMALING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46233</v>
      </c>
      <c r="F257" t="inlineStr">
        <is>
          <t>VÄSTERBOTTENS LÄN</t>
        </is>
      </c>
      <c r="G257" t="inlineStr">
        <is>
          <t>NORDMALING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46233</v>
      </c>
      <c r="F258" t="inlineStr">
        <is>
          <t>VÄSTERBOTTENS LÄN</t>
        </is>
      </c>
      <c r="G258" t="inlineStr">
        <is>
          <t>NORDMALING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46072</v>
      </c>
      <c r="E259" s="1" t="n">
        <v>46233</v>
      </c>
      <c r="F259" t="inlineStr">
        <is>
          <t>VÄSTERBOTTENS LÄN</t>
        </is>
      </c>
      <c r="G259" t="inlineStr">
        <is>
          <t>NORDMALING</t>
        </is>
      </c>
      <c r="I259" t="n">
        <v>12.5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44742</v>
      </c>
      <c r="E260" s="1" t="n">
        <v>46233</v>
      </c>
      <c r="F260" t="inlineStr">
        <is>
          <t>VÄSTERBOTTENS LÄN</t>
        </is>
      </c>
      <c r="G260" t="inlineStr">
        <is>
          <t>NORDMALING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46233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46233</v>
      </c>
      <c r="F262" t="inlineStr">
        <is>
          <t>VÄSTERBOTTENS LÄN</t>
        </is>
      </c>
      <c r="G262" t="inlineStr">
        <is>
          <t>NORDMALING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46233</v>
      </c>
      <c r="F263" t="inlineStr">
        <is>
          <t>VÄSTERBOTTENS LÄN</t>
        </is>
      </c>
      <c r="G263" t="inlineStr">
        <is>
          <t>NORDMALING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46233</v>
      </c>
      <c r="F264" t="inlineStr">
        <is>
          <t>VÄSTERBOTTENS LÄN</t>
        </is>
      </c>
      <c r="G264" t="inlineStr">
        <is>
          <t>NORDMALING</t>
        </is>
      </c>
      <c r="I264" t="n">
        <v>10.4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46233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46233</v>
      </c>
      <c r="F266" t="inlineStr">
        <is>
          <t>VÄSTERBOTTENS LÄN</t>
        </is>
      </c>
      <c r="G266" t="inlineStr">
        <is>
          <t>NORDMALING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45021</v>
      </c>
      <c r="E267" s="1" t="n">
        <v>46233</v>
      </c>
      <c r="F267" t="inlineStr">
        <is>
          <t>VÄSTERBOTTENS LÄN</t>
        </is>
      </c>
      <c r="G267" t="inlineStr">
        <is>
          <t>NORDMALING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46233</v>
      </c>
      <c r="F268" t="inlineStr">
        <is>
          <t>VÄSTERBOTTENS LÄN</t>
        </is>
      </c>
      <c r="G268" t="inlineStr">
        <is>
          <t>NORDMALING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46233</v>
      </c>
      <c r="F269" t="inlineStr">
        <is>
          <t>VÄSTERBOTTENS LÄN</t>
        </is>
      </c>
      <c r="G269" t="inlineStr">
        <is>
          <t>NORDMALING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46233</v>
      </c>
      <c r="F270" t="inlineStr">
        <is>
          <t>VÄSTERBOTTENS LÄN</t>
        </is>
      </c>
      <c r="G270" t="inlineStr">
        <is>
          <t>NORDMALING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46233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45763</v>
      </c>
      <c r="E272" s="1" t="n">
        <v>46233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46233</v>
      </c>
      <c r="F273" t="inlineStr">
        <is>
          <t>VÄSTERBOTTENS LÄN</t>
        </is>
      </c>
      <c r="G273" t="inlineStr">
        <is>
          <t>NORDMALING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46233</v>
      </c>
      <c r="F274" t="inlineStr">
        <is>
          <t>VÄSTERBOTTENS LÄN</t>
        </is>
      </c>
      <c r="G274" t="inlineStr">
        <is>
          <t>NORDMALING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46233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46233</v>
      </c>
      <c r="F276" t="inlineStr">
        <is>
          <t>VÄSTERBOTTENS LÄN</t>
        </is>
      </c>
      <c r="G276" t="inlineStr">
        <is>
          <t>NORDMALING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46233</v>
      </c>
      <c r="F277" t="inlineStr">
        <is>
          <t>VÄSTERBOTTENS LÄN</t>
        </is>
      </c>
      <c r="G277" t="inlineStr">
        <is>
          <t>NORDMALING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45051</v>
      </c>
      <c r="E278" s="1" t="n">
        <v>46233</v>
      </c>
      <c r="F278" t="inlineStr">
        <is>
          <t>VÄSTERBOTTENS LÄN</t>
        </is>
      </c>
      <c r="G278" t="inlineStr">
        <is>
          <t>NORDMALING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46233</v>
      </c>
      <c r="F279" t="inlineStr">
        <is>
          <t>VÄSTERBOTTENS LÄN</t>
        </is>
      </c>
      <c r="G279" t="inlineStr">
        <is>
          <t>NORDMALING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46233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46233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46233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46233</v>
      </c>
      <c r="F283" t="inlineStr">
        <is>
          <t>VÄSTERBOTTENS LÄN</t>
        </is>
      </c>
      <c r="G283" t="inlineStr">
        <is>
          <t>NORDMALING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46233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46233</v>
      </c>
      <c r="F285" t="inlineStr">
        <is>
          <t>VÄSTERBOTTENS LÄN</t>
        </is>
      </c>
      <c r="G285" t="inlineStr">
        <is>
          <t>NORDMALING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46233</v>
      </c>
      <c r="F286" t="inlineStr">
        <is>
          <t>VÄSTERBOTTENS LÄN</t>
        </is>
      </c>
      <c r="G286" t="inlineStr">
        <is>
          <t>NORDMALING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70028-2021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46233</v>
      </c>
      <c r="F287" t="inlineStr">
        <is>
          <t>VÄSTERBOTTENS LÄN</t>
        </is>
      </c>
      <c r="G287" t="inlineStr">
        <is>
          <t>NORDMALING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46233</v>
      </c>
      <c r="F288" t="inlineStr">
        <is>
          <t>VÄSTERBOTTENS LÄN</t>
        </is>
      </c>
      <c r="G288" t="inlineStr">
        <is>
          <t>NORDMALING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46233</v>
      </c>
      <c r="F289" t="inlineStr">
        <is>
          <t>VÄSTERBOTTENS LÄN</t>
        </is>
      </c>
      <c r="G289" t="inlineStr">
        <is>
          <t>NORDMALING</t>
        </is>
      </c>
      <c r="I289" t="n">
        <v>11.6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46233</v>
      </c>
      <c r="F290" t="inlineStr">
        <is>
          <t>VÄSTERBOTTENS LÄN</t>
        </is>
      </c>
      <c r="G290" t="inlineStr">
        <is>
          <t>NORDMALING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46233</v>
      </c>
      <c r="F291" t="inlineStr">
        <is>
          <t>VÄSTERBOTTENS LÄN</t>
        </is>
      </c>
      <c r="G291" t="inlineStr">
        <is>
          <t>NORDMALING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46233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60064-2025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46233</v>
      </c>
      <c r="F293" t="inlineStr">
        <is>
          <t>VÄSTERBOTTENS LÄN</t>
        </is>
      </c>
      <c r="G293" t="inlineStr">
        <is>
          <t>NORDMALING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46233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45503</v>
      </c>
      <c r="E295" s="1" t="n">
        <v>46233</v>
      </c>
      <c r="F295" t="inlineStr">
        <is>
          <t>VÄSTERBOTTENS LÄN</t>
        </is>
      </c>
      <c r="G295" t="inlineStr">
        <is>
          <t>NORDMALING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46233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46233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46233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46233</v>
      </c>
      <c r="F299" t="inlineStr">
        <is>
          <t>VÄSTERBOTTENS LÄN</t>
        </is>
      </c>
      <c r="G299" t="inlineStr">
        <is>
          <t>NORDMALING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60113-2025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45994</v>
      </c>
      <c r="E300" s="1" t="n">
        <v>46233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46233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46233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60780-2025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46233</v>
      </c>
      <c r="F303" t="inlineStr">
        <is>
          <t>VÄSTERBOTTENS LÄN</t>
        </is>
      </c>
      <c r="G303" t="inlineStr">
        <is>
          <t>NORDMALING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46233</v>
      </c>
      <c r="F304" t="inlineStr">
        <is>
          <t>VÄSTERBOTTENS LÄN</t>
        </is>
      </c>
      <c r="G304" t="inlineStr">
        <is>
          <t>NORDMALING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46233</v>
      </c>
      <c r="F305" t="inlineStr">
        <is>
          <t>VÄSTERBOTTENS LÄN</t>
        </is>
      </c>
      <c r="G305" t="inlineStr">
        <is>
          <t>NORDMALING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64498-2023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45280</v>
      </c>
      <c r="E306" s="1" t="n">
        <v>46233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46233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46233</v>
      </c>
      <c r="F308" t="inlineStr">
        <is>
          <t>VÄSTERBOTTENS LÄN</t>
        </is>
      </c>
      <c r="G308" t="inlineStr">
        <is>
          <t>NORDMALING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46233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69516-2021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46233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43367-2022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44834</v>
      </c>
      <c r="E311" s="1" t="n">
        <v>46233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46233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46233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46233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46233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46233</v>
      </c>
      <c r="F316" t="inlineStr">
        <is>
          <t>VÄSTERBOTTENS LÄN</t>
        </is>
      </c>
      <c r="G316" t="inlineStr">
        <is>
          <t>NORDMALING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46233</v>
      </c>
      <c r="F317" t="inlineStr">
        <is>
          <t>VÄSTERBOTTENS LÄN</t>
        </is>
      </c>
      <c r="G317" t="inlineStr">
        <is>
          <t>NORDMALING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46233</v>
      </c>
      <c r="F318" t="inlineStr">
        <is>
          <t>VÄSTERBOTTENS LÄN</t>
        </is>
      </c>
      <c r="G318" t="inlineStr">
        <is>
          <t>NORDMALING</t>
        </is>
      </c>
      <c r="I318" t="n">
        <v>11.3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46233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46233</v>
      </c>
      <c r="F320" t="inlineStr">
        <is>
          <t>VÄSTERBOTTENS LÄN</t>
        </is>
      </c>
      <c r="G320" t="inlineStr">
        <is>
          <t>NORDMALING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46233</v>
      </c>
      <c r="F321" t="inlineStr">
        <is>
          <t>VÄSTERBOTTENS LÄN</t>
        </is>
      </c>
      <c r="G321" t="inlineStr">
        <is>
          <t>NORDMALING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46233</v>
      </c>
      <c r="F322" t="inlineStr">
        <is>
          <t>VÄSTERBOTTENS LÄN</t>
        </is>
      </c>
      <c r="G322" t="inlineStr">
        <is>
          <t>NORDMALING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35291-2023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45145</v>
      </c>
      <c r="E323" s="1" t="n">
        <v>46233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35803-2023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45147</v>
      </c>
      <c r="E324" s="1" t="n">
        <v>46233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46233</v>
      </c>
      <c r="F325" t="inlineStr">
        <is>
          <t>VÄSTERBOTTENS LÄN</t>
        </is>
      </c>
      <c r="G325" t="inlineStr">
        <is>
          <t>NORDMALING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46233</v>
      </c>
      <c r="F326" t="inlineStr">
        <is>
          <t>VÄSTERBOTTENS LÄN</t>
        </is>
      </c>
      <c r="G326" t="inlineStr">
        <is>
          <t>NORDMALING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46233</v>
      </c>
      <c r="F327" t="inlineStr">
        <is>
          <t>VÄSTERBOTTENS LÄN</t>
        </is>
      </c>
      <c r="G327" t="inlineStr">
        <is>
          <t>NORDMALING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46233</v>
      </c>
      <c r="F328" t="inlineStr">
        <is>
          <t>VÄSTERBOTTENS LÄN</t>
        </is>
      </c>
      <c r="G328" t="inlineStr">
        <is>
          <t>NORDMALING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46233</v>
      </c>
      <c r="F329" t="inlineStr">
        <is>
          <t>VÄSTERBOTTENS LÄN</t>
        </is>
      </c>
      <c r="G329" t="inlineStr">
        <is>
          <t>NORDMALING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46233</v>
      </c>
      <c r="F330" t="inlineStr">
        <is>
          <t>VÄSTERBOTTENS LÄN</t>
        </is>
      </c>
      <c r="G330" t="inlineStr">
        <is>
          <t>NORDMALING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46233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46233</v>
      </c>
      <c r="F332" t="inlineStr">
        <is>
          <t>VÄSTERBOTTENS LÄN</t>
        </is>
      </c>
      <c r="G332" t="inlineStr">
        <is>
          <t>NORDMALING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46233</v>
      </c>
      <c r="F333" t="inlineStr">
        <is>
          <t>VÄSTERBOTTENS LÄN</t>
        </is>
      </c>
      <c r="G333" t="inlineStr">
        <is>
          <t>NORDMALING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46233</v>
      </c>
      <c r="F334" t="inlineStr">
        <is>
          <t>VÄSTERBOTTENS LÄN</t>
        </is>
      </c>
      <c r="G334" t="inlineStr">
        <is>
          <t>NORDMALING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46233</v>
      </c>
      <c r="F335" t="inlineStr">
        <is>
          <t>VÄSTERBOTTENS LÄN</t>
        </is>
      </c>
      <c r="G335" t="inlineStr">
        <is>
          <t>NORDMALING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45757</v>
      </c>
      <c r="E336" s="1" t="n">
        <v>46233</v>
      </c>
      <c r="F336" t="inlineStr">
        <is>
          <t>VÄSTERBOTTENS LÄN</t>
        </is>
      </c>
      <c r="G336" t="inlineStr">
        <is>
          <t>NORDMALING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44812</v>
      </c>
      <c r="E337" s="1" t="n">
        <v>46233</v>
      </c>
      <c r="F337" t="inlineStr">
        <is>
          <t>VÄSTERBOTTENS LÄN</t>
        </is>
      </c>
      <c r="G337" t="inlineStr">
        <is>
          <t>NORDMALING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46233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45378</v>
      </c>
      <c r="E339" s="1" t="n">
        <v>46233</v>
      </c>
      <c r="F339" t="inlineStr">
        <is>
          <t>VÄSTERBOTTENS LÄN</t>
        </is>
      </c>
      <c r="G339" t="inlineStr">
        <is>
          <t>NORDMALING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45419</v>
      </c>
      <c r="E340" s="1" t="n">
        <v>46233</v>
      </c>
      <c r="F340" t="inlineStr">
        <is>
          <t>VÄSTERBOTTENS LÄN</t>
        </is>
      </c>
      <c r="G340" t="inlineStr">
        <is>
          <t>NORDMALING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46233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48945-2022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44859</v>
      </c>
      <c r="E342" s="1" t="n">
        <v>46233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46018</v>
      </c>
      <c r="E343" s="1" t="n">
        <v>46233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46233</v>
      </c>
      <c r="F344" t="inlineStr">
        <is>
          <t>VÄSTERBOTTENS LÄN</t>
        </is>
      </c>
      <c r="G344" t="inlineStr">
        <is>
          <t>NORDMALING</t>
        </is>
      </c>
      <c r="I344" t="n">
        <v>16.2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46233</v>
      </c>
      <c r="F345" t="inlineStr">
        <is>
          <t>VÄSTERBOTTENS LÄN</t>
        </is>
      </c>
      <c r="G345" t="inlineStr">
        <is>
          <t>NORDMALING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46018</v>
      </c>
      <c r="E346" s="1" t="n">
        <v>46233</v>
      </c>
      <c r="F346" t="inlineStr">
        <is>
          <t>VÄSTERBOTTENS LÄN</t>
        </is>
      </c>
      <c r="G346" t="inlineStr">
        <is>
          <t>NORDMALING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46233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46233</v>
      </c>
      <c r="F348" t="inlineStr">
        <is>
          <t>VÄSTERBOTTENS LÄN</t>
        </is>
      </c>
      <c r="G348" t="inlineStr">
        <is>
          <t>NORDMALING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46233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46022</v>
      </c>
      <c r="E350" s="1" t="n">
        <v>46233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45105</v>
      </c>
      <c r="E351" s="1" t="n">
        <v>46233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45491</v>
      </c>
      <c r="E352" s="1" t="n">
        <v>46233</v>
      </c>
      <c r="F352" t="inlineStr">
        <is>
          <t>VÄSTERBOTTENS LÄN</t>
        </is>
      </c>
      <c r="G352" t="inlineStr">
        <is>
          <t>NORDMALING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53775-2023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46233</v>
      </c>
      <c r="F353" t="inlineStr">
        <is>
          <t>VÄSTERBOTTENS LÄN</t>
        </is>
      </c>
      <c r="G353" t="inlineStr">
        <is>
          <t>NORDMALING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46028</v>
      </c>
      <c r="E354" s="1" t="n">
        <v>46233</v>
      </c>
      <c r="F354" t="inlineStr">
        <is>
          <t>VÄSTERBOTTENS LÄN</t>
        </is>
      </c>
      <c r="G354" t="inlineStr">
        <is>
          <t>NORDMALING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56734-2022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44893</v>
      </c>
      <c r="E355" s="1" t="n">
        <v>46233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46233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46233</v>
      </c>
      <c r="F357" t="inlineStr">
        <is>
          <t>VÄSTERBOTTENS LÄN</t>
        </is>
      </c>
      <c r="G357" t="inlineStr">
        <is>
          <t>NORDMALING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46233</v>
      </c>
      <c r="F358" t="inlineStr">
        <is>
          <t>VÄSTERBOTTENS LÄN</t>
        </is>
      </c>
      <c r="G358" t="inlineStr">
        <is>
          <t>NORDMALING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46233</v>
      </c>
      <c r="F359" t="inlineStr">
        <is>
          <t>VÄSTERBOTTENS LÄN</t>
        </is>
      </c>
      <c r="G359" t="inlineStr">
        <is>
          <t>NORDMALING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45245</v>
      </c>
      <c r="E360" s="1" t="n">
        <v>46233</v>
      </c>
      <c r="F360" t="inlineStr">
        <is>
          <t>VÄSTERBOTTENS LÄN</t>
        </is>
      </c>
      <c r="G360" t="inlineStr">
        <is>
          <t>NORDMALING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46032</v>
      </c>
      <c r="E361" s="1" t="n">
        <v>46233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46233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46233</v>
      </c>
      <c r="F363" t="inlineStr">
        <is>
          <t>VÄSTERBOTTENS LÄN</t>
        </is>
      </c>
      <c r="G363" t="inlineStr">
        <is>
          <t>NORDMALING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44950-2023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46233</v>
      </c>
      <c r="F364" t="inlineStr">
        <is>
          <t>VÄSTERBOTTENS LÄN</t>
        </is>
      </c>
      <c r="G364" t="inlineStr">
        <is>
          <t>NORDMALING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44952-2023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45187</v>
      </c>
      <c r="E365" s="1" t="n">
        <v>46233</v>
      </c>
      <c r="F365" t="inlineStr">
        <is>
          <t>VÄSTERBOTTENS LÄN</t>
        </is>
      </c>
      <c r="G365" t="inlineStr">
        <is>
          <t>NORDMALING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46233</v>
      </c>
      <c r="F366" t="inlineStr">
        <is>
          <t>VÄSTERBOTTENS LÄN</t>
        </is>
      </c>
      <c r="G366" t="inlineStr">
        <is>
          <t>NORDMALING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57590-2022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46233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45622</v>
      </c>
      <c r="E368" s="1" t="n">
        <v>46233</v>
      </c>
      <c r="F368" t="inlineStr">
        <is>
          <t>VÄSTERBOTTENS LÄN</t>
        </is>
      </c>
      <c r="G368" t="inlineStr">
        <is>
          <t>NORDMALING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17451-2026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46116</v>
      </c>
      <c r="E369" s="1" t="n">
        <v>46233</v>
      </c>
      <c r="F369" t="inlineStr">
        <is>
          <t>VÄSTERBOTTENS LÄN</t>
        </is>
      </c>
      <c r="G369" t="inlineStr">
        <is>
          <t>NORDMALING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45569</v>
      </c>
      <c r="E370" s="1" t="n">
        <v>46233</v>
      </c>
      <c r="F370" t="inlineStr">
        <is>
          <t>VÄSTERBOTTENS LÄN</t>
        </is>
      </c>
      <c r="G370" t="inlineStr">
        <is>
          <t>NORDMALING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46125</v>
      </c>
      <c r="E371" s="1" t="n">
        <v>46233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45575</v>
      </c>
      <c r="E372" s="1" t="n">
        <v>46233</v>
      </c>
      <c r="F372" t="inlineStr">
        <is>
          <t>VÄSTERBOTTENS LÄN</t>
        </is>
      </c>
      <c r="G372" t="inlineStr">
        <is>
          <t>NORDMALING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45344</v>
      </c>
      <c r="E373" s="1" t="n">
        <v>46233</v>
      </c>
      <c r="F373" t="inlineStr">
        <is>
          <t>VÄSTERBOTTENS LÄN</t>
        </is>
      </c>
      <c r="G373" t="inlineStr">
        <is>
          <t>NORDMALING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46233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46233</v>
      </c>
      <c r="F375" t="inlineStr">
        <is>
          <t>VÄSTERBOTTENS LÄN</t>
        </is>
      </c>
      <c r="G375" t="inlineStr">
        <is>
          <t>NORDMALING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19029-2025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45764</v>
      </c>
      <c r="E376" s="1" t="n">
        <v>46233</v>
      </c>
      <c r="F376" t="inlineStr">
        <is>
          <t>VÄSTERBOTTENS LÄN</t>
        </is>
      </c>
      <c r="G376" t="inlineStr">
        <is>
          <t>NORDMALING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46233</v>
      </c>
      <c r="F377" t="inlineStr">
        <is>
          <t>VÄSTERBOTTENS LÄN</t>
        </is>
      </c>
      <c r="G377" t="inlineStr">
        <is>
          <t>NORDMALING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18839-2026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46129</v>
      </c>
      <c r="E378" s="1" t="n">
        <v>46233</v>
      </c>
      <c r="F378" t="inlineStr">
        <is>
          <t>VÄSTERBOTTENS LÄN</t>
        </is>
      </c>
      <c r="G378" t="inlineStr">
        <is>
          <t>NORDMALING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21863-2024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45443</v>
      </c>
      <c r="E379" s="1" t="n">
        <v>46233</v>
      </c>
      <c r="F379" t="inlineStr">
        <is>
          <t>VÄSTERBOTTENS LÄN</t>
        </is>
      </c>
      <c r="G379" t="inlineStr">
        <is>
          <t>NORDMALING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46233</v>
      </c>
      <c r="F380" t="inlineStr">
        <is>
          <t>VÄSTERBOTTENS LÄN</t>
        </is>
      </c>
      <c r="G380" t="inlineStr">
        <is>
          <t>NORDMALING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46233</v>
      </c>
      <c r="F381" t="inlineStr">
        <is>
          <t>VÄSTERBOTTENS LÄN</t>
        </is>
      </c>
      <c r="G381" t="inlineStr">
        <is>
          <t>NORDMALING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46233</v>
      </c>
      <c r="F382" t="inlineStr">
        <is>
          <t>VÄSTERBOTTENS LÄN</t>
        </is>
      </c>
      <c r="G382" t="inlineStr">
        <is>
          <t>NORDMALING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46233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69519-2021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44531</v>
      </c>
      <c r="E384" s="1" t="n">
        <v>46233</v>
      </c>
      <c r="F384" t="inlineStr">
        <is>
          <t>VÄSTERBOTTENS LÄN</t>
        </is>
      </c>
      <c r="G384" t="inlineStr">
        <is>
          <t>NORDMALING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46233</v>
      </c>
      <c r="F385" t="inlineStr">
        <is>
          <t>VÄSTERBOTTENS LÄN</t>
        </is>
      </c>
      <c r="G385" t="inlineStr">
        <is>
          <t>NORDMALING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46233</v>
      </c>
      <c r="F386" t="inlineStr">
        <is>
          <t>VÄSTERBOTTENS LÄN</t>
        </is>
      </c>
      <c r="G386" t="inlineStr">
        <is>
          <t>NORDMALING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46233</v>
      </c>
      <c r="F387" t="inlineStr">
        <is>
          <t>VÄSTERBOTTENS LÄN</t>
        </is>
      </c>
      <c r="G387" t="inlineStr">
        <is>
          <t>NORDMALING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45141</v>
      </c>
      <c r="E388" s="1" t="n">
        <v>46233</v>
      </c>
      <c r="F388" t="inlineStr">
        <is>
          <t>VÄSTERBOTTENS LÄN</t>
        </is>
      </c>
      <c r="G388" t="inlineStr">
        <is>
          <t>NORDMALING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72018-2021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44540</v>
      </c>
      <c r="E389" s="1" t="n">
        <v>46233</v>
      </c>
      <c r="F389" t="inlineStr">
        <is>
          <t>VÄSTERBOTTENS LÄN</t>
        </is>
      </c>
      <c r="G389" t="inlineStr">
        <is>
          <t>NORDMALING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24415-2024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45457</v>
      </c>
      <c r="E390" s="1" t="n">
        <v>46233</v>
      </c>
      <c r="F390" t="inlineStr">
        <is>
          <t>VÄSTERBOTTENS LÄN</t>
        </is>
      </c>
      <c r="G390" t="inlineStr">
        <is>
          <t>NORDMALING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19565-2026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46134</v>
      </c>
      <c r="E391" s="1" t="n">
        <v>46233</v>
      </c>
      <c r="F391" t="inlineStr">
        <is>
          <t>VÄSTERBOTTENS LÄN</t>
        </is>
      </c>
      <c r="G391" t="inlineStr">
        <is>
          <t>NORDMALING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46233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46233</v>
      </c>
      <c r="F393" t="inlineStr">
        <is>
          <t>VÄSTERBOTTENS LÄN</t>
        </is>
      </c>
      <c r="G393" t="inlineStr">
        <is>
          <t>NORDMALING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46233</v>
      </c>
      <c r="F394" t="inlineStr">
        <is>
          <t>VÄSTERBOTTENS LÄN</t>
        </is>
      </c>
      <c r="G394" t="inlineStr">
        <is>
          <t>NORDMALING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46233</v>
      </c>
      <c r="F395" t="inlineStr">
        <is>
          <t>VÄSTERBOTTENS LÄN</t>
        </is>
      </c>
      <c r="G395" t="inlineStr">
        <is>
          <t>NORDMALING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45673</v>
      </c>
      <c r="E396" s="1" t="n">
        <v>46233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46233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45022</v>
      </c>
      <c r="E398" s="1" t="n">
        <v>46233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45593</v>
      </c>
      <c r="E399" s="1" t="n">
        <v>46233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44981</v>
      </c>
      <c r="E400" s="1" t="n">
        <v>46233</v>
      </c>
      <c r="F400" t="inlineStr">
        <is>
          <t>VÄSTERBOTTENS LÄN</t>
        </is>
      </c>
      <c r="G400" t="inlineStr">
        <is>
          <t>NORDMALING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45615</v>
      </c>
      <c r="E401" s="1" t="n">
        <v>46233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45141</v>
      </c>
      <c r="E402" s="1" t="n">
        <v>46233</v>
      </c>
      <c r="F402" t="inlineStr">
        <is>
          <t>VÄSTERBOTTENS LÄN</t>
        </is>
      </c>
      <c r="G402" t="inlineStr">
        <is>
          <t>NORDMALING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47516-2024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45587</v>
      </c>
      <c r="E403" s="1" t="n">
        <v>46233</v>
      </c>
      <c r="F403" t="inlineStr">
        <is>
          <t>VÄSTERBOTTENS LÄN</t>
        </is>
      </c>
      <c r="G403" t="inlineStr">
        <is>
          <t>NORDMALING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45158</v>
      </c>
      <c r="E404" s="1" t="n">
        <v>46233</v>
      </c>
      <c r="F404" t="inlineStr">
        <is>
          <t>VÄSTERBOTTENS LÄN</t>
        </is>
      </c>
      <c r="G404" t="inlineStr">
        <is>
          <t>NORDMALING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45866</v>
      </c>
      <c r="E405" s="1" t="n">
        <v>46233</v>
      </c>
      <c r="F405" t="inlineStr">
        <is>
          <t>VÄSTERBOTTENS LÄN</t>
        </is>
      </c>
      <c r="G405" t="inlineStr">
        <is>
          <t>NORDMALING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45678</v>
      </c>
      <c r="E406" s="1" t="n">
        <v>46233</v>
      </c>
      <c r="F406" t="inlineStr">
        <is>
          <t>VÄSTERBOTTENS LÄN</t>
        </is>
      </c>
      <c r="G406" t="inlineStr">
        <is>
          <t>NORDMALING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46233</v>
      </c>
      <c r="F407" t="inlineStr">
        <is>
          <t>VÄSTERBOTTENS LÄN</t>
        </is>
      </c>
      <c r="G407" t="inlineStr">
        <is>
          <t>NORDMALING</t>
        </is>
      </c>
      <c r="I407" t="n">
        <v>16.1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45877</v>
      </c>
      <c r="E408" s="1" t="n">
        <v>46233</v>
      </c>
      <c r="F408" t="inlineStr">
        <is>
          <t>VÄSTERBOTTENS LÄN</t>
        </is>
      </c>
      <c r="G408" t="inlineStr">
        <is>
          <t>NORDMALING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46233</v>
      </c>
      <c r="F409" t="inlineStr">
        <is>
          <t>VÄSTERBOTTENS LÄN</t>
        </is>
      </c>
      <c r="G409" t="inlineStr">
        <is>
          <t>NORDMALING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46233</v>
      </c>
      <c r="F410" t="inlineStr">
        <is>
          <t>VÄSTERBOTTENS LÄN</t>
        </is>
      </c>
      <c r="G410" t="inlineStr">
        <is>
          <t>NORDMALING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44993</v>
      </c>
      <c r="E411" s="1" t="n">
        <v>46233</v>
      </c>
      <c r="F411" t="inlineStr">
        <is>
          <t>VÄSTERBOTTENS LÄN</t>
        </is>
      </c>
      <c r="G411" t="inlineStr">
        <is>
          <t>NORDMALING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45524</v>
      </c>
      <c r="E412" s="1" t="n">
        <v>46233</v>
      </c>
      <c r="F412" t="inlineStr">
        <is>
          <t>VÄSTERBOTTENS LÄN</t>
        </is>
      </c>
      <c r="G412" t="inlineStr">
        <is>
          <t>NORDMALING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20162-2026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46139</v>
      </c>
      <c r="E413" s="1" t="n">
        <v>46233</v>
      </c>
      <c r="F413" t="inlineStr">
        <is>
          <t>VÄSTERBOTTENS LÄN</t>
        </is>
      </c>
      <c r="G413" t="inlineStr">
        <is>
          <t>NORDMALING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45929</v>
      </c>
      <c r="E414" s="1" t="n">
        <v>46233</v>
      </c>
      <c r="F414" t="inlineStr">
        <is>
          <t>VÄSTERBOTTENS LÄN</t>
        </is>
      </c>
      <c r="G414" t="inlineStr">
        <is>
          <t>NORDMALING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44475-2024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45574</v>
      </c>
      <c r="E415" s="1" t="n">
        <v>46233</v>
      </c>
      <c r="F415" t="inlineStr">
        <is>
          <t>VÄSTERBOTTENS LÄN</t>
        </is>
      </c>
      <c r="G415" t="inlineStr">
        <is>
          <t>NORDMALING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45330</v>
      </c>
      <c r="E416" s="1" t="n">
        <v>46233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46233</v>
      </c>
      <c r="F417" t="inlineStr">
        <is>
          <t>VÄSTERBOTTENS LÄN</t>
        </is>
      </c>
      <c r="G417" t="inlineStr">
        <is>
          <t>NORDMALING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45182</v>
      </c>
      <c r="E418" s="1" t="n">
        <v>46233</v>
      </c>
      <c r="F418" t="inlineStr">
        <is>
          <t>VÄSTERBOTTENS LÄN</t>
        </is>
      </c>
      <c r="G418" t="inlineStr">
        <is>
          <t>NORDMALING</t>
        </is>
      </c>
      <c r="I418" t="n">
        <v>20.1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45187</v>
      </c>
      <c r="E419" s="1" t="n">
        <v>46233</v>
      </c>
      <c r="F419" t="inlineStr">
        <is>
          <t>VÄSTERBOTTENS LÄN</t>
        </is>
      </c>
      <c r="G419" t="inlineStr">
        <is>
          <t>NORDMALING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25344-2024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45462</v>
      </c>
      <c r="E420" s="1" t="n">
        <v>46233</v>
      </c>
      <c r="F420" t="inlineStr">
        <is>
          <t>VÄSTERBOTTENS LÄN</t>
        </is>
      </c>
      <c r="G420" t="inlineStr">
        <is>
          <t>NORDMALING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25349-2024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46233</v>
      </c>
      <c r="F421" t="inlineStr">
        <is>
          <t>VÄSTERBOTTENS LÄN</t>
        </is>
      </c>
      <c r="G421" t="inlineStr">
        <is>
          <t>NORDMALING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54837-2024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45618</v>
      </c>
      <c r="E422" s="1" t="n">
        <v>46233</v>
      </c>
      <c r="F422" t="inlineStr">
        <is>
          <t>VÄSTERBOTTENS LÄN</t>
        </is>
      </c>
      <c r="G422" t="inlineStr">
        <is>
          <t>NORDMALING</t>
        </is>
      </c>
      <c r="I422" t="n">
        <v>10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39776-2024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46233</v>
      </c>
      <c r="F423" t="inlineStr">
        <is>
          <t>VÄSTERBOTTENS LÄN</t>
        </is>
      </c>
      <c r="G423" t="inlineStr">
        <is>
          <t>NORDMALING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45638</v>
      </c>
      <c r="E424" s="1" t="n">
        <v>46233</v>
      </c>
      <c r="F424" t="inlineStr">
        <is>
          <t>VÄSTERBOTTENS LÄN</t>
        </is>
      </c>
      <c r="G424" t="inlineStr">
        <is>
          <t>NORDMALING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46233</v>
      </c>
      <c r="F425" t="inlineStr">
        <is>
          <t>VÄSTERBOTTENS LÄN</t>
        </is>
      </c>
      <c r="G425" t="inlineStr">
        <is>
          <t>NORDMALING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46233</v>
      </c>
      <c r="F426" t="inlineStr">
        <is>
          <t>VÄSTERBOTTENS LÄN</t>
        </is>
      </c>
      <c r="G426" t="inlineStr">
        <is>
          <t>NORDMALING</t>
        </is>
      </c>
      <c r="I426" t="n">
        <v>14.8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45712</v>
      </c>
      <c r="E427" s="1" t="n">
        <v>46233</v>
      </c>
      <c r="F427" t="inlineStr">
        <is>
          <t>VÄSTERBOTTENS LÄN</t>
        </is>
      </c>
      <c r="G427" t="inlineStr">
        <is>
          <t>NORDMALING</t>
        </is>
      </c>
      <c r="I427" t="n">
        <v>11.1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46233</v>
      </c>
      <c r="F428" t="inlineStr">
        <is>
          <t>VÄSTERBOTTENS LÄN</t>
        </is>
      </c>
      <c r="G428" t="inlineStr">
        <is>
          <t>NORDMALING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45890</v>
      </c>
      <c r="E429" s="1" t="n">
        <v>46233</v>
      </c>
      <c r="F429" t="inlineStr">
        <is>
          <t>VÄSTERBOTTENS LÄN</t>
        </is>
      </c>
      <c r="G429" t="inlineStr">
        <is>
          <t>NORDMALING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18232-2024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45420</v>
      </c>
      <c r="E430" s="1" t="n">
        <v>46233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46233</v>
      </c>
      <c r="F431" t="inlineStr">
        <is>
          <t>VÄSTERBOTTENS LÄN</t>
        </is>
      </c>
      <c r="G431" t="inlineStr">
        <is>
          <t>NORDMALING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45996</v>
      </c>
      <c r="E432" s="1" t="n">
        <v>46233</v>
      </c>
      <c r="F432" t="inlineStr">
        <is>
          <t>VÄSTERBOTTENS LÄN</t>
        </is>
      </c>
      <c r="G432" t="inlineStr">
        <is>
          <t>NORDMALING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57897-2025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45981</v>
      </c>
      <c r="E433" s="1" t="n">
        <v>46233</v>
      </c>
      <c r="F433" t="inlineStr">
        <is>
          <t>VÄSTERBOTTENS LÄN</t>
        </is>
      </c>
      <c r="G433" t="inlineStr">
        <is>
          <t>NORDMALING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46233</v>
      </c>
      <c r="F434" t="inlineStr">
        <is>
          <t>VÄSTERBOTTENS LÄN</t>
        </is>
      </c>
      <c r="G434" t="inlineStr">
        <is>
          <t>NORDMALING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45443</v>
      </c>
      <c r="E435" s="1" t="n">
        <v>46233</v>
      </c>
      <c r="F435" t="inlineStr">
        <is>
          <t>VÄSTERBOTTENS LÄN</t>
        </is>
      </c>
      <c r="G435" t="inlineStr">
        <is>
          <t>NORDMALING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44854</v>
      </c>
      <c r="E436" s="1" t="n">
        <v>46233</v>
      </c>
      <c r="F436" t="inlineStr">
        <is>
          <t>VÄSTERBOTTENS LÄN</t>
        </is>
      </c>
      <c r="G436" t="inlineStr">
        <is>
          <t>NORDMALING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48940-2022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44859</v>
      </c>
      <c r="E437" s="1" t="n">
        <v>46233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46233</v>
      </c>
      <c r="F438" t="inlineStr">
        <is>
          <t>VÄSTERBOTTENS LÄN</t>
        </is>
      </c>
      <c r="G438" t="inlineStr">
        <is>
          <t>NORDMALING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51832-2024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46233</v>
      </c>
      <c r="F439" t="inlineStr">
        <is>
          <t>VÄSTERBOTTENS LÄN</t>
        </is>
      </c>
      <c r="G439" t="inlineStr">
        <is>
          <t>NORDMALING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72841-2021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44547</v>
      </c>
      <c r="E440" s="1" t="n">
        <v>46233</v>
      </c>
      <c r="F440" t="inlineStr">
        <is>
          <t>VÄSTERBOTTENS LÄN</t>
        </is>
      </c>
      <c r="G440" t="inlineStr">
        <is>
          <t>NORDMALING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46233</v>
      </c>
      <c r="F441" t="inlineStr">
        <is>
          <t>VÄSTERBOTTENS LÄN</t>
        </is>
      </c>
      <c r="G441" t="inlineStr">
        <is>
          <t>NORDMALING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33612-2022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44789</v>
      </c>
      <c r="E442" s="1" t="n">
        <v>46233</v>
      </c>
      <c r="F442" t="inlineStr">
        <is>
          <t>VÄSTERBOTTENS LÄN</t>
        </is>
      </c>
      <c r="G442" t="inlineStr">
        <is>
          <t>NORDMALING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46233</v>
      </c>
      <c r="F443" t="inlineStr">
        <is>
          <t>VÄSTERBOTTENS LÄN</t>
        </is>
      </c>
      <c r="G443" t="inlineStr">
        <is>
          <t>NORDMALING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46233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45139</v>
      </c>
      <c r="E445" s="1" t="n">
        <v>46233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46233</v>
      </c>
      <c r="F446" t="inlineStr">
        <is>
          <t>VÄSTERBOTTENS LÄN</t>
        </is>
      </c>
      <c r="G446" t="inlineStr">
        <is>
          <t>NORDMALING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46233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55305-2023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45237</v>
      </c>
      <c r="E448" s="1" t="n">
        <v>46233</v>
      </c>
      <c r="F448" t="inlineStr">
        <is>
          <t>VÄSTERBOTTENS LÄN</t>
        </is>
      </c>
      <c r="G448" t="inlineStr">
        <is>
          <t>NORDMALING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46151</v>
      </c>
      <c r="E449" s="1" t="n">
        <v>46233</v>
      </c>
      <c r="F449" t="inlineStr">
        <is>
          <t>VÄSTERBOTTENS LÄN</t>
        </is>
      </c>
      <c r="G449" t="inlineStr">
        <is>
          <t>NORDMALING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45167</v>
      </c>
      <c r="E450" s="1" t="n">
        <v>46233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18639-2022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44687</v>
      </c>
      <c r="E451" s="1" t="n">
        <v>46233</v>
      </c>
      <c r="F451" t="inlineStr">
        <is>
          <t>VÄSTERBOTTENS LÄN</t>
        </is>
      </c>
      <c r="G451" t="inlineStr">
        <is>
          <t>NORDMALING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45665</v>
      </c>
      <c r="E452" s="1" t="n">
        <v>46233</v>
      </c>
      <c r="F452" t="inlineStr">
        <is>
          <t>VÄSTERBOTTENS LÄN</t>
        </is>
      </c>
      <c r="G452" t="inlineStr">
        <is>
          <t>NORDMALING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55740-2023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45239</v>
      </c>
      <c r="E453" s="1" t="n">
        <v>46233</v>
      </c>
      <c r="F453" t="inlineStr">
        <is>
          <t>VÄSTERBOTTENS LÄN</t>
        </is>
      </c>
      <c r="G453" t="inlineStr">
        <is>
          <t>NORDMALING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46233</v>
      </c>
      <c r="F454" t="inlineStr">
        <is>
          <t>VÄSTERBOTTENS LÄN</t>
        </is>
      </c>
      <c r="G454" t="inlineStr">
        <is>
          <t>NORDMALING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37548-2023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45158</v>
      </c>
      <c r="E455" s="1" t="n">
        <v>46233</v>
      </c>
      <c r="F455" t="inlineStr">
        <is>
          <t>VÄSTERBOTTENS LÄN</t>
        </is>
      </c>
      <c r="G455" t="inlineStr">
        <is>
          <t>NORDMALING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46233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27964-2026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46233</v>
      </c>
      <c r="F457" t="inlineStr">
        <is>
          <t>VÄSTERBOTTENS LÄN</t>
        </is>
      </c>
      <c r="G457" t="inlineStr">
        <is>
          <t>NORDMALING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46151</v>
      </c>
      <c r="E458" s="1" t="n">
        <v>46233</v>
      </c>
      <c r="F458" t="inlineStr">
        <is>
          <t>VÄSTERBOTTENS LÄN</t>
        </is>
      </c>
      <c r="G458" t="inlineStr">
        <is>
          <t>NORDMALING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46233</v>
      </c>
      <c r="F459" t="inlineStr">
        <is>
          <t>VÄSTERBOTTENS LÄN</t>
        </is>
      </c>
      <c r="G459" t="inlineStr">
        <is>
          <t>NORDMALING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46197</v>
      </c>
      <c r="E460" s="1" t="n">
        <v>46233</v>
      </c>
      <c r="F460" t="inlineStr">
        <is>
          <t>VÄSTERBOTTENS LÄN</t>
        </is>
      </c>
      <c r="G460" t="inlineStr">
        <is>
          <t>NORDMALING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30009-2022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44756</v>
      </c>
      <c r="E461" s="1" t="n">
        <v>46233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61795-2023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45265</v>
      </c>
      <c r="E462" s="1" t="n">
        <v>46233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46233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22581-2026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46233</v>
      </c>
      <c r="F464" t="inlineStr">
        <is>
          <t>VÄSTERBOTTENS LÄN</t>
        </is>
      </c>
      <c r="G464" t="inlineStr">
        <is>
          <t>NORDMALING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23005-2026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46160</v>
      </c>
      <c r="E465" s="1" t="n">
        <v>46233</v>
      </c>
      <c r="F465" t="inlineStr">
        <is>
          <t>VÄSTERBOTTENS LÄN</t>
        </is>
      </c>
      <c r="G465" t="inlineStr">
        <is>
          <t>NORDMALING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46233</v>
      </c>
      <c r="F466" t="inlineStr">
        <is>
          <t>VÄSTERBOTTENS LÄN</t>
        </is>
      </c>
      <c r="G466" t="inlineStr">
        <is>
          <t>NORDMALING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46233</v>
      </c>
      <c r="F467" t="inlineStr">
        <is>
          <t>VÄSTERBOTTENS LÄN</t>
        </is>
      </c>
      <c r="G467" t="inlineStr">
        <is>
          <t>NORDMALING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44816</v>
      </c>
      <c r="E468" s="1" t="n">
        <v>46233</v>
      </c>
      <c r="F468" t="inlineStr">
        <is>
          <t>VÄSTERBOTTENS LÄN</t>
        </is>
      </c>
      <c r="G468" t="inlineStr">
        <is>
          <t>NORDMALING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44902</v>
      </c>
      <c r="E469" s="1" t="n">
        <v>46233</v>
      </c>
      <c r="F469" t="inlineStr">
        <is>
          <t>VÄSTERBOTTENS LÄN</t>
        </is>
      </c>
      <c r="G469" t="inlineStr">
        <is>
          <t>NORDMALING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46233</v>
      </c>
      <c r="F470" t="inlineStr">
        <is>
          <t>VÄSTERBOTTENS LÄN</t>
        </is>
      </c>
      <c r="G470" t="inlineStr">
        <is>
          <t>NORDMALING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46233</v>
      </c>
      <c r="F471" t="inlineStr">
        <is>
          <t>VÄSTERBOTTENS LÄN</t>
        </is>
      </c>
      <c r="G471" t="inlineStr">
        <is>
          <t>NORDMALING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46233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46233</v>
      </c>
      <c r="F473" t="inlineStr">
        <is>
          <t>VÄSTERBOTTENS LÄN</t>
        </is>
      </c>
      <c r="G473" t="inlineStr">
        <is>
          <t>NORDMALING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45736</v>
      </c>
      <c r="E474" s="1" t="n">
        <v>46233</v>
      </c>
      <c r="F474" t="inlineStr">
        <is>
          <t>VÄSTERBOTTENS LÄN</t>
        </is>
      </c>
      <c r="G474" t="inlineStr">
        <is>
          <t>NORDMALING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23006-2026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46160</v>
      </c>
      <c r="E475" s="1" t="n">
        <v>46233</v>
      </c>
      <c r="F475" t="inlineStr">
        <is>
          <t>VÄSTERBOTTENS LÄN</t>
        </is>
      </c>
      <c r="G475" t="inlineStr">
        <is>
          <t>NORDMALING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46233</v>
      </c>
      <c r="F476" t="inlineStr">
        <is>
          <t>VÄSTERBOTTENS LÄN</t>
        </is>
      </c>
      <c r="G476" t="inlineStr">
        <is>
          <t>NORDMALING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23017-2026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46233</v>
      </c>
      <c r="F477" t="inlineStr">
        <is>
          <t>VÄSTERBOTTENS LÄN</t>
        </is>
      </c>
      <c r="G477" t="inlineStr">
        <is>
          <t>NORDMALING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46233</v>
      </c>
      <c r="F478" t="inlineStr">
        <is>
          <t>VÄSTERBOTTENS LÄN</t>
        </is>
      </c>
      <c r="G478" t="inlineStr">
        <is>
          <t>NORDMALING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46233</v>
      </c>
      <c r="F479" t="inlineStr">
        <is>
          <t>VÄSTERBOTTENS LÄN</t>
        </is>
      </c>
      <c r="G479" t="inlineStr">
        <is>
          <t>NORDMALING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45616</v>
      </c>
      <c r="E480" s="1" t="n">
        <v>46233</v>
      </c>
      <c r="F480" t="inlineStr">
        <is>
          <t>VÄSTERBOTTENS LÄN</t>
        </is>
      </c>
      <c r="G480" t="inlineStr">
        <is>
          <t>NORDMALING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40008-2023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46233</v>
      </c>
      <c r="F481" t="inlineStr">
        <is>
          <t>VÄSTERBOTTENS LÄN</t>
        </is>
      </c>
      <c r="G481" t="inlineStr">
        <is>
          <t>NORDMALING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8103-2025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45707</v>
      </c>
      <c r="E482" s="1" t="n">
        <v>46233</v>
      </c>
      <c r="F482" t="inlineStr">
        <is>
          <t>VÄSTERBOTTENS LÄN</t>
        </is>
      </c>
      <c r="G482" t="inlineStr">
        <is>
          <t>NORDMALING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31486-2024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45505</v>
      </c>
      <c r="E483" s="1" t="n">
        <v>46233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45536</v>
      </c>
      <c r="E484" s="1" t="n">
        <v>46233</v>
      </c>
      <c r="F484" t="inlineStr">
        <is>
          <t>VÄSTERBOTTENS LÄN</t>
        </is>
      </c>
      <c r="G484" t="inlineStr">
        <is>
          <t>NORDMALING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44922</v>
      </c>
      <c r="E485" s="1" t="n">
        <v>46233</v>
      </c>
      <c r="F485" t="inlineStr">
        <is>
          <t>VÄSTERBOTTENS LÄN</t>
        </is>
      </c>
      <c r="G485" t="inlineStr">
        <is>
          <t>NORDMALING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46233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45433</v>
      </c>
      <c r="E487" s="1" t="n">
        <v>46233</v>
      </c>
      <c r="F487" t="inlineStr">
        <is>
          <t>VÄSTERBOTTENS LÄN</t>
        </is>
      </c>
      <c r="G487" t="inlineStr">
        <is>
          <t>NORDMALING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46233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45691</v>
      </c>
      <c r="E489" s="1" t="n">
        <v>46233</v>
      </c>
      <c r="F489" t="inlineStr">
        <is>
          <t>VÄSTERBOTTENS LÄN</t>
        </is>
      </c>
      <c r="G489" t="inlineStr">
        <is>
          <t>NORDMALING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61657-2022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44916</v>
      </c>
      <c r="E490" s="1" t="n">
        <v>46233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46233</v>
      </c>
      <c r="F491" t="inlineStr">
        <is>
          <t>VÄSTERBOTTENS LÄN</t>
        </is>
      </c>
      <c r="G491" t="inlineStr">
        <is>
          <t>NORDMALING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39104-2022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44816</v>
      </c>
      <c r="E492" s="1" t="n">
        <v>46233</v>
      </c>
      <c r="F492" t="inlineStr">
        <is>
          <t>VÄSTERBOTTENS LÄN</t>
        </is>
      </c>
      <c r="G492" t="inlineStr">
        <is>
          <t>NORDMALING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46233</v>
      </c>
      <c r="F493" t="inlineStr">
        <is>
          <t>VÄSTERBOTTENS LÄN</t>
        </is>
      </c>
      <c r="G493" t="inlineStr">
        <is>
          <t>NORDMALING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46233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21607-2022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44706</v>
      </c>
      <c r="E495" s="1" t="n">
        <v>46233</v>
      </c>
      <c r="F495" t="inlineStr">
        <is>
          <t>VÄSTERBOTTENS LÄN</t>
        </is>
      </c>
      <c r="G495" t="inlineStr">
        <is>
          <t>NORDMALING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46233</v>
      </c>
      <c r="F496" t="inlineStr">
        <is>
          <t>VÄSTERBOTTENS LÄN</t>
        </is>
      </c>
      <c r="G496" t="inlineStr">
        <is>
          <t>NORDMALING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46233</v>
      </c>
      <c r="F497" t="inlineStr">
        <is>
          <t>VÄSTERBOTTENS LÄN</t>
        </is>
      </c>
      <c r="G497" t="inlineStr">
        <is>
          <t>NORDMALING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7618-2024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45348</v>
      </c>
      <c r="E498" s="1" t="n">
        <v>46233</v>
      </c>
      <c r="F498" t="inlineStr">
        <is>
          <t>VÄSTERBOTTENS LÄN</t>
        </is>
      </c>
      <c r="G498" t="inlineStr">
        <is>
          <t>NORDMALING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46233</v>
      </c>
      <c r="F499" t="inlineStr">
        <is>
          <t>VÄSTERBOTTENS LÄN</t>
        </is>
      </c>
      <c r="G499" t="inlineStr">
        <is>
          <t>NORDMALING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46233</v>
      </c>
      <c r="F500" t="inlineStr">
        <is>
          <t>VÄSTERBOTTENS LÄN</t>
        </is>
      </c>
      <c r="G500" t="inlineStr">
        <is>
          <t>NORDMALING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25214-2026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46171</v>
      </c>
      <c r="E501" s="1" t="n">
        <v>46233</v>
      </c>
      <c r="F501" t="inlineStr">
        <is>
          <t>VÄSTERBOTTENS LÄN</t>
        </is>
      </c>
      <c r="G501" t="inlineStr">
        <is>
          <t>NORDMALING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46233</v>
      </c>
      <c r="F502" t="inlineStr">
        <is>
          <t>VÄSTERBOTTENS LÄN</t>
        </is>
      </c>
      <c r="G502" t="inlineStr">
        <is>
          <t>NORDMALING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7007-2024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45343</v>
      </c>
      <c r="E503" s="1" t="n">
        <v>46233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Kommuner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46233</v>
      </c>
      <c r="F504" t="inlineStr">
        <is>
          <t>VÄSTERBOTTENS LÄN</t>
        </is>
      </c>
      <c r="G504" t="inlineStr">
        <is>
          <t>NORDMALING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46233</v>
      </c>
      <c r="F505" t="inlineStr">
        <is>
          <t>VÄSTERBOTTENS LÄN</t>
        </is>
      </c>
      <c r="G505" t="inlineStr">
        <is>
          <t>NORDMALING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46233</v>
      </c>
      <c r="F506" t="inlineStr">
        <is>
          <t>VÄSTERBOTTENS LÄN</t>
        </is>
      </c>
      <c r="G506" t="inlineStr">
        <is>
          <t>NORDMALING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44620</v>
      </c>
      <c r="E507" s="1" t="n">
        <v>46233</v>
      </c>
      <c r="F507" t="inlineStr">
        <is>
          <t>VÄSTERBOTTENS LÄN</t>
        </is>
      </c>
      <c r="G507" t="inlineStr">
        <is>
          <t>NORDMALING</t>
        </is>
      </c>
      <c r="I507" t="n">
        <v>82.40000000000001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46233</v>
      </c>
      <c r="F508" t="inlineStr">
        <is>
          <t>VÄSTERBOTTENS LÄN</t>
        </is>
      </c>
      <c r="G508" t="inlineStr">
        <is>
          <t>NORDMALING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45034</v>
      </c>
      <c r="E509" s="1" t="n">
        <v>46233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40053-2021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44418</v>
      </c>
      <c r="E510" s="1" t="n">
        <v>46233</v>
      </c>
      <c r="F510" t="inlineStr">
        <is>
          <t>VÄSTERBOTTENS LÄN</t>
        </is>
      </c>
      <c r="G510" t="inlineStr">
        <is>
          <t>NORDMALING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46233</v>
      </c>
      <c r="F511" t="inlineStr">
        <is>
          <t>VÄSTERBOTTENS LÄN</t>
        </is>
      </c>
      <c r="G511" t="inlineStr">
        <is>
          <t>NORDMALING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24909-2026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46233</v>
      </c>
      <c r="F512" t="inlineStr">
        <is>
          <t>VÄSTERBOTTENS LÄN</t>
        </is>
      </c>
      <c r="G512" t="inlineStr">
        <is>
          <t>NORDMALING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53986-2022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44881</v>
      </c>
      <c r="E513" s="1" t="n">
        <v>46233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46233</v>
      </c>
      <c r="F514" t="inlineStr">
        <is>
          <t>VÄSTERBOTTENS LÄN</t>
        </is>
      </c>
      <c r="G514" t="inlineStr">
        <is>
          <t>NORDMALING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46233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46176</v>
      </c>
      <c r="E516" s="1" t="n">
        <v>46233</v>
      </c>
      <c r="F516" t="inlineStr">
        <is>
          <t>VÄSTERBOTTENS LÄN</t>
        </is>
      </c>
      <c r="G516" t="inlineStr">
        <is>
          <t>NORDMALING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45673</v>
      </c>
      <c r="E517" s="1" t="n">
        <v>46233</v>
      </c>
      <c r="F517" t="inlineStr">
        <is>
          <t>VÄSTERBOTTENS LÄN</t>
        </is>
      </c>
      <c r="G517" t="inlineStr">
        <is>
          <t>NORDMALING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26197-2022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44735</v>
      </c>
      <c r="E518" s="1" t="n">
        <v>46233</v>
      </c>
      <c r="F518" t="inlineStr">
        <is>
          <t>VÄSTERBOTTENS LÄN</t>
        </is>
      </c>
      <c r="G518" t="inlineStr">
        <is>
          <t>NORDMALING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46233</v>
      </c>
      <c r="F519" t="inlineStr">
        <is>
          <t>VÄSTERBOTTENS LÄN</t>
        </is>
      </c>
      <c r="G519" t="inlineStr">
        <is>
          <t>NORDMALING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44859</v>
      </c>
      <c r="E520" s="1" t="n">
        <v>46233</v>
      </c>
      <c r="F520" t="inlineStr">
        <is>
          <t>VÄSTERBOTTENS LÄN</t>
        </is>
      </c>
      <c r="G520" t="inlineStr">
        <is>
          <t>NORDMALING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14689-2025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45742</v>
      </c>
      <c r="E521" s="1" t="n">
        <v>46233</v>
      </c>
      <c r="F521" t="inlineStr">
        <is>
          <t>VÄSTERBOTTENS LÄN</t>
        </is>
      </c>
      <c r="G521" t="inlineStr">
        <is>
          <t>NORDMALING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46178</v>
      </c>
      <c r="E522" s="1" t="n">
        <v>46233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45021</v>
      </c>
      <c r="E523" s="1" t="n">
        <v>46233</v>
      </c>
      <c r="F523" t="inlineStr">
        <is>
          <t>VÄSTERBOTTENS LÄN</t>
        </is>
      </c>
      <c r="G523" t="inlineStr">
        <is>
          <t>NORDMALING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27370-2023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46233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46233</v>
      </c>
      <c r="F525" t="inlineStr">
        <is>
          <t>VÄSTERBOTTENS LÄN</t>
        </is>
      </c>
      <c r="G525" t="inlineStr">
        <is>
          <t>NORDMALING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44888</v>
      </c>
      <c r="E526" s="1" t="n">
        <v>46233</v>
      </c>
      <c r="F526" t="inlineStr">
        <is>
          <t>VÄSTERBOTTENS LÄN</t>
        </is>
      </c>
      <c r="G526" t="inlineStr">
        <is>
          <t>NORDMALING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44972</v>
      </c>
      <c r="E527" s="1" t="n">
        <v>46233</v>
      </c>
      <c r="F527" t="inlineStr">
        <is>
          <t>VÄSTERBOTTENS LÄN</t>
        </is>
      </c>
      <c r="G527" t="inlineStr">
        <is>
          <t>NORDMALING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45608</v>
      </c>
      <c r="E528" s="1" t="n">
        <v>46233</v>
      </c>
      <c r="F528" t="inlineStr">
        <is>
          <t>VÄSTERBOTTENS LÄN</t>
        </is>
      </c>
      <c r="G528" t="inlineStr">
        <is>
          <t>NORDMALING</t>
        </is>
      </c>
      <c r="H528" t="inlineStr">
        <is>
          <t>SCA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45517</v>
      </c>
      <c r="E529" s="1" t="n">
        <v>46233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Holmen skog AB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26796-2026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46185</v>
      </c>
      <c r="E530" s="1" t="n">
        <v>46233</v>
      </c>
      <c r="F530" t="inlineStr">
        <is>
          <t>VÄSTERBOTTENS LÄN</t>
        </is>
      </c>
      <c r="G530" t="inlineStr">
        <is>
          <t>NORDMALING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20328-2024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45435</v>
      </c>
      <c r="E531" s="1" t="n">
        <v>46233</v>
      </c>
      <c r="F531" t="inlineStr">
        <is>
          <t>VÄSTERBOTTENS LÄN</t>
        </is>
      </c>
      <c r="G531" t="inlineStr">
        <is>
          <t>NORDMALING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16455-2024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45407</v>
      </c>
      <c r="E532" s="1" t="n">
        <v>46233</v>
      </c>
      <c r="F532" t="inlineStr">
        <is>
          <t>VÄSTERBOTTENS LÄN</t>
        </is>
      </c>
      <c r="G532" t="inlineStr">
        <is>
          <t>NORDMALING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46233</v>
      </c>
      <c r="F533" t="inlineStr">
        <is>
          <t>VÄSTERBOTTENS LÄN</t>
        </is>
      </c>
      <c r="G533" t="inlineStr">
        <is>
          <t>NORDMALING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45188</v>
      </c>
      <c r="E534" s="1" t="n">
        <v>46233</v>
      </c>
      <c r="F534" t="inlineStr">
        <is>
          <t>VÄSTERBOTTENS LÄN</t>
        </is>
      </c>
      <c r="G534" t="inlineStr">
        <is>
          <t>NORDMALING</t>
        </is>
      </c>
      <c r="H534" t="inlineStr">
        <is>
          <t>SCA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44788</v>
      </c>
      <c r="E535" s="1" t="n">
        <v>46233</v>
      </c>
      <c r="F535" t="inlineStr">
        <is>
          <t>VÄSTERBOTTENS LÄN</t>
        </is>
      </c>
      <c r="G535" t="inlineStr">
        <is>
          <t>NORDMALING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45607</v>
      </c>
      <c r="E536" s="1" t="n">
        <v>46233</v>
      </c>
      <c r="F536" t="inlineStr">
        <is>
          <t>VÄSTERBOTTENS LÄN</t>
        </is>
      </c>
      <c r="G536" t="inlineStr">
        <is>
          <t>NORDMALING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46233</v>
      </c>
      <c r="F537" t="inlineStr">
        <is>
          <t>VÄSTERBOTTENS LÄN</t>
        </is>
      </c>
      <c r="G537" t="inlineStr">
        <is>
          <t>NORDMALING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45326-2025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45922</v>
      </c>
      <c r="E538" s="1" t="n">
        <v>46233</v>
      </c>
      <c r="F538" t="inlineStr">
        <is>
          <t>VÄSTERBOTTENS LÄN</t>
        </is>
      </c>
      <c r="G538" t="inlineStr">
        <is>
          <t>NORDMALING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44968</v>
      </c>
      <c r="E539" s="1" t="n">
        <v>46233</v>
      </c>
      <c r="F539" t="inlineStr">
        <is>
          <t>VÄSTERBOTTENS LÄN</t>
        </is>
      </c>
      <c r="G539" t="inlineStr">
        <is>
          <t>NORDMALING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24850-2023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45078</v>
      </c>
      <c r="E540" s="1" t="n">
        <v>46233</v>
      </c>
      <c r="F540" t="inlineStr">
        <is>
          <t>VÄSTERBOTTENS LÄN</t>
        </is>
      </c>
      <c r="G540" t="inlineStr">
        <is>
          <t>NORDMALING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45665</v>
      </c>
      <c r="E541" s="1" t="n">
        <v>46233</v>
      </c>
      <c r="F541" t="inlineStr">
        <is>
          <t>VÄSTERBOTTENS LÄN</t>
        </is>
      </c>
      <c r="G541" t="inlineStr">
        <is>
          <t>NORDMALING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45676</v>
      </c>
      <c r="E542" s="1" t="n">
        <v>46233</v>
      </c>
      <c r="F542" t="inlineStr">
        <is>
          <t>VÄSTERBOTTENS LÄN</t>
        </is>
      </c>
      <c r="G542" t="inlineStr">
        <is>
          <t>NORDMALING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45713</v>
      </c>
      <c r="E543" s="1" t="n">
        <v>46233</v>
      </c>
      <c r="F543" t="inlineStr">
        <is>
          <t>VÄSTERBOTTENS LÄN</t>
        </is>
      </c>
      <c r="G543" t="inlineStr">
        <is>
          <t>NORDMALING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61283-2023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46233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45241</v>
      </c>
      <c r="E545" s="1" t="n">
        <v>46233</v>
      </c>
      <c r="F545" t="inlineStr">
        <is>
          <t>VÄSTERBOTTENS LÄN</t>
        </is>
      </c>
      <c r="G545" t="inlineStr">
        <is>
          <t>NORDMALING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43491-2024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45568</v>
      </c>
      <c r="E546" s="1" t="n">
        <v>46233</v>
      </c>
      <c r="F546" t="inlineStr">
        <is>
          <t>VÄSTERBOTTENS LÄN</t>
        </is>
      </c>
      <c r="G546" t="inlineStr">
        <is>
          <t>NORDMALING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43492-2024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45568</v>
      </c>
      <c r="E547" s="1" t="n">
        <v>46233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502-2025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45664</v>
      </c>
      <c r="E548" s="1" t="n">
        <v>46233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19581-2024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45429</v>
      </c>
      <c r="E549" s="1" t="n">
        <v>46233</v>
      </c>
      <c r="F549" t="inlineStr">
        <is>
          <t>VÄSTERBOTTENS LÄN</t>
        </is>
      </c>
      <c r="G549" t="inlineStr">
        <is>
          <t>NORDMALING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46233</v>
      </c>
      <c r="F550" t="inlineStr">
        <is>
          <t>VÄSTERBOTTENS LÄN</t>
        </is>
      </c>
      <c r="G550" t="inlineStr">
        <is>
          <t>NORDMALING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45204</v>
      </c>
      <c r="E551" s="1" t="n">
        <v>46233</v>
      </c>
      <c r="F551" t="inlineStr">
        <is>
          <t>VÄSTERBOTTENS LÄN</t>
        </is>
      </c>
      <c r="G551" t="inlineStr">
        <is>
          <t>NORDMALING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16758-2023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46233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SCA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21736-2025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45783</v>
      </c>
      <c r="E553" s="1" t="n">
        <v>46233</v>
      </c>
      <c r="F553" t="inlineStr">
        <is>
          <t>VÄSTERBOTTENS LÄN</t>
        </is>
      </c>
      <c r="G553" t="inlineStr">
        <is>
          <t>NORDMALING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45783</v>
      </c>
      <c r="E554" s="1" t="n">
        <v>46233</v>
      </c>
      <c r="F554" t="inlineStr">
        <is>
          <t>VÄSTERBOTTENS LÄN</t>
        </is>
      </c>
      <c r="G554" t="inlineStr">
        <is>
          <t>NORDMALING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61616-2023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45261</v>
      </c>
      <c r="E555" s="1" t="n">
        <v>46233</v>
      </c>
      <c r="F555" t="inlineStr">
        <is>
          <t>VÄSTERBOTTENS LÄN</t>
        </is>
      </c>
      <c r="G555" t="inlineStr">
        <is>
          <t>NORDMALING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50969-2024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46233</v>
      </c>
      <c r="F556" t="inlineStr">
        <is>
          <t>VÄSTERBOTTENS LÄN</t>
        </is>
      </c>
      <c r="G556" t="inlineStr">
        <is>
          <t>NORDMALING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23029-2025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46233</v>
      </c>
      <c r="F557" t="inlineStr">
        <is>
          <t>VÄSTERBOTTENS LÄN</t>
        </is>
      </c>
      <c r="G557" t="inlineStr">
        <is>
          <t>NORDMALING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46233</v>
      </c>
      <c r="F558" t="inlineStr">
        <is>
          <t>VÄSTERBOTTENS LÄN</t>
        </is>
      </c>
      <c r="G558" t="inlineStr">
        <is>
          <t>NORDMALING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46233</v>
      </c>
      <c r="F559" t="inlineStr">
        <is>
          <t>VÄSTERBOTTENS LÄN</t>
        </is>
      </c>
      <c r="G559" t="inlineStr">
        <is>
          <t>NORDMALING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45789</v>
      </c>
      <c r="E560" s="1" t="n">
        <v>46233</v>
      </c>
      <c r="F560" t="inlineStr">
        <is>
          <t>VÄSTERBOTTENS LÄN</t>
        </is>
      </c>
      <c r="G560" t="inlineStr">
        <is>
          <t>NORDMALING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46233</v>
      </c>
      <c r="F561" t="inlineStr">
        <is>
          <t>VÄSTERBOTTENS LÄN</t>
        </is>
      </c>
      <c r="G561" t="inlineStr">
        <is>
          <t>NORDMALING</t>
        </is>
      </c>
      <c r="I561" t="n">
        <v>20.3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46233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46233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45699</v>
      </c>
      <c r="E564" s="1" t="n">
        <v>46233</v>
      </c>
      <c r="F564" t="inlineStr">
        <is>
          <t>VÄSTERBOTTENS LÄN</t>
        </is>
      </c>
      <c r="G564" t="inlineStr">
        <is>
          <t>NORDMALING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45799</v>
      </c>
      <c r="E565" s="1" t="n">
        <v>46233</v>
      </c>
      <c r="F565" t="inlineStr">
        <is>
          <t>VÄSTERBOTTENS LÄN</t>
        </is>
      </c>
      <c r="G565" t="inlineStr">
        <is>
          <t>NORDMALING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44603</v>
      </c>
      <c r="E566" s="1" t="n">
        <v>46233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183.1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11-2022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44559</v>
      </c>
      <c r="E567" s="1" t="n">
        <v>46233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Holmen skog AB</t>
        </is>
      </c>
      <c r="I567" t="n">
        <v>18.8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3963-2024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45567</v>
      </c>
      <c r="E568" s="1" t="n">
        <v>46233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8278-2021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44489</v>
      </c>
      <c r="E569" s="1" t="n">
        <v>46233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73-2025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45667</v>
      </c>
      <c r="E570" s="1" t="n">
        <v>46233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9259-2021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44517</v>
      </c>
      <c r="E571" s="1" t="n">
        <v>46233</v>
      </c>
      <c r="F571" t="inlineStr">
        <is>
          <t>VÄSTERBOTTENS LÄN</t>
        </is>
      </c>
      <c r="G571" t="inlineStr">
        <is>
          <t>NORDMALING</t>
        </is>
      </c>
      <c r="I571" t="n">
        <v>17.8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4194-2023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45250</v>
      </c>
      <c r="E572" s="1" t="n">
        <v>46233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27.6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5071-2024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45638</v>
      </c>
      <c r="E573" s="1" t="n">
        <v>46233</v>
      </c>
      <c r="F573" t="inlineStr">
        <is>
          <t>VÄSTERBOTTENS LÄN</t>
        </is>
      </c>
      <c r="G573" t="inlineStr">
        <is>
          <t>NORDMALING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1247-2025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45762</v>
      </c>
      <c r="E574" s="1" t="n">
        <v>46233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46233</v>
      </c>
      <c r="F575" t="inlineStr">
        <is>
          <t>VÄSTERBOTTENS LÄN</t>
        </is>
      </c>
      <c r="G575" t="inlineStr">
        <is>
          <t>NORDMALING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440-2026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46070</v>
      </c>
      <c r="E576" s="1" t="n">
        <v>46233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Holmen skog AB</t>
        </is>
      </c>
      <c r="I576" t="n">
        <v>73.59999999999999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443-2026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46071</v>
      </c>
      <c r="E577" s="1" t="n">
        <v>46233</v>
      </c>
      <c r="F577" t="inlineStr">
        <is>
          <t>VÄSTERBOTTENS LÄN</t>
        </is>
      </c>
      <c r="G577" t="inlineStr">
        <is>
          <t>NORDMALING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445-2026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46233</v>
      </c>
      <c r="F578" t="inlineStr">
        <is>
          <t>VÄSTERBOTTENS LÄN</t>
        </is>
      </c>
      <c r="G578" t="inlineStr">
        <is>
          <t>NORDMALING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444-2026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46233</v>
      </c>
      <c r="F579" t="inlineStr">
        <is>
          <t>VÄSTERBOTTENS LÄN</t>
        </is>
      </c>
      <c r="G579" t="inlineStr">
        <is>
          <t>NORDMALING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46135</v>
      </c>
      <c r="E580" s="1" t="n">
        <v>46233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1299-2026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46148</v>
      </c>
      <c r="E581" s="1" t="n">
        <v>46233</v>
      </c>
      <c r="F581" t="inlineStr">
        <is>
          <t>VÄSTERBOTTENS LÄN</t>
        </is>
      </c>
      <c r="G581" t="inlineStr">
        <is>
          <t>NORDMALING</t>
        </is>
      </c>
      <c r="I581" t="n">
        <v>17.6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2026-07-30T01:49:36Z</dcterms:created>
  <dcterms:modified xmlns:dcterms="http://purl.org/dc/terms/" xmlns:xsi="http://www.w3.org/2001/XMLSchema-instance" xsi:type="dcterms:W3CDTF">2026-07-30T01:49:37Z</dcterms:modified>
</cp:coreProperties>
</file>