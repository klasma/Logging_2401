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46241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46241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46241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30950-2026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46205</v>
      </c>
      <c r="E5" s="1" t="n">
        <v>46241</v>
      </c>
      <c r="F5" t="inlineStr">
        <is>
          <t>VÄSTERBOTTENS LÄN</t>
        </is>
      </c>
      <c r="G5" t="inlineStr">
        <is>
          <t>NORDMALING</t>
        </is>
      </c>
      <c r="I5" t="n">
        <v>3.2</v>
      </c>
      <c r="J5" t="n">
        <v>0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12</v>
      </c>
      <c r="U5" t="n">
        <v>0</v>
      </c>
      <c r="V5" s="2" t="inlineStr">
        <is>
          <t>Småflikig brosklav
Bronshjon
Mörk husmossa
Stor aspticka
Stuplav
Thomsons trägnagare
Ögonpyrola</t>
        </is>
      </c>
      <c r="W5">
        <f>HYPERLINK("https://klasma.github.io/Logging_2401/artfynd/A 30950-2026 artfynd.xlsx", "A 30950-2026")</f>
        <v/>
      </c>
      <c r="X5">
        <f>HYPERLINK("https://klasma.github.io/Logging_2401/kartor/A 30950-2026 karta.png", "A 30950-2026")</f>
        <v/>
      </c>
      <c r="Y5">
        <f>HYPERLINK("https://klasma.github.io/Logging_2401/kartor_geotiff/A 30950-2026 georefererad karta.tif", "A 30950-2026")</f>
        <v/>
      </c>
      <c r="AA5">
        <f>HYPERLINK("https://klasma.github.io/Logging_2401/klagomål/A 30950-2026 FSC-klagomål.docx", "A 30950-2026")</f>
        <v/>
      </c>
      <c r="AB5">
        <f>HYPERLINK("https://klasma.github.io/Logging_2401/klagomålsmail/A 30950-2026 FSC-klagomål mail.docx", "A 30950-2026")</f>
        <v/>
      </c>
      <c r="AC5">
        <f>HYPERLINK("https://klasma.github.io/Logging_2401/tillsyn/A 30950-2026 tillsynsbegäran.docx", "A 30950-2026")</f>
        <v/>
      </c>
      <c r="AD5">
        <f>HYPERLINK("https://klasma.github.io/Logging_2401/tillsynsmail/A 30950-2026 tillsynsbegäran mail.docx", "A 30950-2026")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46241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46241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46241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46241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46241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46241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46241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46241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46241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46241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46241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46241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46241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46241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46241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46241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46241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Gulsparv
Ladusvala</t>
        </is>
      </c>
      <c r="W22">
        <f>HYPERLINK("https://klasma.github.io/Logging_2401/artfynd/A 23753-2023 artfynd.xlsx", "A 23753-2023")</f>
        <v/>
      </c>
      <c r="X22">
        <f>HYPERLINK("https://klasma.github.io/Logging_2401/kartor/A 23753-2023 karta.png", "A 23753-2023")</f>
        <v/>
      </c>
      <c r="Y22">
        <f>HYPERLINK("https://klasma.github.io/Logging_2401/kartor_geotiff/A 23753-2023 georefererad karta.tif", "A 23753-2023")</f>
        <v/>
      </c>
      <c r="AA22">
        <f>HYPERLINK("https://klasma.github.io/Logging_2401/klagomål/A 23753-2023 FSC-klagomål.docx", "A 23753-2023")</f>
        <v/>
      </c>
      <c r="AB22">
        <f>HYPERLINK("https://klasma.github.io/Logging_2401/klagomålsmail/A 23753-2023 FSC-klagomål mail.docx", "A 23753-2023")</f>
        <v/>
      </c>
      <c r="AC22">
        <f>HYPERLINK("https://klasma.github.io/Logging_2401/tillsyn/A 23753-2023 tillsynsbegäran.docx", "A 23753-2023")</f>
        <v/>
      </c>
      <c r="AD22">
        <f>HYPERLINK("https://klasma.github.io/Logging_2401/tillsynsmail/A 23753-2023 tillsynsbegäran mail.docx", "A 23753-2023")</f>
        <v/>
      </c>
      <c r="AE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46241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Småflikig brosklav
Violettgrå tagellav
Vedticka</t>
        </is>
      </c>
      <c r="W23">
        <f>HYPERLINK("https://klasma.github.io/Logging_2401/artfynd/A 40210-2022 artfynd.xlsx", "A 40210-2022")</f>
        <v/>
      </c>
      <c r="X23">
        <f>HYPERLINK("https://klasma.github.io/Logging_2401/kartor/A 40210-2022 karta.png", "A 40210-2022")</f>
        <v/>
      </c>
      <c r="Y23">
        <f>HYPERLINK("https://klasma.github.io/Logging_2401/kartor_geotiff/A 40210-2022 georefererad karta.tif", "A 40210-2022")</f>
        <v/>
      </c>
      <c r="AA23">
        <f>HYPERLINK("https://klasma.github.io/Logging_2401/klagomål/A 40210-2022 FSC-klagomål.docx", "A 40210-2022")</f>
        <v/>
      </c>
      <c r="AB23">
        <f>HYPERLINK("https://klasma.github.io/Logging_2401/klagomålsmail/A 40210-2022 FSC-klagomål mail.docx", "A 40210-2022")</f>
        <v/>
      </c>
      <c r="AC23">
        <f>HYPERLINK("https://klasma.github.io/Logging_2401/tillsyn/A 40210-2022 tillsynsbegäran.docx", "A 40210-2022")</f>
        <v/>
      </c>
      <c r="AD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46241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Stjärntagging
Ullticka</t>
        </is>
      </c>
      <c r="W24">
        <f>HYPERLINK("https://klasma.github.io/Logging_2401/artfynd/A 3483-2026 artfynd.xlsx", "A 3483-2026")</f>
        <v/>
      </c>
      <c r="X24">
        <f>HYPERLINK("https://klasma.github.io/Logging_2401/kartor/A 3483-2026 karta.png", "A 3483-2026")</f>
        <v/>
      </c>
      <c r="Y24">
        <f>HYPERLINK("https://klasma.github.io/Logging_2401/kartor_geotiff/A 3483-2026 georefererad karta.tif", "A 3483-2026")</f>
        <v/>
      </c>
      <c r="AA24">
        <f>HYPERLINK("https://klasma.github.io/Logging_2401/klagomål/A 3483-2026 FSC-klagomål.docx", "A 3483-2026")</f>
        <v/>
      </c>
      <c r="AB24">
        <f>HYPERLINK("https://klasma.github.io/Logging_2401/klagomålsmail/A 3483-2026 FSC-klagomål mail.docx", "A 3483-2026")</f>
        <v/>
      </c>
      <c r="AC24">
        <f>HYPERLINK("https://klasma.github.io/Logging_2401/tillsyn/A 3483-2026 tillsynsbegäran.docx", "A 3483-2026")</f>
        <v/>
      </c>
      <c r="AD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46241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Tretåig hackspett
Skinnlav</t>
        </is>
      </c>
      <c r="W25">
        <f>HYPERLINK("https://klasma.github.io/Logging_2401/artfynd/A 4085-2026 artfynd.xlsx", "A 4085-2026")</f>
        <v/>
      </c>
      <c r="X25">
        <f>HYPERLINK("https://klasma.github.io/Logging_2401/kartor/A 4085-2026 karta.png", "A 4085-2026")</f>
        <v/>
      </c>
      <c r="Y25">
        <f>HYPERLINK("https://klasma.github.io/Logging_2401/kartor_geotiff/A 4085-2026 georefererad karta.tif", "A 4085-2026")</f>
        <v/>
      </c>
      <c r="AA25">
        <f>HYPERLINK("https://klasma.github.io/Logging_2401/klagomål/A 4085-2026 FSC-klagomål.docx", "A 4085-2026")</f>
        <v/>
      </c>
      <c r="AB25">
        <f>HYPERLINK("https://klasma.github.io/Logging_2401/klagomålsmail/A 4085-2026 FSC-klagomål mail.docx", "A 4085-2026")</f>
        <v/>
      </c>
      <c r="AC25">
        <f>HYPERLINK("https://klasma.github.io/Logging_2401/tillsyn/A 4085-2026 tillsynsbegäran.docx", "A 4085-2026")</f>
        <v/>
      </c>
      <c r="AD25">
        <f>HYPERLINK("https://klasma.github.io/Logging_2401/tillsynsmail/A 4085-2026 tillsynsbegäran mail.docx", "A 4085-2026")</f>
        <v/>
      </c>
      <c r="AE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46241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46241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46241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46241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46241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46241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46241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46241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46241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Grönsångare
Mindre hackspett</t>
        </is>
      </c>
      <c r="W34">
        <f>HYPERLINK("https://klasma.github.io/Logging_2401/artfynd/A 65043-2023 artfynd.xlsx", "A 65043-2023")</f>
        <v/>
      </c>
      <c r="X34">
        <f>HYPERLINK("https://klasma.github.io/Logging_2401/kartor/A 65043-2023 karta.png", "A 65043-2023")</f>
        <v/>
      </c>
      <c r="Y34">
        <f>HYPERLINK("https://klasma.github.io/Logging_2401/kartor_geotiff/A 65043-2023 georefererad karta.tif", "A 65043-2023")</f>
        <v/>
      </c>
      <c r="AA34">
        <f>HYPERLINK("https://klasma.github.io/Logging_2401/klagomål/A 65043-2023 FSC-klagomål.docx", "A 65043-2023")</f>
        <v/>
      </c>
      <c r="AB34">
        <f>HYPERLINK("https://klasma.github.io/Logging_2401/klagomålsmail/A 65043-2023 FSC-klagomål mail.docx", "A 65043-2023")</f>
        <v/>
      </c>
      <c r="AC34">
        <f>HYPERLINK("https://klasma.github.io/Logging_2401/tillsyn/A 65043-2023 tillsynsbegäran.docx", "A 65043-2023")</f>
        <v/>
      </c>
      <c r="AD34">
        <f>HYPERLINK("https://klasma.github.io/Logging_2401/tillsynsmail/A 65043-2023 tillsynsbegäran mail.docx", "A 65043-2023")</f>
        <v/>
      </c>
      <c r="AE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46241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Mindre hackspett
Sävsparv</t>
        </is>
      </c>
      <c r="W35">
        <f>HYPERLINK("https://klasma.github.io/Logging_2401/artfynd/A 65044-2023 artfynd.xlsx", "A 65044-2023")</f>
        <v/>
      </c>
      <c r="X35">
        <f>HYPERLINK("https://klasma.github.io/Logging_2401/kartor/A 65044-2023 karta.png", "A 65044-2023")</f>
        <v/>
      </c>
      <c r="Y35">
        <f>HYPERLINK("https://klasma.github.io/Logging_2401/kartor_geotiff/A 65044-2023 georefererad karta.tif", "A 65044-2023")</f>
        <v/>
      </c>
      <c r="AA35">
        <f>HYPERLINK("https://klasma.github.io/Logging_2401/klagomål/A 65044-2023 FSC-klagomål.docx", "A 65044-2023")</f>
        <v/>
      </c>
      <c r="AB35">
        <f>HYPERLINK("https://klasma.github.io/Logging_2401/klagomålsmail/A 65044-2023 FSC-klagomål mail.docx", "A 65044-2023")</f>
        <v/>
      </c>
      <c r="AC35">
        <f>HYPERLINK("https://klasma.github.io/Logging_2401/tillsyn/A 65044-2023 tillsynsbegäran.docx", "A 65044-2023")</f>
        <v/>
      </c>
      <c r="AD35">
        <f>HYPERLINK("https://klasma.github.io/Logging_2401/tillsynsmail/A 65044-2023 tillsynsbegäran mail.docx", "A 65044-2023")</f>
        <v/>
      </c>
      <c r="AE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46241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46241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46241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46241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46241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46241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46241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46241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46241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46241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23496-2022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44721</v>
      </c>
      <c r="E46" s="1" t="n">
        <v>46241</v>
      </c>
      <c r="F46" t="inlineStr">
        <is>
          <t>VÄSTERBOTTENS LÄN</t>
        </is>
      </c>
      <c r="G46" t="inlineStr">
        <is>
          <t>NORDMALING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HYPERLINK("https://klasma.github.io/Logging_2401/artfynd/A 23496-2022 artfynd.xlsx", "A 23496-2022")</f>
        <v/>
      </c>
      <c r="X46">
        <f>HYPERLINK("https://klasma.github.io/Logging_2401/kartor/A 23496-2022 karta.png", "A 23496-2022")</f>
        <v/>
      </c>
      <c r="Y46">
        <f>HYPERLINK("https://klasma.github.io/Logging_2401/kartor_geotiff/A 23496-2022 georefererad karta.tif", "A 23496-2022")</f>
        <v/>
      </c>
      <c r="AA46">
        <f>HYPERLINK("https://klasma.github.io/Logging_2401/klagomål/A 23496-2022 FSC-klagomål.docx", "A 23496-2022")</f>
        <v/>
      </c>
      <c r="AB46">
        <f>HYPERLINK("https://klasma.github.io/Logging_2401/klagomålsmail/A 23496-2022 FSC-klagomål mail.docx", "A 23496-2022")</f>
        <v/>
      </c>
      <c r="AC46">
        <f>HYPERLINK("https://klasma.github.io/Logging_2401/tillsyn/A 23496-2022 tillsynsbegäran.docx", "A 23496-2022")</f>
        <v/>
      </c>
      <c r="AD46">
        <f>HYPERLINK("https://klasma.github.io/Logging_2401/tillsynsmail/A 23496-2022 tillsynsbegäran mail.docx", "A 23496-2022")</f>
        <v/>
      </c>
      <c r="AE46">
        <f>HYPERLINK("https://klasma.github.io/Logging_2401/fåglar/A 23496-2022 prioriterade fågelarter.docx", "A 23496-2022")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46241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48999-2025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45937</v>
      </c>
      <c r="E48" s="1" t="n">
        <v>46241</v>
      </c>
      <c r="F48" t="inlineStr">
        <is>
          <t>VÄSTERBOTTENS LÄN</t>
        </is>
      </c>
      <c r="G48" t="inlineStr">
        <is>
          <t>NORDMALING</t>
        </is>
      </c>
      <c r="I48" t="n">
        <v>5.1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HYPERLINK("https://klasma.github.io/Logging_2401/artfynd/A 48999-2025 artfynd.xlsx", "A 48999-2025")</f>
        <v/>
      </c>
      <c r="X48">
        <f>HYPERLINK("https://klasma.github.io/Logging_2401/kartor/A 48999-2025 karta.png", "A 48999-2025")</f>
        <v/>
      </c>
      <c r="Y48">
        <f>HYPERLINK("https://klasma.github.io/Logging_2401/kartor_geotiff/A 48999-2025 georefererad karta.tif", "A 48999-2025")</f>
        <v/>
      </c>
      <c r="AA48">
        <f>HYPERLINK("https://klasma.github.io/Logging_2401/klagomål/A 48999-2025 FSC-klagomål.docx", "A 48999-2025")</f>
        <v/>
      </c>
      <c r="AB48">
        <f>HYPERLINK("https://klasma.github.io/Logging_2401/klagomålsmail/A 48999-2025 FSC-klagomål mail.docx", "A 48999-2025")</f>
        <v/>
      </c>
      <c r="AC48">
        <f>HYPERLINK("https://klasma.github.io/Logging_2401/tillsyn/A 48999-2025 tillsynsbegäran.docx", "A 48999-2025")</f>
        <v/>
      </c>
      <c r="AD48">
        <f>HYPERLINK("https://klasma.github.io/Logging_2401/tillsynsmail/A 48999-2025 tillsynsbegäran mail.docx", "A 48999-2025")</f>
        <v/>
      </c>
    </row>
    <row r="49" ht="15" customHeight="1">
      <c r="A49" t="inlineStr">
        <is>
          <t>A 61867-2024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45651</v>
      </c>
      <c r="E49" s="1" t="n">
        <v>46241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HYPERLINK("https://klasma.github.io/Logging_2401/artfynd/A 61867-2024 artfynd.xlsx", "A 61867-2024")</f>
        <v/>
      </c>
      <c r="X49">
        <f>HYPERLINK("https://klasma.github.io/Logging_2401/kartor/A 61867-2024 karta.png", "A 61867-2024")</f>
        <v/>
      </c>
      <c r="Y49">
        <f>HYPERLINK("https://klasma.github.io/Logging_2401/kartor_geotiff/A 61867-2024 georefererad karta.tif", "A 61867-2024")</f>
        <v/>
      </c>
      <c r="AA49">
        <f>HYPERLINK("https://klasma.github.io/Logging_2401/klagomål/A 61867-2024 FSC-klagomål.docx", "A 61867-2024")</f>
        <v/>
      </c>
      <c r="AB49">
        <f>HYPERLINK("https://klasma.github.io/Logging_2401/klagomålsmail/A 61867-2024 FSC-klagomål mail.docx", "A 61867-2024")</f>
        <v/>
      </c>
      <c r="AC49">
        <f>HYPERLINK("https://klasma.github.io/Logging_2401/tillsyn/A 61867-2024 tillsynsbegäran.docx", "A 61867-2024")</f>
        <v/>
      </c>
      <c r="AD49">
        <f>HYPERLINK("https://klasma.github.io/Logging_2401/tillsynsmail/A 61867-2024 tillsynsbegäran mail.docx", "A 61867-2024")</f>
        <v/>
      </c>
    </row>
    <row r="50" ht="15" customHeight="1">
      <c r="A50" t="inlineStr">
        <is>
          <t>A 63779-2023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45275</v>
      </c>
      <c r="E50" s="1" t="n">
        <v>46241</v>
      </c>
      <c r="F50" t="inlineStr">
        <is>
          <t>VÄSTERBOTTENS LÄN</t>
        </is>
      </c>
      <c r="G50" t="inlineStr">
        <is>
          <t>NORDMALING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Pärluggla</t>
        </is>
      </c>
      <c r="W50">
        <f>HYPERLINK("https://klasma.github.io/Logging_2401/artfynd/A 63779-2023 artfynd.xlsx", "A 63779-2023")</f>
        <v/>
      </c>
      <c r="X50">
        <f>HYPERLINK("https://klasma.github.io/Logging_2401/kartor/A 63779-2023 karta.png", "A 63779-2023")</f>
        <v/>
      </c>
      <c r="Y50">
        <f>HYPERLINK("https://klasma.github.io/Logging_2401/kartor_geotiff/A 63779-2023 georefererad karta.tif", "A 63779-2023")</f>
        <v/>
      </c>
      <c r="AA50">
        <f>HYPERLINK("https://klasma.github.io/Logging_2401/klagomål/A 63779-2023 FSC-klagomål.docx", "A 63779-2023")</f>
        <v/>
      </c>
      <c r="AB50">
        <f>HYPERLINK("https://klasma.github.io/Logging_2401/klagomålsmail/A 63779-2023 FSC-klagomål mail.docx", "A 63779-2023")</f>
        <v/>
      </c>
      <c r="AC50">
        <f>HYPERLINK("https://klasma.github.io/Logging_2401/tillsyn/A 63779-2023 tillsynsbegäran.docx", "A 63779-2023")</f>
        <v/>
      </c>
      <c r="AD50">
        <f>HYPERLINK("https://klasma.github.io/Logging_2401/tillsynsmail/A 63779-2023 tillsynsbegäran mail.docx", "A 63779-2023")</f>
        <v/>
      </c>
      <c r="AE50">
        <f>HYPERLINK("https://klasma.github.io/Logging_2401/fåglar/A 63779-2023 prioriterade fågelarter.docx", "A 63779-2023")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46241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60773-2025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46241</v>
      </c>
      <c r="F52" t="inlineStr">
        <is>
          <t>VÄSTERBOTTENS LÄN</t>
        </is>
      </c>
      <c r="G52" t="inlineStr">
        <is>
          <t>NORDMALING</t>
        </is>
      </c>
      <c r="I52" t="n">
        <v>6.6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Gammelgransskål</t>
        </is>
      </c>
      <c r="W52">
        <f>HYPERLINK("https://klasma.github.io/Logging_2401/artfynd/A 60773-2025 artfynd.xlsx", "A 60773-2025")</f>
        <v/>
      </c>
      <c r="X52">
        <f>HYPERLINK("https://klasma.github.io/Logging_2401/kartor/A 60773-2025 karta.png", "A 60773-2025")</f>
        <v/>
      </c>
      <c r="Y52">
        <f>HYPERLINK("https://klasma.github.io/Logging_2401/kartor_geotiff/A 60773-2025 georefererad karta.tif", "A 60773-2025")</f>
        <v/>
      </c>
      <c r="AA52">
        <f>HYPERLINK("https://klasma.github.io/Logging_2401/klagomål/A 60773-2025 FSC-klagomål.docx", "A 60773-2025")</f>
        <v/>
      </c>
      <c r="AB52">
        <f>HYPERLINK("https://klasma.github.io/Logging_2401/klagomålsmail/A 60773-2025 FSC-klagomål mail.docx", "A 60773-2025")</f>
        <v/>
      </c>
      <c r="AC52">
        <f>HYPERLINK("https://klasma.github.io/Logging_2401/tillsyn/A 60773-2025 tillsynsbegäran.docx", "A 60773-2025")</f>
        <v/>
      </c>
      <c r="AD52">
        <f>HYPERLINK("https://klasma.github.io/Logging_2401/tillsynsmail/A 60773-2025 tillsynsbegäran mail.docx", "A 60773-2025")</f>
        <v/>
      </c>
    </row>
    <row r="53" ht="15" customHeight="1">
      <c r="A53" t="inlineStr">
        <is>
          <t>A 61644-2025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46241</v>
      </c>
      <c r="F53" t="inlineStr">
        <is>
          <t>VÄSTERBOTTENS LÄN</t>
        </is>
      </c>
      <c r="G53" t="inlineStr">
        <is>
          <t>NORDMALING</t>
        </is>
      </c>
      <c r="I53" t="n">
        <v>3.2</v>
      </c>
      <c r="J53" t="n">
        <v>1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Pärluggla</t>
        </is>
      </c>
      <c r="W53">
        <f>HYPERLINK("https://klasma.github.io/Logging_2401/artfynd/A 61644-2025 artfynd.xlsx", "A 61644-2025")</f>
        <v/>
      </c>
      <c r="X53">
        <f>HYPERLINK("https://klasma.github.io/Logging_2401/kartor/A 61644-2025 karta.png", "A 61644-2025")</f>
        <v/>
      </c>
      <c r="Y53">
        <f>HYPERLINK("https://klasma.github.io/Logging_2401/kartor_geotiff/A 61644-2025 georefererad karta.tif", "A 61644-2025")</f>
        <v/>
      </c>
      <c r="AA53">
        <f>HYPERLINK("https://klasma.github.io/Logging_2401/klagomål/A 61644-2025 FSC-klagomål.docx", "A 61644-2025")</f>
        <v/>
      </c>
      <c r="AB53">
        <f>HYPERLINK("https://klasma.github.io/Logging_2401/klagomålsmail/A 61644-2025 FSC-klagomål mail.docx", "A 61644-2025")</f>
        <v/>
      </c>
      <c r="AC53">
        <f>HYPERLINK("https://klasma.github.io/Logging_2401/tillsyn/A 61644-2025 tillsynsbegäran.docx", "A 61644-2025")</f>
        <v/>
      </c>
      <c r="AD53">
        <f>HYPERLINK("https://klasma.github.io/Logging_2401/tillsynsmail/A 61644-2025 tillsynsbegäran mail.docx", "A 61644-2025")</f>
        <v/>
      </c>
      <c r="AE53">
        <f>HYPERLINK("https://klasma.github.io/Logging_2401/fåglar/A 61644-2025 prioriterade fågelarter.docx", "A 61644-2025")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46241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46241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9717-2026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46072</v>
      </c>
      <c r="E56" s="1" t="n">
        <v>46241</v>
      </c>
      <c r="F56" t="inlineStr">
        <is>
          <t>VÄSTERBOTTENS LÄN</t>
        </is>
      </c>
      <c r="G56" t="inlineStr">
        <is>
          <t>NORDMALING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HYPERLINK("https://klasma.github.io/Logging_2401/artfynd/A 9717-2026 artfynd.xlsx", "A 9717-2026")</f>
        <v/>
      </c>
      <c r="X56">
        <f>HYPERLINK("https://klasma.github.io/Logging_2401/kartor/A 9717-2026 karta.png", "A 9717-2026")</f>
        <v/>
      </c>
      <c r="Y56">
        <f>HYPERLINK("https://klasma.github.io/Logging_2401/kartor_geotiff/A 9717-2026 georefererad karta.tif", "A 9717-2026")</f>
        <v/>
      </c>
      <c r="AA56">
        <f>HYPERLINK("https://klasma.github.io/Logging_2401/klagomål/A 9717-2026 FSC-klagomål.docx", "A 9717-2026")</f>
        <v/>
      </c>
      <c r="AB56">
        <f>HYPERLINK("https://klasma.github.io/Logging_2401/klagomålsmail/A 9717-2026 FSC-klagomål mail.docx", "A 9717-2026")</f>
        <v/>
      </c>
      <c r="AC56">
        <f>HYPERLINK("https://klasma.github.io/Logging_2401/tillsyn/A 9717-2026 tillsynsbegäran.docx", "A 9717-2026")</f>
        <v/>
      </c>
      <c r="AD56">
        <f>HYPERLINK("https://klasma.github.io/Logging_2401/tillsynsmail/A 9717-2026 tillsynsbegäran mail.docx", "A 9717-2026")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46241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46241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46241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46241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HYPERLINK("https://klasma.github.io/Logging_2401/artfynd/A 5595-2025 artfynd.xlsx", "A 5595-2025")</f>
        <v/>
      </c>
      <c r="X60">
        <f>HYPERLINK("https://klasma.github.io/Logging_2401/kartor/A 5595-2025 karta.png", "A 5595-2025")</f>
        <v/>
      </c>
      <c r="Y60">
        <f>HYPERLINK("https://klasma.github.io/Logging_2401/kartor_geotiff/A 5595-2025 georefererad karta.tif", "A 5595-2025")</f>
        <v/>
      </c>
      <c r="AA60">
        <f>HYPERLINK("https://klasma.github.io/Logging_2401/klagomål/A 5595-2025 FSC-klagomål.docx", "A 5595-2025")</f>
        <v/>
      </c>
      <c r="AB60">
        <f>HYPERLINK("https://klasma.github.io/Logging_2401/klagomålsmail/A 5595-2025 FSC-klagomål mail.docx", "A 5595-2025")</f>
        <v/>
      </c>
      <c r="AC60">
        <f>HYPERLINK("https://klasma.github.io/Logging_2401/tillsyn/A 5595-2025 tillsynsbegäran.docx", "A 5595-2025")</f>
        <v/>
      </c>
      <c r="AD60">
        <f>HYPERLINK("https://klasma.github.io/Logging_2401/tillsynsmail/A 5595-2025 tillsynsbegäran mail.docx", "A 5595-2025")</f>
        <v/>
      </c>
      <c r="AE60">
        <f>HYPERLINK("https://klasma.github.io/Logging_2401/fåglar/A 5595-2025 prioriterade fågelarter.docx", "A 5595-2025")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46241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Utter</t>
        </is>
      </c>
      <c r="W61">
        <f>HYPERLINK("https://klasma.github.io/Logging_2401/artfynd/A 6993-2024 artfynd.xlsx", "A 6993-2024")</f>
        <v/>
      </c>
      <c r="X61">
        <f>HYPERLINK("https://klasma.github.io/Logging_2401/kartor/A 6993-2024 karta.png", "A 6993-2024")</f>
        <v/>
      </c>
      <c r="Y61">
        <f>HYPERLINK("https://klasma.github.io/Logging_2401/kartor_geotiff/A 6993-2024 georefererad karta.tif", "A 6993-2024")</f>
        <v/>
      </c>
      <c r="AA61">
        <f>HYPERLINK("https://klasma.github.io/Logging_2401/klagomål/A 6993-2024 FSC-klagomål.docx", "A 6993-2024")</f>
        <v/>
      </c>
      <c r="AB61">
        <f>HYPERLINK("https://klasma.github.io/Logging_2401/klagomålsmail/A 6993-2024 FSC-klagomål mail.docx", "A 6993-2024")</f>
        <v/>
      </c>
      <c r="AC61">
        <f>HYPERLINK("https://klasma.github.io/Logging_2401/tillsyn/A 6993-2024 tillsynsbegäran.docx", "A 6993-2024")</f>
        <v/>
      </c>
      <c r="AD61">
        <f>HYPERLINK("https://klasma.github.io/Logging_2401/tillsynsmail/A 6993-2024 tillsynsbegäran mail.docx", "A 6993-2024")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46241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HYPERLINK("https://klasma.github.io/Logging_2401/artfynd/A 29323-2025 artfynd.xlsx", "A 29323-2025")</f>
        <v/>
      </c>
      <c r="X62">
        <f>HYPERLINK("https://klasma.github.io/Logging_2401/kartor/A 29323-2025 karta.png", "A 29323-2025")</f>
        <v/>
      </c>
      <c r="Y62">
        <f>HYPERLINK("https://klasma.github.io/Logging_2401/kartor_geotiff/A 29323-2025 georefererad karta.tif", "A 29323-2025")</f>
        <v/>
      </c>
      <c r="AA62">
        <f>HYPERLINK("https://klasma.github.io/Logging_2401/klagomål/A 29323-2025 FSC-klagomål.docx", "A 29323-2025")</f>
        <v/>
      </c>
      <c r="AB62">
        <f>HYPERLINK("https://klasma.github.io/Logging_2401/klagomålsmail/A 29323-2025 FSC-klagomål mail.docx", "A 29323-2025")</f>
        <v/>
      </c>
      <c r="AC62">
        <f>HYPERLINK("https://klasma.github.io/Logging_2401/tillsyn/A 29323-2025 tillsynsbegäran.docx", "A 29323-2025")</f>
        <v/>
      </c>
      <c r="AD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46241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46241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46241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46241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46241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46241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46241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46241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46241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46241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46241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46241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46241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46241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46241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46241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46241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46241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46241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46241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46241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46241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46241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46241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46241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46241</v>
      </c>
      <c r="F88" t="inlineStr">
        <is>
          <t>VÄSTERBOTTENS LÄN</t>
        </is>
      </c>
      <c r="G88" t="inlineStr">
        <is>
          <t>NORDMALING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46241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46241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46241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46241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46241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46241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46241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46241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46241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46241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46241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46241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46241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46241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46241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30715-2022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44763</v>
      </c>
      <c r="E104" s="1" t="n">
        <v>46241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46241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12374-2024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45378</v>
      </c>
      <c r="E106" s="1" t="n">
        <v>46241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46241</v>
      </c>
      <c r="F107" t="inlineStr">
        <is>
          <t>VÄSTERBOTTENS LÄN</t>
        </is>
      </c>
      <c r="G107" t="inlineStr">
        <is>
          <t>NORDMALING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46241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34176-2023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45126</v>
      </c>
      <c r="E109" s="1" t="n">
        <v>46241</v>
      </c>
      <c r="F109" t="inlineStr">
        <is>
          <t>VÄSTERBOTTENS LÄN</t>
        </is>
      </c>
      <c r="G109" t="inlineStr">
        <is>
          <t>NORDMALING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46241</v>
      </c>
      <c r="F110" t="inlineStr">
        <is>
          <t>VÄSTERBOTTENS LÄN</t>
        </is>
      </c>
      <c r="G110" t="inlineStr">
        <is>
          <t>NORDMALING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46241</v>
      </c>
      <c r="F111" t="inlineStr">
        <is>
          <t>VÄSTERBOTTENS LÄN</t>
        </is>
      </c>
      <c r="G111" t="inlineStr">
        <is>
          <t>NORDMALING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46241</v>
      </c>
      <c r="F112" t="inlineStr">
        <is>
          <t>VÄSTERBOTTENS LÄN</t>
        </is>
      </c>
      <c r="G112" t="inlineStr">
        <is>
          <t>NORDMALING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46241</v>
      </c>
      <c r="F113" t="inlineStr">
        <is>
          <t>VÄSTERBOTTENS LÄN</t>
        </is>
      </c>
      <c r="G113" t="inlineStr">
        <is>
          <t>NORDMALING</t>
        </is>
      </c>
      <c r="I113" t="n">
        <v>12.5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46241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61793-2023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45265</v>
      </c>
      <c r="E115" s="1" t="n">
        <v>46241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46241</v>
      </c>
      <c r="F116" t="inlineStr">
        <is>
          <t>VÄSTERBOTTENS LÄN</t>
        </is>
      </c>
      <c r="G116" t="inlineStr">
        <is>
          <t>NORDMALING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46241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46241</v>
      </c>
      <c r="F118" t="inlineStr">
        <is>
          <t>VÄSTERBOTTENS LÄN</t>
        </is>
      </c>
      <c r="G118" t="inlineStr">
        <is>
          <t>NORDMALING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45489</v>
      </c>
      <c r="E119" s="1" t="n">
        <v>46241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46241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46241</v>
      </c>
      <c r="F121" t="inlineStr">
        <is>
          <t>VÄSTERBOTTENS LÄN</t>
        </is>
      </c>
      <c r="G121" t="inlineStr">
        <is>
          <t>NORDMALING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45525</v>
      </c>
      <c r="E122" s="1" t="n">
        <v>46241</v>
      </c>
      <c r="F122" t="inlineStr">
        <is>
          <t>VÄSTERBOTTENS LÄN</t>
        </is>
      </c>
      <c r="G122" t="inlineStr">
        <is>
          <t>NORDMALING</t>
        </is>
      </c>
      <c r="I122" t="n">
        <v>12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46241</v>
      </c>
      <c r="F123" t="inlineStr">
        <is>
          <t>VÄSTERBOTTENS LÄN</t>
        </is>
      </c>
      <c r="G123" t="inlineStr">
        <is>
          <t>NORDMALING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65688-2021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46241</v>
      </c>
      <c r="F124" t="inlineStr">
        <is>
          <t>VÄSTERBOTTENS LÄN</t>
        </is>
      </c>
      <c r="G124" t="inlineStr">
        <is>
          <t>NORDMALING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46241</v>
      </c>
      <c r="F125" t="inlineStr">
        <is>
          <t>VÄSTERBOTTENS LÄN</t>
        </is>
      </c>
      <c r="G125" t="inlineStr">
        <is>
          <t>NORDMALING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44921</v>
      </c>
      <c r="E126" s="1" t="n">
        <v>46241</v>
      </c>
      <c r="F126" t="inlineStr">
        <is>
          <t>VÄSTERBOTTENS LÄN</t>
        </is>
      </c>
      <c r="G126" t="inlineStr">
        <is>
          <t>NORDMALING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44922</v>
      </c>
      <c r="E127" s="1" t="n">
        <v>46241</v>
      </c>
      <c r="F127" t="inlineStr">
        <is>
          <t>VÄSTERBOTTENS LÄN</t>
        </is>
      </c>
      <c r="G127" t="inlineStr">
        <is>
          <t>NORDMALING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46241</v>
      </c>
      <c r="F128" t="inlineStr">
        <is>
          <t>VÄSTERBOTTENS LÄN</t>
        </is>
      </c>
      <c r="G128" t="inlineStr">
        <is>
          <t>NORDMALING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26930-2024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45470</v>
      </c>
      <c r="E129" s="1" t="n">
        <v>46241</v>
      </c>
      <c r="F129" t="inlineStr">
        <is>
          <t>VÄSTERBOTTENS LÄN</t>
        </is>
      </c>
      <c r="G129" t="inlineStr">
        <is>
          <t>NORDMALING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46241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46241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34184-2023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45126</v>
      </c>
      <c r="E132" s="1" t="n">
        <v>46241</v>
      </c>
      <c r="F132" t="inlineStr">
        <is>
          <t>VÄSTERBOTTENS LÄN</t>
        </is>
      </c>
      <c r="G132" t="inlineStr">
        <is>
          <t>NORDMALING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36814-2024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45538</v>
      </c>
      <c r="E133" s="1" t="n">
        <v>46241</v>
      </c>
      <c r="F133" t="inlineStr">
        <is>
          <t>VÄSTERBOTTENS LÄN</t>
        </is>
      </c>
      <c r="G133" t="inlineStr">
        <is>
          <t>NORDMALING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46241</v>
      </c>
      <c r="F134" t="inlineStr">
        <is>
          <t>VÄSTERBOTTENS LÄN</t>
        </is>
      </c>
      <c r="G134" t="inlineStr">
        <is>
          <t>NORDMALING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46241</v>
      </c>
      <c r="F135" t="inlineStr">
        <is>
          <t>VÄSTERBOTTENS LÄN</t>
        </is>
      </c>
      <c r="G135" t="inlineStr">
        <is>
          <t>NORDMALING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46241</v>
      </c>
      <c r="F136" t="inlineStr">
        <is>
          <t>VÄSTERBOTTENS LÄN</t>
        </is>
      </c>
      <c r="G136" t="inlineStr">
        <is>
          <t>NORDMALING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46241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Kommuner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45349</v>
      </c>
      <c r="E138" s="1" t="n">
        <v>46241</v>
      </c>
      <c r="F138" t="inlineStr">
        <is>
          <t>VÄSTERBOTTENS LÄN</t>
        </is>
      </c>
      <c r="G138" t="inlineStr">
        <is>
          <t>NORDMALING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45327</v>
      </c>
      <c r="E139" s="1" t="n">
        <v>46241</v>
      </c>
      <c r="F139" t="inlineStr">
        <is>
          <t>VÄSTERBOTTENS LÄN</t>
        </is>
      </c>
      <c r="G139" t="inlineStr">
        <is>
          <t>NORDMALING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46241</v>
      </c>
      <c r="F140" t="inlineStr">
        <is>
          <t>VÄSTERBOTTENS LÄN</t>
        </is>
      </c>
      <c r="G140" t="inlineStr">
        <is>
          <t>NORDMALING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44908</v>
      </c>
      <c r="E141" s="1" t="n">
        <v>46241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45232</v>
      </c>
      <c r="E142" s="1" t="n">
        <v>46241</v>
      </c>
      <c r="F142" t="inlineStr">
        <is>
          <t>VÄSTERBOTTENS LÄN</t>
        </is>
      </c>
      <c r="G142" t="inlineStr">
        <is>
          <t>NORDMALING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54784-2021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44473</v>
      </c>
      <c r="E143" s="1" t="n">
        <v>46241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45586</v>
      </c>
      <c r="E144" s="1" t="n">
        <v>46241</v>
      </c>
      <c r="F144" t="inlineStr">
        <is>
          <t>VÄSTERBOTTENS LÄN</t>
        </is>
      </c>
      <c r="G144" t="inlineStr">
        <is>
          <t>NORDMALING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59389-2022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44905</v>
      </c>
      <c r="E145" s="1" t="n">
        <v>46241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46241</v>
      </c>
      <c r="F146" t="inlineStr">
        <is>
          <t>VÄSTERBOTTENS LÄN</t>
        </is>
      </c>
      <c r="G146" t="inlineStr">
        <is>
          <t>NORDMALING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46241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46241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46241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45866</v>
      </c>
      <c r="E150" s="1" t="n">
        <v>46241</v>
      </c>
      <c r="F150" t="inlineStr">
        <is>
          <t>VÄSTERBOTTENS LÄN</t>
        </is>
      </c>
      <c r="G150" t="inlineStr">
        <is>
          <t>NORDMALING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34894-2023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45141</v>
      </c>
      <c r="E151" s="1" t="n">
        <v>46241</v>
      </c>
      <c r="F151" t="inlineStr">
        <is>
          <t>VÄSTERBOTTENS LÄN</t>
        </is>
      </c>
      <c r="G151" t="inlineStr">
        <is>
          <t>NORDMALING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45867</v>
      </c>
      <c r="E152" s="1" t="n">
        <v>46241</v>
      </c>
      <c r="F152" t="inlineStr">
        <is>
          <t>VÄSTERBOTTENS LÄN</t>
        </is>
      </c>
      <c r="G152" t="inlineStr">
        <is>
          <t>NORDMALING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46241</v>
      </c>
      <c r="F153" t="inlineStr">
        <is>
          <t>VÄSTERBOTTENS LÄN</t>
        </is>
      </c>
      <c r="G153" t="inlineStr">
        <is>
          <t>NORDMALING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46241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19300-2023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45049</v>
      </c>
      <c r="E155" s="1" t="n">
        <v>46241</v>
      </c>
      <c r="F155" t="inlineStr">
        <is>
          <t>VÄSTERBOTTENS LÄN</t>
        </is>
      </c>
      <c r="G155" t="inlineStr">
        <is>
          <t>NORDMALING</t>
        </is>
      </c>
      <c r="H155" t="inlineStr">
        <is>
          <t>Kyrkan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43602-2024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45569</v>
      </c>
      <c r="E156" s="1" t="n">
        <v>46241</v>
      </c>
      <c r="F156" t="inlineStr">
        <is>
          <t>VÄSTERBOTTENS LÄN</t>
        </is>
      </c>
      <c r="G156" t="inlineStr">
        <is>
          <t>NORDMALING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46241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16713-2026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46241</v>
      </c>
      <c r="F158" t="inlineStr">
        <is>
          <t>VÄSTERBOTTENS LÄN</t>
        </is>
      </c>
      <c r="G158" t="inlineStr">
        <is>
          <t>NORDMALING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38260-2025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46241</v>
      </c>
      <c r="F159" t="inlineStr">
        <is>
          <t>VÄSTERBOTTENS LÄN</t>
        </is>
      </c>
      <c r="G159" t="inlineStr">
        <is>
          <t>NORDMALING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45775</v>
      </c>
      <c r="E160" s="1" t="n">
        <v>46241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46241</v>
      </c>
      <c r="F161" t="inlineStr">
        <is>
          <t>VÄSTERBOTTENS LÄN</t>
        </is>
      </c>
      <c r="G161" t="inlineStr">
        <is>
          <t>NORDMALING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46241</v>
      </c>
      <c r="F162" t="inlineStr">
        <is>
          <t>VÄSTERBOTTENS LÄN</t>
        </is>
      </c>
      <c r="G162" t="inlineStr">
        <is>
          <t>NORDMALING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17451-2026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46116</v>
      </c>
      <c r="E163" s="1" t="n">
        <v>46241</v>
      </c>
      <c r="F163" t="inlineStr">
        <is>
          <t>VÄSTERBOTTENS LÄN</t>
        </is>
      </c>
      <c r="G163" t="inlineStr">
        <is>
          <t>NORDMALING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46241</v>
      </c>
      <c r="F164" t="inlineStr">
        <is>
          <t>VÄSTERBOTTENS LÄN</t>
        </is>
      </c>
      <c r="G164" t="inlineStr">
        <is>
          <t>NORDMALING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45796</v>
      </c>
      <c r="E165" s="1" t="n">
        <v>46241</v>
      </c>
      <c r="F165" t="inlineStr">
        <is>
          <t>VÄSTERBOTTENS LÄN</t>
        </is>
      </c>
      <c r="G165" t="inlineStr">
        <is>
          <t>NORDMALING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46241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46241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46241</v>
      </c>
      <c r="F168" t="inlineStr">
        <is>
          <t>VÄSTERBOTTENS LÄN</t>
        </is>
      </c>
      <c r="G168" t="inlineStr">
        <is>
          <t>NORDMALING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46241</v>
      </c>
      <c r="F169" t="inlineStr">
        <is>
          <t>VÄSTERBOTTENS LÄN</t>
        </is>
      </c>
      <c r="G169" t="inlineStr">
        <is>
          <t>NORDMALING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46241</v>
      </c>
      <c r="F170" t="inlineStr">
        <is>
          <t>VÄSTERBOTTENS LÄN</t>
        </is>
      </c>
      <c r="G170" t="inlineStr">
        <is>
          <t>NORDMALING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46241</v>
      </c>
      <c r="F171" t="inlineStr">
        <is>
          <t>VÄSTERBOTTENS LÄN</t>
        </is>
      </c>
      <c r="G171" t="inlineStr">
        <is>
          <t>NORDMALING</t>
        </is>
      </c>
      <c r="I171" t="n">
        <v>12.5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51746-2021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46241</v>
      </c>
      <c r="F172" t="inlineStr">
        <is>
          <t>VÄSTERBOTTENS LÄN</t>
        </is>
      </c>
      <c r="G172" t="inlineStr">
        <is>
          <t>NORDMALING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46241</v>
      </c>
      <c r="F173" t="inlineStr">
        <is>
          <t>VÄSTERBOTTENS LÄN</t>
        </is>
      </c>
      <c r="G173" t="inlineStr">
        <is>
          <t>NORDMALING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46241</v>
      </c>
      <c r="F174" t="inlineStr">
        <is>
          <t>VÄSTERBOTTENS LÄN</t>
        </is>
      </c>
      <c r="G174" t="inlineStr">
        <is>
          <t>NORDMALING</t>
        </is>
      </c>
      <c r="I174" t="n">
        <v>13.1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45900</v>
      </c>
      <c r="E175" s="1" t="n">
        <v>46241</v>
      </c>
      <c r="F175" t="inlineStr">
        <is>
          <t>VÄSTERBOTTENS LÄN</t>
        </is>
      </c>
      <c r="G175" t="inlineStr">
        <is>
          <t>NORDMALING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46241</v>
      </c>
      <c r="F176" t="inlineStr">
        <is>
          <t>VÄSTERBOTTENS LÄN</t>
        </is>
      </c>
      <c r="G176" t="inlineStr">
        <is>
          <t>NORDMALING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45835</v>
      </c>
      <c r="E177" s="1" t="n">
        <v>46241</v>
      </c>
      <c r="F177" t="inlineStr">
        <is>
          <t>VÄSTERBOTTENS LÄN</t>
        </is>
      </c>
      <c r="G177" t="inlineStr">
        <is>
          <t>NORDMALING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45900</v>
      </c>
      <c r="E178" s="1" t="n">
        <v>46241</v>
      </c>
      <c r="F178" t="inlineStr">
        <is>
          <t>VÄSTERBOTTENS LÄN</t>
        </is>
      </c>
      <c r="G178" t="inlineStr">
        <is>
          <t>NORDMALING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45525</v>
      </c>
      <c r="E179" s="1" t="n">
        <v>46241</v>
      </c>
      <c r="F179" t="inlineStr">
        <is>
          <t>VÄSTERBOTTENS LÄN</t>
        </is>
      </c>
      <c r="G179" t="inlineStr">
        <is>
          <t>NORDMALING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46241</v>
      </c>
      <c r="F180" t="inlineStr">
        <is>
          <t>VÄSTERBOTTENS LÄN</t>
        </is>
      </c>
      <c r="G180" t="inlineStr">
        <is>
          <t>NORDMALING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46241</v>
      </c>
      <c r="F181" t="inlineStr">
        <is>
          <t>VÄSTERBOTTENS LÄN</t>
        </is>
      </c>
      <c r="G181" t="inlineStr">
        <is>
          <t>NORDMALING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24712-2023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45075</v>
      </c>
      <c r="E182" s="1" t="n">
        <v>46241</v>
      </c>
      <c r="F182" t="inlineStr">
        <is>
          <t>VÄSTERBOTTENS LÄN</t>
        </is>
      </c>
      <c r="G182" t="inlineStr">
        <is>
          <t>NORDMALING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44977</v>
      </c>
      <c r="E183" s="1" t="n">
        <v>46241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Holmen skog AB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46241</v>
      </c>
      <c r="F184" t="inlineStr">
        <is>
          <t>VÄSTERBOTTENS LÄN</t>
        </is>
      </c>
      <c r="G184" t="inlineStr">
        <is>
          <t>NORDMALING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46132</v>
      </c>
      <c r="E185" s="1" t="n">
        <v>46241</v>
      </c>
      <c r="F185" t="inlineStr">
        <is>
          <t>VÄSTERBOTTENS LÄN</t>
        </is>
      </c>
      <c r="G185" t="inlineStr">
        <is>
          <t>NORDMALING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18839-2026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46129</v>
      </c>
      <c r="E186" s="1" t="n">
        <v>46241</v>
      </c>
      <c r="F186" t="inlineStr">
        <is>
          <t>VÄSTERBOTTENS LÄN</t>
        </is>
      </c>
      <c r="G186" t="inlineStr">
        <is>
          <t>NORDMALING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32183-2023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45119</v>
      </c>
      <c r="E187" s="1" t="n">
        <v>46241</v>
      </c>
      <c r="F187" t="inlineStr">
        <is>
          <t>VÄSTERBOTTENS LÄN</t>
        </is>
      </c>
      <c r="G187" t="inlineStr">
        <is>
          <t>NORDMALING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26627-2024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45469</v>
      </c>
      <c r="E188" s="1" t="n">
        <v>46241</v>
      </c>
      <c r="F188" t="inlineStr">
        <is>
          <t>VÄSTERBOTTENS LÄN</t>
        </is>
      </c>
      <c r="G188" t="inlineStr">
        <is>
          <t>NORDMALING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46241</v>
      </c>
      <c r="F189" t="inlineStr">
        <is>
          <t>VÄSTERBOTTENS LÄN</t>
        </is>
      </c>
      <c r="G189" t="inlineStr">
        <is>
          <t>NORDMALING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45912</v>
      </c>
      <c r="E190" s="1" t="n">
        <v>46241</v>
      </c>
      <c r="F190" t="inlineStr">
        <is>
          <t>VÄSTERBOTTENS LÄN</t>
        </is>
      </c>
      <c r="G190" t="inlineStr">
        <is>
          <t>NORDMALING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46132</v>
      </c>
      <c r="E191" s="1" t="n">
        <v>46241</v>
      </c>
      <c r="F191" t="inlineStr">
        <is>
          <t>VÄSTERBOTTENS LÄN</t>
        </is>
      </c>
      <c r="G191" t="inlineStr">
        <is>
          <t>NORDMALING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46132</v>
      </c>
      <c r="E192" s="1" t="n">
        <v>46241</v>
      </c>
      <c r="F192" t="inlineStr">
        <is>
          <t>VÄSTERBOTTENS LÄN</t>
        </is>
      </c>
      <c r="G192" t="inlineStr">
        <is>
          <t>NORDMALING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18881-2026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46129</v>
      </c>
      <c r="E193" s="1" t="n">
        <v>46241</v>
      </c>
      <c r="F193" t="inlineStr">
        <is>
          <t>VÄSTERBOTTENS LÄN</t>
        </is>
      </c>
      <c r="G193" t="inlineStr">
        <is>
          <t>NORDMALING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46241</v>
      </c>
      <c r="F194" t="inlineStr">
        <is>
          <t>VÄSTERBOTTENS LÄN</t>
        </is>
      </c>
      <c r="G194" t="inlineStr">
        <is>
          <t>NORDMALING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46241</v>
      </c>
      <c r="F195" t="inlineStr">
        <is>
          <t>VÄSTERBOTTENS LÄN</t>
        </is>
      </c>
      <c r="G195" t="inlineStr">
        <is>
          <t>NORDMALING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9853-2026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46072</v>
      </c>
      <c r="E196" s="1" t="n">
        <v>46241</v>
      </c>
      <c r="F196" t="inlineStr">
        <is>
          <t>VÄSTERBOTTENS LÄN</t>
        </is>
      </c>
      <c r="G196" t="inlineStr">
        <is>
          <t>NORDMALING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46241</v>
      </c>
      <c r="F197" t="inlineStr">
        <is>
          <t>VÄSTERBOTTENS LÄN</t>
        </is>
      </c>
      <c r="G197" t="inlineStr">
        <is>
          <t>NORDMALING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46241</v>
      </c>
      <c r="F198" t="inlineStr">
        <is>
          <t>VÄSTERBOTTENS LÄN</t>
        </is>
      </c>
      <c r="G198" t="inlineStr">
        <is>
          <t>NORDMALING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46132</v>
      </c>
      <c r="E199" s="1" t="n">
        <v>46241</v>
      </c>
      <c r="F199" t="inlineStr">
        <is>
          <t>VÄSTERBOTTENS LÄN</t>
        </is>
      </c>
      <c r="G199" t="inlineStr">
        <is>
          <t>NORDMALING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46241</v>
      </c>
      <c r="F200" t="inlineStr">
        <is>
          <t>VÄSTERBOTTENS LÄN</t>
        </is>
      </c>
      <c r="G200" t="inlineStr">
        <is>
          <t>NORDMALING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46129</v>
      </c>
      <c r="E201" s="1" t="n">
        <v>46241</v>
      </c>
      <c r="F201" t="inlineStr">
        <is>
          <t>VÄSTERBOTTENS LÄN</t>
        </is>
      </c>
      <c r="G201" t="inlineStr">
        <is>
          <t>NORDMALING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35650-2023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46241</v>
      </c>
      <c r="F202" t="inlineStr">
        <is>
          <t>VÄSTERBOTTENS LÄN</t>
        </is>
      </c>
      <c r="G202" t="inlineStr">
        <is>
          <t>NORDMALING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45147</v>
      </c>
      <c r="E203" s="1" t="n">
        <v>46241</v>
      </c>
      <c r="F203" t="inlineStr">
        <is>
          <t>VÄSTERBOTTENS LÄN</t>
        </is>
      </c>
      <c r="G203" t="inlineStr">
        <is>
          <t>NORDMALING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46241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46241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44742</v>
      </c>
      <c r="E206" s="1" t="n">
        <v>46241</v>
      </c>
      <c r="F206" t="inlineStr">
        <is>
          <t>VÄSTERBOTTENS LÄN</t>
        </is>
      </c>
      <c r="G206" t="inlineStr">
        <is>
          <t>NORDMALING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19565-2026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46134</v>
      </c>
      <c r="E207" s="1" t="n">
        <v>46241</v>
      </c>
      <c r="F207" t="inlineStr">
        <is>
          <t>VÄSTERBOTTENS LÄN</t>
        </is>
      </c>
      <c r="G207" t="inlineStr">
        <is>
          <t>NORDMALING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46241</v>
      </c>
      <c r="F208" t="inlineStr">
        <is>
          <t>VÄSTERBOTTENS LÄN</t>
        </is>
      </c>
      <c r="G208" t="inlineStr">
        <is>
          <t>NORDMALING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46241</v>
      </c>
      <c r="F209" t="inlineStr">
        <is>
          <t>VÄSTERBOTTENS LÄN</t>
        </is>
      </c>
      <c r="G209" t="inlineStr">
        <is>
          <t>NORDMALING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46241</v>
      </c>
      <c r="F210" t="inlineStr">
        <is>
          <t>VÄSTERBOTTENS LÄN</t>
        </is>
      </c>
      <c r="G210" t="inlineStr">
        <is>
          <t>NORDMALING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46241</v>
      </c>
      <c r="F211" t="inlineStr">
        <is>
          <t>VÄSTERBOTTENS LÄN</t>
        </is>
      </c>
      <c r="G211" t="inlineStr">
        <is>
          <t>NORDMALING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46135</v>
      </c>
      <c r="E212" s="1" t="n">
        <v>46241</v>
      </c>
      <c r="F212" t="inlineStr">
        <is>
          <t>VÄSTERBOTTENS LÄN</t>
        </is>
      </c>
      <c r="G212" t="inlineStr">
        <is>
          <t>NORDMALING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46241</v>
      </c>
      <c r="F213" t="inlineStr">
        <is>
          <t>VÄSTERBOTTENS LÄN</t>
        </is>
      </c>
      <c r="G213" t="inlineStr">
        <is>
          <t>NORDMALING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44942-2023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46241</v>
      </c>
      <c r="F214" t="inlineStr">
        <is>
          <t>VÄSTERBOTTENS LÄN</t>
        </is>
      </c>
      <c r="G214" t="inlineStr">
        <is>
          <t>NORDMALING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46241</v>
      </c>
      <c r="F215" t="inlineStr">
        <is>
          <t>VÄSTERBOTTENS LÄN</t>
        </is>
      </c>
      <c r="G215" t="inlineStr">
        <is>
          <t>NORDMALING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15756-2023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45021</v>
      </c>
      <c r="E216" s="1" t="n">
        <v>46241</v>
      </c>
      <c r="F216" t="inlineStr">
        <is>
          <t>VÄSTERBOTTENS LÄN</t>
        </is>
      </c>
      <c r="G216" t="inlineStr">
        <is>
          <t>NORDMALING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46135</v>
      </c>
      <c r="E217" s="1" t="n">
        <v>46241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46241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45866</v>
      </c>
      <c r="E219" s="1" t="n">
        <v>46241</v>
      </c>
      <c r="F219" t="inlineStr">
        <is>
          <t>VÄSTERBOTTENS LÄN</t>
        </is>
      </c>
      <c r="G219" t="inlineStr">
        <is>
          <t>NORDMALING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47834-2025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46241</v>
      </c>
      <c r="F220" t="inlineStr">
        <is>
          <t>VÄSTERBOTTENS LÄN</t>
        </is>
      </c>
      <c r="G220" t="inlineStr">
        <is>
          <t>NORDMALING</t>
        </is>
      </c>
      <c r="H220" t="inlineStr">
        <is>
          <t>SCA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46241</v>
      </c>
      <c r="F221" t="inlineStr">
        <is>
          <t>VÄSTERBOTTENS LÄN</t>
        </is>
      </c>
      <c r="G221" t="inlineStr">
        <is>
          <t>NORDMALING</t>
        </is>
      </c>
      <c r="I221" t="n">
        <v>16.1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45877</v>
      </c>
      <c r="E222" s="1" t="n">
        <v>46241</v>
      </c>
      <c r="F222" t="inlineStr">
        <is>
          <t>VÄSTERBOTTENS LÄN</t>
        </is>
      </c>
      <c r="G222" t="inlineStr">
        <is>
          <t>NORDMALING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20133-2023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45051</v>
      </c>
      <c r="E223" s="1" t="n">
        <v>46241</v>
      </c>
      <c r="F223" t="inlineStr">
        <is>
          <t>VÄSTERBOTTENS LÄN</t>
        </is>
      </c>
      <c r="G223" t="inlineStr">
        <is>
          <t>NORDMALING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48744-2025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46241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48632-2025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46241</v>
      </c>
      <c r="F225" t="inlineStr">
        <is>
          <t>VÄSTERBOTTENS LÄN</t>
        </is>
      </c>
      <c r="G225" t="inlineStr">
        <is>
          <t>NORDMALING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45938</v>
      </c>
      <c r="E226" s="1" t="n">
        <v>46241</v>
      </c>
      <c r="F226" t="inlineStr">
        <is>
          <t>VÄSTERBOTTENS LÄN</t>
        </is>
      </c>
      <c r="G226" t="inlineStr">
        <is>
          <t>NORDMALING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45799</v>
      </c>
      <c r="E227" s="1" t="n">
        <v>46241</v>
      </c>
      <c r="F227" t="inlineStr">
        <is>
          <t>VÄSTERBOTTENS LÄN</t>
        </is>
      </c>
      <c r="G227" t="inlineStr">
        <is>
          <t>NORDMALING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46241</v>
      </c>
      <c r="F228" t="inlineStr">
        <is>
          <t>VÄSTERBOTTENS LÄN</t>
        </is>
      </c>
      <c r="G228" t="inlineStr">
        <is>
          <t>NORDMALING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46241</v>
      </c>
      <c r="F229" t="inlineStr">
        <is>
          <t>VÄSTERBOTTENS LÄN</t>
        </is>
      </c>
      <c r="G229" t="inlineStr">
        <is>
          <t>NORDMALING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46241</v>
      </c>
      <c r="F230" t="inlineStr">
        <is>
          <t>VÄSTERBOTTENS LÄN</t>
        </is>
      </c>
      <c r="G230" t="inlineStr">
        <is>
          <t>NORDMALING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45940</v>
      </c>
      <c r="E231" s="1" t="n">
        <v>46241</v>
      </c>
      <c r="F231" t="inlineStr">
        <is>
          <t>VÄSTERBOTTENS LÄN</t>
        </is>
      </c>
      <c r="G231" t="inlineStr">
        <is>
          <t>NORDMALING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16212-2023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46241</v>
      </c>
      <c r="F232" t="inlineStr">
        <is>
          <t>VÄSTERBOTTENS LÄN</t>
        </is>
      </c>
      <c r="G232" t="inlineStr">
        <is>
          <t>NORDMALING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46241</v>
      </c>
      <c r="F233" t="inlineStr">
        <is>
          <t>VÄSTERBOTTENS LÄN</t>
        </is>
      </c>
      <c r="G233" t="inlineStr">
        <is>
          <t>NORDMALING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45586</v>
      </c>
      <c r="E234" s="1" t="n">
        <v>46241</v>
      </c>
      <c r="F234" t="inlineStr">
        <is>
          <t>VÄSTERBOTTENS LÄN</t>
        </is>
      </c>
      <c r="G234" t="inlineStr">
        <is>
          <t>NORDMALING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70028-2021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44533</v>
      </c>
      <c r="E235" s="1" t="n">
        <v>46241</v>
      </c>
      <c r="F235" t="inlineStr">
        <is>
          <t>VÄSTERBOTTENS LÄN</t>
        </is>
      </c>
      <c r="G235" t="inlineStr">
        <is>
          <t>NORDMALING</t>
        </is>
      </c>
      <c r="I235" t="n">
        <v>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45944</v>
      </c>
      <c r="E236" s="1" t="n">
        <v>46241</v>
      </c>
      <c r="F236" t="inlineStr">
        <is>
          <t>VÄSTERBOTTENS LÄN</t>
        </is>
      </c>
      <c r="G236" t="inlineStr">
        <is>
          <t>NORDMALING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46241</v>
      </c>
      <c r="F237" t="inlineStr">
        <is>
          <t>VÄSTERBOTTENS LÄN</t>
        </is>
      </c>
      <c r="G237" t="inlineStr">
        <is>
          <t>NORDMALING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41025-2023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45173</v>
      </c>
      <c r="E238" s="1" t="n">
        <v>46241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46241</v>
      </c>
      <c r="F239" t="inlineStr">
        <is>
          <t>VÄSTERBOTTENS LÄN</t>
        </is>
      </c>
      <c r="G239" t="inlineStr">
        <is>
          <t>NORDMALING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45503</v>
      </c>
      <c r="E240" s="1" t="n">
        <v>46241</v>
      </c>
      <c r="F240" t="inlineStr">
        <is>
          <t>VÄSTERBOTTENS LÄN</t>
        </is>
      </c>
      <c r="G240" t="inlineStr">
        <is>
          <t>NORDMALING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45929</v>
      </c>
      <c r="E241" s="1" t="n">
        <v>46241</v>
      </c>
      <c r="F241" t="inlineStr">
        <is>
          <t>VÄSTERBOTTENS LÄN</t>
        </is>
      </c>
      <c r="G241" t="inlineStr">
        <is>
          <t>NORDMALING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45946</v>
      </c>
      <c r="E242" s="1" t="n">
        <v>46241</v>
      </c>
      <c r="F242" t="inlineStr">
        <is>
          <t>VÄSTERBOTTENS LÄN</t>
        </is>
      </c>
      <c r="G242" t="inlineStr">
        <is>
          <t>NORDMALING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50734-2025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46241</v>
      </c>
      <c r="F243" t="inlineStr">
        <is>
          <t>VÄSTERBOTTENS LÄN</t>
        </is>
      </c>
      <c r="G243" t="inlineStr">
        <is>
          <t>NORDMALING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51511-2025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46241</v>
      </c>
      <c r="F244" t="inlineStr">
        <is>
          <t>VÄSTERBOTTENS LÄN</t>
        </is>
      </c>
      <c r="G244" t="inlineStr">
        <is>
          <t>NORDMALING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51542-2025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45950</v>
      </c>
      <c r="E245" s="1" t="n">
        <v>46241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51762-2025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45951</v>
      </c>
      <c r="E246" s="1" t="n">
        <v>46241</v>
      </c>
      <c r="F246" t="inlineStr">
        <is>
          <t>VÄSTERBOTTENS LÄN</t>
        </is>
      </c>
      <c r="G246" t="inlineStr">
        <is>
          <t>NORDMALING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46241</v>
      </c>
      <c r="F247" t="inlineStr">
        <is>
          <t>VÄSTERBOTTENS LÄN</t>
        </is>
      </c>
      <c r="G247" t="inlineStr">
        <is>
          <t>NORDMALING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51736-2025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46241</v>
      </c>
      <c r="F248" t="inlineStr">
        <is>
          <t>VÄSTERBOTTENS LÄN</t>
        </is>
      </c>
      <c r="G248" t="inlineStr">
        <is>
          <t>NORDMALING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46241</v>
      </c>
      <c r="F249" t="inlineStr">
        <is>
          <t>VÄSTERBOTTENS LÄN</t>
        </is>
      </c>
      <c r="G249" t="inlineStr">
        <is>
          <t>NORDMALING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46241</v>
      </c>
      <c r="F250" t="inlineStr">
        <is>
          <t>VÄSTERBOTTENS LÄN</t>
        </is>
      </c>
      <c r="G250" t="inlineStr">
        <is>
          <t>NORDMALING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52201-2025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45953</v>
      </c>
      <c r="E251" s="1" t="n">
        <v>46241</v>
      </c>
      <c r="F251" t="inlineStr">
        <is>
          <t>VÄSTERBOTTENS LÄN</t>
        </is>
      </c>
      <c r="G251" t="inlineStr">
        <is>
          <t>NORDMALING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64498-2023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45280</v>
      </c>
      <c r="E252" s="1" t="n">
        <v>46241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SCA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44943</v>
      </c>
      <c r="E253" s="1" t="n">
        <v>46241</v>
      </c>
      <c r="F253" t="inlineStr">
        <is>
          <t>VÄSTERBOTTENS LÄN</t>
        </is>
      </c>
      <c r="G253" t="inlineStr">
        <is>
          <t>NORDMALING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45618</v>
      </c>
      <c r="E254" s="1" t="n">
        <v>46241</v>
      </c>
      <c r="F254" t="inlineStr">
        <is>
          <t>VÄSTERBOTTENS LÄN</t>
        </is>
      </c>
      <c r="G254" t="inlineStr">
        <is>
          <t>NORDMALING</t>
        </is>
      </c>
      <c r="I254" t="n">
        <v>10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69516-2021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44531</v>
      </c>
      <c r="E255" s="1" t="n">
        <v>46241</v>
      </c>
      <c r="F255" t="inlineStr">
        <is>
          <t>VÄSTERBOTTENS LÄN</t>
        </is>
      </c>
      <c r="G255" t="inlineStr">
        <is>
          <t>NORDMALING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44834</v>
      </c>
      <c r="E256" s="1" t="n">
        <v>46241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Holmen skog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46241</v>
      </c>
      <c r="F257" t="inlineStr">
        <is>
          <t>VÄSTERBOTTENS LÄN</t>
        </is>
      </c>
      <c r="G257" t="inlineStr">
        <is>
          <t>NORDMALING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45102</v>
      </c>
      <c r="E258" s="1" t="n">
        <v>46241</v>
      </c>
      <c r="F258" t="inlineStr">
        <is>
          <t>VÄSTERBOTTENS LÄN</t>
        </is>
      </c>
      <c r="G258" t="inlineStr">
        <is>
          <t>NORDMALING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39776-2024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45552</v>
      </c>
      <c r="E259" s="1" t="n">
        <v>46241</v>
      </c>
      <c r="F259" t="inlineStr">
        <is>
          <t>VÄSTERBOTTENS LÄN</t>
        </is>
      </c>
      <c r="G259" t="inlineStr">
        <is>
          <t>NORDMALING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46241</v>
      </c>
      <c r="F260" t="inlineStr">
        <is>
          <t>VÄSTERBOTTENS LÄN</t>
        </is>
      </c>
      <c r="G260" t="inlineStr">
        <is>
          <t>NORDMALING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46241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46241</v>
      </c>
      <c r="F262" t="inlineStr">
        <is>
          <t>VÄSTERBOTTENS LÄN</t>
        </is>
      </c>
      <c r="G262" t="inlineStr">
        <is>
          <t>NORDMALING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46241</v>
      </c>
      <c r="F263" t="inlineStr">
        <is>
          <t>VÄSTERBOTTENS LÄN</t>
        </is>
      </c>
      <c r="G263" t="inlineStr">
        <is>
          <t>NORDMALING</t>
        </is>
      </c>
      <c r="I263" t="n">
        <v>14.8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45962</v>
      </c>
      <c r="E264" s="1" t="n">
        <v>46241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46241</v>
      </c>
      <c r="F265" t="inlineStr">
        <is>
          <t>VÄSTERBOTTENS LÄN</t>
        </is>
      </c>
      <c r="G265" t="inlineStr">
        <is>
          <t>NORDMALING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35291-2023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45145</v>
      </c>
      <c r="E266" s="1" t="n">
        <v>46241</v>
      </c>
      <c r="F266" t="inlineStr">
        <is>
          <t>VÄSTERBOTTENS LÄN</t>
        </is>
      </c>
      <c r="G266" t="inlineStr">
        <is>
          <t>NORDMALING</t>
        </is>
      </c>
      <c r="H266" t="inlineStr">
        <is>
          <t>SCA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54105-2025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46241</v>
      </c>
      <c r="F267" t="inlineStr">
        <is>
          <t>VÄSTERBOTTENS LÄN</t>
        </is>
      </c>
      <c r="G267" t="inlineStr">
        <is>
          <t>NORDMALING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45961</v>
      </c>
      <c r="E268" s="1" t="n">
        <v>46241</v>
      </c>
      <c r="F268" t="inlineStr">
        <is>
          <t>VÄSTERBOTTENS LÄN</t>
        </is>
      </c>
      <c r="G268" t="inlineStr">
        <is>
          <t>NORDMALING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54473-2025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46241</v>
      </c>
      <c r="F269" t="inlineStr">
        <is>
          <t>VÄSTERBOTTENS LÄN</t>
        </is>
      </c>
      <c r="G269" t="inlineStr">
        <is>
          <t>NORDMALING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46241</v>
      </c>
      <c r="F270" t="inlineStr">
        <is>
          <t>VÄSTERBOTTENS LÄN</t>
        </is>
      </c>
      <c r="G270" t="inlineStr">
        <is>
          <t>NORDMALING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46241</v>
      </c>
      <c r="F271" t="inlineStr">
        <is>
          <t>VÄSTERBOTTENS LÄN</t>
        </is>
      </c>
      <c r="G271" t="inlineStr">
        <is>
          <t>NORDMALING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53976-2025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45961</v>
      </c>
      <c r="E272" s="1" t="n">
        <v>46241</v>
      </c>
      <c r="F272" t="inlineStr">
        <is>
          <t>VÄSTERBOTTENS LÄN</t>
        </is>
      </c>
      <c r="G272" t="inlineStr">
        <is>
          <t>NORDMALING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45343</v>
      </c>
      <c r="E273" s="1" t="n">
        <v>46241</v>
      </c>
      <c r="F273" t="inlineStr">
        <is>
          <t>VÄSTERBOTTENS LÄN</t>
        </is>
      </c>
      <c r="G273" t="inlineStr">
        <is>
          <t>NORDMALING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46241</v>
      </c>
      <c r="F274" t="inlineStr">
        <is>
          <t>VÄSTERBOTTENS LÄN</t>
        </is>
      </c>
      <c r="G274" t="inlineStr">
        <is>
          <t>NORDMALING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46241</v>
      </c>
      <c r="F275" t="inlineStr">
        <is>
          <t>VÄSTERBOTTENS LÄN</t>
        </is>
      </c>
      <c r="G275" t="inlineStr">
        <is>
          <t>NORDMALING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46241</v>
      </c>
      <c r="F276" t="inlineStr">
        <is>
          <t>VÄSTERBOTTENS LÄN</t>
        </is>
      </c>
      <c r="G276" t="inlineStr">
        <is>
          <t>NORDMALING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38274-2022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44812</v>
      </c>
      <c r="E277" s="1" t="n">
        <v>46241</v>
      </c>
      <c r="F277" t="inlineStr">
        <is>
          <t>VÄSTERBOTTENS LÄN</t>
        </is>
      </c>
      <c r="G277" t="inlineStr">
        <is>
          <t>NORDMALING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12375-2024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45378</v>
      </c>
      <c r="E278" s="1" t="n">
        <v>46241</v>
      </c>
      <c r="F278" t="inlineStr">
        <is>
          <t>VÄSTERBOTTENS LÄN</t>
        </is>
      </c>
      <c r="G278" t="inlineStr">
        <is>
          <t>NORDMALING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45419</v>
      </c>
      <c r="E279" s="1" t="n">
        <v>46241</v>
      </c>
      <c r="F279" t="inlineStr">
        <is>
          <t>VÄSTERBOTTENS LÄN</t>
        </is>
      </c>
      <c r="G279" t="inlineStr">
        <is>
          <t>NORDMALING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27372-2023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45096</v>
      </c>
      <c r="E280" s="1" t="n">
        <v>46241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48945-2022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44859</v>
      </c>
      <c r="E281" s="1" t="n">
        <v>46241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46241</v>
      </c>
      <c r="F282" t="inlineStr">
        <is>
          <t>VÄSTERBOTTENS LÄN</t>
        </is>
      </c>
      <c r="G282" t="inlineStr">
        <is>
          <t>NORDMALING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46241</v>
      </c>
      <c r="F283" t="inlineStr">
        <is>
          <t>VÄSTERBOTTENS LÄN</t>
        </is>
      </c>
      <c r="G283" t="inlineStr">
        <is>
          <t>NORDMALING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56247-2025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46241</v>
      </c>
      <c r="F284" t="inlineStr">
        <is>
          <t>VÄSTERBOTTENS LÄN</t>
        </is>
      </c>
      <c r="G284" t="inlineStr">
        <is>
          <t>NORDMALING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45105</v>
      </c>
      <c r="E285" s="1" t="n">
        <v>46241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45491</v>
      </c>
      <c r="E286" s="1" t="n">
        <v>46241</v>
      </c>
      <c r="F286" t="inlineStr">
        <is>
          <t>VÄSTERBOTTENS LÄN</t>
        </is>
      </c>
      <c r="G286" t="inlineStr">
        <is>
          <t>NORDMALING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46241</v>
      </c>
      <c r="F287" t="inlineStr">
        <is>
          <t>VÄSTERBOTTENS LÄN</t>
        </is>
      </c>
      <c r="G287" t="inlineStr">
        <is>
          <t>NORDMALING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45996</v>
      </c>
      <c r="E288" s="1" t="n">
        <v>46241</v>
      </c>
      <c r="F288" t="inlineStr">
        <is>
          <t>VÄSTERBOTTENS LÄN</t>
        </is>
      </c>
      <c r="G288" t="inlineStr">
        <is>
          <t>NORDMALING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44893</v>
      </c>
      <c r="E289" s="1" t="n">
        <v>46241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46241</v>
      </c>
      <c r="F290" t="inlineStr">
        <is>
          <t>VÄSTERBOTTENS LÄN</t>
        </is>
      </c>
      <c r="G290" t="inlineStr">
        <is>
          <t>NORDMALING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46241</v>
      </c>
      <c r="F291" t="inlineStr">
        <is>
          <t>VÄSTERBOTTENS LÄN</t>
        </is>
      </c>
      <c r="G291" t="inlineStr">
        <is>
          <t>NORDMALING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44949</v>
      </c>
      <c r="E292" s="1" t="n">
        <v>46241</v>
      </c>
      <c r="F292" t="inlineStr">
        <is>
          <t>VÄSTERBOTTENS LÄN</t>
        </is>
      </c>
      <c r="G292" t="inlineStr">
        <is>
          <t>NORDMALING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46241</v>
      </c>
      <c r="F293" t="inlineStr">
        <is>
          <t>VÄSTERBOTTENS LÄN</t>
        </is>
      </c>
      <c r="G293" t="inlineStr">
        <is>
          <t>NORDMALING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46241</v>
      </c>
      <c r="F294" t="inlineStr">
        <is>
          <t>VÄSTERBOTTENS LÄN</t>
        </is>
      </c>
      <c r="G294" t="inlineStr">
        <is>
          <t>NORDMALING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46241</v>
      </c>
      <c r="F295" t="inlineStr">
        <is>
          <t>VÄSTERBOTTENS LÄN</t>
        </is>
      </c>
      <c r="G295" t="inlineStr">
        <is>
          <t>NORDMALING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57548-2025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46241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46241</v>
      </c>
      <c r="F297" t="inlineStr">
        <is>
          <t>VÄSTERBOTTENS LÄN</t>
        </is>
      </c>
      <c r="G297" t="inlineStr">
        <is>
          <t>NORDMALING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45139</v>
      </c>
      <c r="E298" s="1" t="n">
        <v>46241</v>
      </c>
      <c r="F298" t="inlineStr">
        <is>
          <t>VÄSTERBOTTENS LÄN</t>
        </is>
      </c>
      <c r="G298" t="inlineStr">
        <is>
          <t>NORDMALING</t>
        </is>
      </c>
      <c r="H298" t="inlineStr">
        <is>
          <t>SCA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57898-2025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46241</v>
      </c>
      <c r="F299" t="inlineStr">
        <is>
          <t>VÄSTERBOTTENS LÄN</t>
        </is>
      </c>
      <c r="G299" t="inlineStr">
        <is>
          <t>NORDMALING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46241</v>
      </c>
      <c r="F300" t="inlineStr">
        <is>
          <t>VÄSTERBOTTENS LÄN</t>
        </is>
      </c>
      <c r="G300" t="inlineStr">
        <is>
          <t>NORDMALING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46241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46241</v>
      </c>
      <c r="F302" t="inlineStr">
        <is>
          <t>VÄSTERBOTTENS LÄN</t>
        </is>
      </c>
      <c r="G302" t="inlineStr">
        <is>
          <t>NORDMALING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44952-2023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45187</v>
      </c>
      <c r="E303" s="1" t="n">
        <v>46241</v>
      </c>
      <c r="F303" t="inlineStr">
        <is>
          <t>VÄSTERBOTTENS LÄN</t>
        </is>
      </c>
      <c r="G303" t="inlineStr">
        <is>
          <t>NORDMALING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46241</v>
      </c>
      <c r="F304" t="inlineStr">
        <is>
          <t>VÄSTERBOTTENS LÄN</t>
        </is>
      </c>
      <c r="G304" t="inlineStr">
        <is>
          <t>NORDMALING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46241</v>
      </c>
      <c r="F305" t="inlineStr">
        <is>
          <t>VÄSTERBOTTENS LÄN</t>
        </is>
      </c>
      <c r="G305" t="inlineStr">
        <is>
          <t>NORDMALING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46241</v>
      </c>
      <c r="F306" t="inlineStr">
        <is>
          <t>VÄSTERBOTTENS LÄN</t>
        </is>
      </c>
      <c r="G306" t="inlineStr">
        <is>
          <t>NORDMALING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46241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46241</v>
      </c>
      <c r="F308" t="inlineStr">
        <is>
          <t>VÄSTERBOTTENS LÄN</t>
        </is>
      </c>
      <c r="G308" t="inlineStr">
        <is>
          <t>NORDMALING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55701-2024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46241</v>
      </c>
      <c r="F309" t="inlineStr">
        <is>
          <t>VÄSTERBOTTENS LÄN</t>
        </is>
      </c>
      <c r="G309" t="inlineStr">
        <is>
          <t>NORDMALING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46241</v>
      </c>
      <c r="F310" t="inlineStr">
        <is>
          <t>VÄSTERBOTTENS LÄN</t>
        </is>
      </c>
      <c r="G310" t="inlineStr">
        <is>
          <t>NORDMALING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58620-2025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46241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58579-2025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46241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46241</v>
      </c>
      <c r="F313" t="inlineStr">
        <is>
          <t>VÄSTERBOTTENS LÄN</t>
        </is>
      </c>
      <c r="G313" t="inlineStr">
        <is>
          <t>NORDMALING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46241</v>
      </c>
      <c r="F314" t="inlineStr">
        <is>
          <t>VÄSTERBOTTENS LÄN</t>
        </is>
      </c>
      <c r="G314" t="inlineStr">
        <is>
          <t>NORDMALING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46241</v>
      </c>
      <c r="F315" t="inlineStr">
        <is>
          <t>VÄSTERBOTTENS LÄN</t>
        </is>
      </c>
      <c r="G315" t="inlineStr">
        <is>
          <t>NORDMALING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45061-2024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45575</v>
      </c>
      <c r="E316" s="1" t="n">
        <v>46241</v>
      </c>
      <c r="F316" t="inlineStr">
        <is>
          <t>VÄSTERBOTTENS LÄN</t>
        </is>
      </c>
      <c r="G316" t="inlineStr">
        <is>
          <t>NORDMALING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45344</v>
      </c>
      <c r="E317" s="1" t="n">
        <v>46241</v>
      </c>
      <c r="F317" t="inlineStr">
        <is>
          <t>VÄSTERBOTTENS LÄN</t>
        </is>
      </c>
      <c r="G317" t="inlineStr">
        <is>
          <t>NORDMALING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46241</v>
      </c>
      <c r="F318" t="inlineStr">
        <is>
          <t>VÄSTERBOTTENS LÄN</t>
        </is>
      </c>
      <c r="G318" t="inlineStr">
        <is>
          <t>NORDMALING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59157-2025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45988</v>
      </c>
      <c r="E319" s="1" t="n">
        <v>46241</v>
      </c>
      <c r="F319" t="inlineStr">
        <is>
          <t>VÄSTERBOTTENS LÄN</t>
        </is>
      </c>
      <c r="G319" t="inlineStr">
        <is>
          <t>NORDMALING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46241</v>
      </c>
      <c r="F320" t="inlineStr">
        <is>
          <t>VÄSTERBOTTENS LÄN</t>
        </is>
      </c>
      <c r="G320" t="inlineStr">
        <is>
          <t>NORDMALING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45993</v>
      </c>
      <c r="E321" s="1" t="n">
        <v>46241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46241</v>
      </c>
      <c r="F322" t="inlineStr">
        <is>
          <t>VÄSTERBOTTENS LÄN</t>
        </is>
      </c>
      <c r="G322" t="inlineStr">
        <is>
          <t>NORDMALING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46241</v>
      </c>
      <c r="F323" t="inlineStr">
        <is>
          <t>VÄSTERBOTTENS LÄN</t>
        </is>
      </c>
      <c r="G323" t="inlineStr">
        <is>
          <t>NORDMALING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60113-2025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45994</v>
      </c>
      <c r="E324" s="1" t="n">
        <v>46241</v>
      </c>
      <c r="F324" t="inlineStr">
        <is>
          <t>VÄSTERBOTTENS LÄN</t>
        </is>
      </c>
      <c r="G324" t="inlineStr">
        <is>
          <t>NORDMALING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46241</v>
      </c>
      <c r="F325" t="inlineStr">
        <is>
          <t>VÄSTERBOTTENS LÄN</t>
        </is>
      </c>
      <c r="G325" t="inlineStr">
        <is>
          <t>NORDMALING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45764</v>
      </c>
      <c r="E326" s="1" t="n">
        <v>46241</v>
      </c>
      <c r="F326" t="inlineStr">
        <is>
          <t>VÄSTERBOTTENS LÄN</t>
        </is>
      </c>
      <c r="G326" t="inlineStr">
        <is>
          <t>NORDMALING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46151</v>
      </c>
      <c r="E327" s="1" t="n">
        <v>46241</v>
      </c>
      <c r="F327" t="inlineStr">
        <is>
          <t>VÄSTERBOTTENS LÄN</t>
        </is>
      </c>
      <c r="G327" t="inlineStr">
        <is>
          <t>NORDMALING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46241</v>
      </c>
      <c r="F328" t="inlineStr">
        <is>
          <t>VÄSTERBOTTENS LÄN</t>
        </is>
      </c>
      <c r="G328" t="inlineStr">
        <is>
          <t>NORDMALING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21863-2024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45443</v>
      </c>
      <c r="E329" s="1" t="n">
        <v>46241</v>
      </c>
      <c r="F329" t="inlineStr">
        <is>
          <t>VÄSTERBOTTENS LÄN</t>
        </is>
      </c>
      <c r="G329" t="inlineStr">
        <is>
          <t>NORDMALING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46151</v>
      </c>
      <c r="E330" s="1" t="n">
        <v>46241</v>
      </c>
      <c r="F330" t="inlineStr">
        <is>
          <t>VÄSTERBOTTENS LÄN</t>
        </is>
      </c>
      <c r="G330" t="inlineStr">
        <is>
          <t>NORDMALING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22618-2024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45447</v>
      </c>
      <c r="E331" s="1" t="n">
        <v>46241</v>
      </c>
      <c r="F331" t="inlineStr">
        <is>
          <t>VÄSTERBOTTENS LÄN</t>
        </is>
      </c>
      <c r="G331" t="inlineStr">
        <is>
          <t>NORDMALING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69519-2021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44531</v>
      </c>
      <c r="E332" s="1" t="n">
        <v>46241</v>
      </c>
      <c r="F332" t="inlineStr">
        <is>
          <t>VÄSTERBOTTENS LÄN</t>
        </is>
      </c>
      <c r="G332" t="inlineStr">
        <is>
          <t>NORDMALING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46155</v>
      </c>
      <c r="E333" s="1" t="n">
        <v>46241</v>
      </c>
      <c r="F333" t="inlineStr">
        <is>
          <t>VÄSTERBOTTENS LÄN</t>
        </is>
      </c>
      <c r="G333" t="inlineStr">
        <is>
          <t>NORDMALING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34901-2023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45141</v>
      </c>
      <c r="E334" s="1" t="n">
        <v>46241</v>
      </c>
      <c r="F334" t="inlineStr">
        <is>
          <t>VÄSTERBOTTENS LÄN</t>
        </is>
      </c>
      <c r="G334" t="inlineStr">
        <is>
          <t>NORDMALING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72018-2021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44540</v>
      </c>
      <c r="E335" s="1" t="n">
        <v>46241</v>
      </c>
      <c r="F335" t="inlineStr">
        <is>
          <t>VÄSTERBOTTENS LÄN</t>
        </is>
      </c>
      <c r="G335" t="inlineStr">
        <is>
          <t>NORDMALING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24415-2024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45457</v>
      </c>
      <c r="E336" s="1" t="n">
        <v>46241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46241</v>
      </c>
      <c r="F337" t="inlineStr">
        <is>
          <t>VÄSTERBOTTENS LÄN</t>
        </is>
      </c>
      <c r="G337" t="inlineStr">
        <is>
          <t>NORDMALING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46241</v>
      </c>
      <c r="F338" t="inlineStr">
        <is>
          <t>VÄSTERBOTTENS LÄN</t>
        </is>
      </c>
      <c r="G338" t="inlineStr">
        <is>
          <t>NORDMALING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46000</v>
      </c>
      <c r="E339" s="1" t="n">
        <v>46241</v>
      </c>
      <c r="F339" t="inlineStr">
        <is>
          <t>VÄSTERBOTTENS LÄN</t>
        </is>
      </c>
      <c r="G339" t="inlineStr">
        <is>
          <t>NORDMALING</t>
        </is>
      </c>
      <c r="H339" t="inlineStr">
        <is>
          <t>SCA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42501-2023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46241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46241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46241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46241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46241</v>
      </c>
      <c r="F344" t="inlineStr">
        <is>
          <t>VÄSTERBOTTENS LÄN</t>
        </is>
      </c>
      <c r="G344" t="inlineStr">
        <is>
          <t>NORDMALING</t>
        </is>
      </c>
      <c r="H344" t="inlineStr">
        <is>
          <t>Holmen skog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46241</v>
      </c>
      <c r="F345" t="inlineStr">
        <is>
          <t>VÄSTERBOTTENS LÄN</t>
        </is>
      </c>
      <c r="G345" t="inlineStr">
        <is>
          <t>NORDMALING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46006</v>
      </c>
      <c r="E346" s="1" t="n">
        <v>46241</v>
      </c>
      <c r="F346" t="inlineStr">
        <is>
          <t>VÄSTERBOTTENS LÄN</t>
        </is>
      </c>
      <c r="G346" t="inlineStr">
        <is>
          <t>NORDMALING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46006</v>
      </c>
      <c r="E347" s="1" t="n">
        <v>46241</v>
      </c>
      <c r="F347" t="inlineStr">
        <is>
          <t>VÄSTERBOTTENS LÄN</t>
        </is>
      </c>
      <c r="G347" t="inlineStr">
        <is>
          <t>NORDMALING</t>
        </is>
      </c>
      <c r="I347" t="n">
        <v>11.3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46241</v>
      </c>
      <c r="F348" t="inlineStr">
        <is>
          <t>VÄSTERBOTTENS LÄN</t>
        </is>
      </c>
      <c r="G348" t="inlineStr">
        <is>
          <t>NORDMALING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46241</v>
      </c>
      <c r="F349" t="inlineStr">
        <is>
          <t>VÄSTERBOTTENS LÄN</t>
        </is>
      </c>
      <c r="G349" t="inlineStr">
        <is>
          <t>NORDMALING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46241</v>
      </c>
      <c r="F350" t="inlineStr">
        <is>
          <t>VÄSTERBOTTENS LÄN</t>
        </is>
      </c>
      <c r="G350" t="inlineStr">
        <is>
          <t>NORDMALING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23005-2026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46160</v>
      </c>
      <c r="E351" s="1" t="n">
        <v>46241</v>
      </c>
      <c r="F351" t="inlineStr">
        <is>
          <t>VÄSTERBOTTENS LÄN</t>
        </is>
      </c>
      <c r="G351" t="inlineStr">
        <is>
          <t>NORDMALING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46241</v>
      </c>
      <c r="F352" t="inlineStr">
        <is>
          <t>VÄSTERBOTTENS LÄN</t>
        </is>
      </c>
      <c r="G352" t="inlineStr">
        <is>
          <t>NORDMALING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46006</v>
      </c>
      <c r="E353" s="1" t="n">
        <v>46241</v>
      </c>
      <c r="F353" t="inlineStr">
        <is>
          <t>VÄSTERBOTTENS LÄN</t>
        </is>
      </c>
      <c r="G353" t="inlineStr">
        <is>
          <t>NORDMALING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45022</v>
      </c>
      <c r="E354" s="1" t="n">
        <v>46241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45593</v>
      </c>
      <c r="E355" s="1" t="n">
        <v>46241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46241</v>
      </c>
      <c r="F356" t="inlineStr">
        <is>
          <t>VÄSTERBOTTENS LÄN</t>
        </is>
      </c>
      <c r="G356" t="inlineStr">
        <is>
          <t>NORDMALING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53889-2024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45615</v>
      </c>
      <c r="E357" s="1" t="n">
        <v>46241</v>
      </c>
      <c r="F357" t="inlineStr">
        <is>
          <t>VÄSTERBOTTENS LÄN</t>
        </is>
      </c>
      <c r="G357" t="inlineStr">
        <is>
          <t>NORDMALING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46241</v>
      </c>
      <c r="F358" t="inlineStr">
        <is>
          <t>VÄSTERBOTTENS LÄN</t>
        </is>
      </c>
      <c r="G358" t="inlineStr">
        <is>
          <t>NORDMALING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46241</v>
      </c>
      <c r="F359" t="inlineStr">
        <is>
          <t>VÄSTERBOTTENS LÄN</t>
        </is>
      </c>
      <c r="G359" t="inlineStr">
        <is>
          <t>NORDMALING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47516-2024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45587</v>
      </c>
      <c r="E360" s="1" t="n">
        <v>46241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35803-2023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45147</v>
      </c>
      <c r="E361" s="1" t="n">
        <v>46241</v>
      </c>
      <c r="F361" t="inlineStr">
        <is>
          <t>VÄSTERBOTTENS LÄN</t>
        </is>
      </c>
      <c r="G361" t="inlineStr">
        <is>
          <t>NORDMALING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37549-2023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45158</v>
      </c>
      <c r="E362" s="1" t="n">
        <v>46241</v>
      </c>
      <c r="F362" t="inlineStr">
        <is>
          <t>VÄSTERBOTTENS LÄN</t>
        </is>
      </c>
      <c r="G362" t="inlineStr">
        <is>
          <t>NORDMALING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46009</v>
      </c>
      <c r="E363" s="1" t="n">
        <v>46241</v>
      </c>
      <c r="F363" t="inlineStr">
        <is>
          <t>VÄSTERBOTTENS LÄN</t>
        </is>
      </c>
      <c r="G363" t="inlineStr">
        <is>
          <t>NORDMALING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46010</v>
      </c>
      <c r="E364" s="1" t="n">
        <v>46241</v>
      </c>
      <c r="F364" t="inlineStr">
        <is>
          <t>VÄSTERBOTTENS LÄN</t>
        </is>
      </c>
      <c r="G364" t="inlineStr">
        <is>
          <t>NORDMALING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46241</v>
      </c>
      <c r="F365" t="inlineStr">
        <is>
          <t>VÄSTERBOTTENS LÄN</t>
        </is>
      </c>
      <c r="G365" t="inlineStr">
        <is>
          <t>NORDMALING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46010</v>
      </c>
      <c r="E366" s="1" t="n">
        <v>46241</v>
      </c>
      <c r="F366" t="inlineStr">
        <is>
          <t>VÄSTERBOTTENS LÄN</t>
        </is>
      </c>
      <c r="G366" t="inlineStr">
        <is>
          <t>NORDMALING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46241</v>
      </c>
      <c r="F367" t="inlineStr">
        <is>
          <t>VÄSTERBOTTENS LÄN</t>
        </is>
      </c>
      <c r="G367" t="inlineStr">
        <is>
          <t>NORDMALING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46241</v>
      </c>
      <c r="F368" t="inlineStr">
        <is>
          <t>VÄSTERBOTTENS LÄN</t>
        </is>
      </c>
      <c r="G368" t="inlineStr">
        <is>
          <t>NORDMALING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46241</v>
      </c>
      <c r="F369" t="inlineStr">
        <is>
          <t>VÄSTERBOTTENS LÄN</t>
        </is>
      </c>
      <c r="G369" t="inlineStr">
        <is>
          <t>NORDMALING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45147</v>
      </c>
      <c r="E370" s="1" t="n">
        <v>46241</v>
      </c>
      <c r="F370" t="inlineStr">
        <is>
          <t>VÄSTERBOTTENS LÄN</t>
        </is>
      </c>
      <c r="G370" t="inlineStr">
        <is>
          <t>NORDMALING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46241</v>
      </c>
      <c r="F371" t="inlineStr">
        <is>
          <t>VÄSTERBOTTENS LÄN</t>
        </is>
      </c>
      <c r="G371" t="inlineStr">
        <is>
          <t>NORDMALING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63007-2025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46009</v>
      </c>
      <c r="E372" s="1" t="n">
        <v>46241</v>
      </c>
      <c r="F372" t="inlineStr">
        <is>
          <t>VÄSTERBOTTENS LÄN</t>
        </is>
      </c>
      <c r="G372" t="inlineStr">
        <is>
          <t>NORDMALING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46009</v>
      </c>
      <c r="E373" s="1" t="n">
        <v>46241</v>
      </c>
      <c r="F373" t="inlineStr">
        <is>
          <t>VÄSTERBOTTENS LÄN</t>
        </is>
      </c>
      <c r="G373" t="inlineStr">
        <is>
          <t>NORDMALING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28957-2026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46199</v>
      </c>
      <c r="E374" s="1" t="n">
        <v>46241</v>
      </c>
      <c r="F374" t="inlineStr">
        <is>
          <t>VÄSTERBOTTENS LÄN</t>
        </is>
      </c>
      <c r="G374" t="inlineStr">
        <is>
          <t>NORDMALING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46018</v>
      </c>
      <c r="E375" s="1" t="n">
        <v>46241</v>
      </c>
      <c r="F375" t="inlineStr">
        <is>
          <t>VÄSTERBOTTENS LÄN</t>
        </is>
      </c>
      <c r="G375" t="inlineStr">
        <is>
          <t>NORDMALING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63755-2025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46018</v>
      </c>
      <c r="E376" s="1" t="n">
        <v>46241</v>
      </c>
      <c r="F376" t="inlineStr">
        <is>
          <t>VÄSTERBOTTENS LÄN</t>
        </is>
      </c>
      <c r="G376" t="inlineStr">
        <is>
          <t>NORDMALING</t>
        </is>
      </c>
      <c r="I376" t="n">
        <v>16.2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46018</v>
      </c>
      <c r="E377" s="1" t="n">
        <v>46241</v>
      </c>
      <c r="F377" t="inlineStr">
        <is>
          <t>VÄSTERBOTTENS LÄN</t>
        </is>
      </c>
      <c r="G377" t="inlineStr">
        <is>
          <t>NORDMALING</t>
        </is>
      </c>
      <c r="I377" t="n">
        <v>12.8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46020</v>
      </c>
      <c r="E378" s="1" t="n">
        <v>46241</v>
      </c>
      <c r="F378" t="inlineStr">
        <is>
          <t>VÄSTERBOTTENS LÄN</t>
        </is>
      </c>
      <c r="G378" t="inlineStr">
        <is>
          <t>NORDMALING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63922-2025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46020</v>
      </c>
      <c r="E379" s="1" t="n">
        <v>46241</v>
      </c>
      <c r="F379" t="inlineStr">
        <is>
          <t>VÄSTERBOTTENS LÄN</t>
        </is>
      </c>
      <c r="G379" t="inlineStr">
        <is>
          <t>NORDMALING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64158-2025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46022</v>
      </c>
      <c r="E380" s="1" t="n">
        <v>46241</v>
      </c>
      <c r="F380" t="inlineStr">
        <is>
          <t>VÄSTERBOTTENS LÄN</t>
        </is>
      </c>
      <c r="G380" t="inlineStr">
        <is>
          <t>NORDMALING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46028</v>
      </c>
      <c r="E381" s="1" t="n">
        <v>46241</v>
      </c>
      <c r="F381" t="inlineStr">
        <is>
          <t>VÄSTERBOTTENS LÄN</t>
        </is>
      </c>
      <c r="G381" t="inlineStr">
        <is>
          <t>NORDMALING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46241</v>
      </c>
      <c r="F382" t="inlineStr">
        <is>
          <t>VÄSTERBOTTENS LÄN</t>
        </is>
      </c>
      <c r="G382" t="inlineStr">
        <is>
          <t>NORDMALING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34252-2024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45524</v>
      </c>
      <c r="E383" s="1" t="n">
        <v>46241</v>
      </c>
      <c r="F383" t="inlineStr">
        <is>
          <t>VÄSTERBOTTENS LÄN</t>
        </is>
      </c>
      <c r="G383" t="inlineStr">
        <is>
          <t>NORDMALING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46241</v>
      </c>
      <c r="F384" t="inlineStr">
        <is>
          <t>VÄSTERBOTTENS LÄN</t>
        </is>
      </c>
      <c r="G384" t="inlineStr">
        <is>
          <t>NORDMALING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46241</v>
      </c>
      <c r="F385" t="inlineStr">
        <is>
          <t>VÄSTERBOTTENS LÄN</t>
        </is>
      </c>
      <c r="G385" t="inlineStr">
        <is>
          <t>NORDMALING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46241</v>
      </c>
      <c r="F386" t="inlineStr">
        <is>
          <t>VÄSTERBOTTENS LÄN</t>
        </is>
      </c>
      <c r="G386" t="inlineStr">
        <is>
          <t>NORDMALING</t>
        </is>
      </c>
      <c r="I386" t="n">
        <v>8.9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5258-2024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45330</v>
      </c>
      <c r="E387" s="1" t="n">
        <v>46241</v>
      </c>
      <c r="F387" t="inlineStr">
        <is>
          <t>VÄSTERBOTTENS LÄN</t>
        </is>
      </c>
      <c r="G387" t="inlineStr">
        <is>
          <t>NORDMALING</t>
        </is>
      </c>
      <c r="H387" t="inlineStr">
        <is>
          <t>SCA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34489-2024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45525</v>
      </c>
      <c r="E388" s="1" t="n">
        <v>46241</v>
      </c>
      <c r="F388" t="inlineStr">
        <is>
          <t>VÄSTERBOTTENS LÄN</t>
        </is>
      </c>
      <c r="G388" t="inlineStr">
        <is>
          <t>NORDMALING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46241</v>
      </c>
      <c r="F389" t="inlineStr">
        <is>
          <t>VÄSTERBOTTENS LÄN</t>
        </is>
      </c>
      <c r="G389" t="inlineStr">
        <is>
          <t>NORDMALING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46241</v>
      </c>
      <c r="F390" t="inlineStr">
        <is>
          <t>VÄSTERBOTTENS LÄN</t>
        </is>
      </c>
      <c r="G390" t="inlineStr">
        <is>
          <t>NORDMALING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46032</v>
      </c>
      <c r="E391" s="1" t="n">
        <v>46241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44012-2023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46241</v>
      </c>
      <c r="F392" t="inlineStr">
        <is>
          <t>VÄSTERBOTTENS LÄN</t>
        </is>
      </c>
      <c r="G392" t="inlineStr">
        <is>
          <t>NORDMALING</t>
        </is>
      </c>
      <c r="I392" t="n">
        <v>20.1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46241</v>
      </c>
      <c r="F393" t="inlineStr">
        <is>
          <t>VÄSTERBOTTENS LÄN</t>
        </is>
      </c>
      <c r="G393" t="inlineStr">
        <is>
          <t>NORDMALING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44924-2023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46241</v>
      </c>
      <c r="F394" t="inlineStr">
        <is>
          <t>VÄSTERBOTTENS LÄN</t>
        </is>
      </c>
      <c r="G394" t="inlineStr">
        <is>
          <t>NORDMALING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46241</v>
      </c>
      <c r="F395" t="inlineStr">
        <is>
          <t>VÄSTERBOTTENS LÄN</t>
        </is>
      </c>
      <c r="G395" t="inlineStr">
        <is>
          <t>NORDMALING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23006-2026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46241</v>
      </c>
      <c r="F396" t="inlineStr">
        <is>
          <t>VÄSTERBOTTENS LÄN</t>
        </is>
      </c>
      <c r="G396" t="inlineStr">
        <is>
          <t>NORDMALING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25344-2024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45462</v>
      </c>
      <c r="E397" s="1" t="n">
        <v>46241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45462</v>
      </c>
      <c r="E398" s="1" t="n">
        <v>46241</v>
      </c>
      <c r="F398" t="inlineStr">
        <is>
          <t>VÄSTERBOTTENS LÄN</t>
        </is>
      </c>
      <c r="G398" t="inlineStr">
        <is>
          <t>NORDMALING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46161</v>
      </c>
      <c r="E399" s="1" t="n">
        <v>46241</v>
      </c>
      <c r="F399" t="inlineStr">
        <is>
          <t>VÄSTERBOTTENS LÄN</t>
        </is>
      </c>
      <c r="G399" t="inlineStr">
        <is>
          <t>NORDMALING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23049-2026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46161</v>
      </c>
      <c r="E400" s="1" t="n">
        <v>46241</v>
      </c>
      <c r="F400" t="inlineStr">
        <is>
          <t>VÄSTERBOTTENS LÄN</t>
        </is>
      </c>
      <c r="G400" t="inlineStr">
        <is>
          <t>NORDMALING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46241</v>
      </c>
      <c r="F401" t="inlineStr">
        <is>
          <t>VÄSTERBOTTENS LÄN</t>
        </is>
      </c>
      <c r="G401" t="inlineStr">
        <is>
          <t>NORDMALING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46241</v>
      </c>
      <c r="F402" t="inlineStr">
        <is>
          <t>VÄSTERBOTTENS LÄN</t>
        </is>
      </c>
      <c r="G402" t="inlineStr">
        <is>
          <t>NORDMALING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46241</v>
      </c>
      <c r="F403" t="inlineStr">
        <is>
          <t>VÄSTERBOTTENS LÄN</t>
        </is>
      </c>
      <c r="G403" t="inlineStr">
        <is>
          <t>NORDMALING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45638</v>
      </c>
      <c r="E404" s="1" t="n">
        <v>46241</v>
      </c>
      <c r="F404" t="inlineStr">
        <is>
          <t>VÄSTERBOTTENS LÄN</t>
        </is>
      </c>
      <c r="G404" t="inlineStr">
        <is>
          <t>NORDMALING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46241</v>
      </c>
      <c r="F405" t="inlineStr">
        <is>
          <t>VÄSTERBOTTENS LÄN</t>
        </is>
      </c>
      <c r="G405" t="inlineStr">
        <is>
          <t>NORDMALING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45712</v>
      </c>
      <c r="E406" s="1" t="n">
        <v>46241</v>
      </c>
      <c r="F406" t="inlineStr">
        <is>
          <t>VÄSTERBOTTENS LÄN</t>
        </is>
      </c>
      <c r="G406" t="inlineStr">
        <is>
          <t>NORDMALING</t>
        </is>
      </c>
      <c r="I406" t="n">
        <v>11.1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46241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4898-2026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46048</v>
      </c>
      <c r="E408" s="1" t="n">
        <v>46241</v>
      </c>
      <c r="F408" t="inlineStr">
        <is>
          <t>VÄSTERBOTTENS LÄN</t>
        </is>
      </c>
      <c r="G408" t="inlineStr">
        <is>
          <t>NORDMALING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46241</v>
      </c>
      <c r="F409" t="inlineStr">
        <is>
          <t>VÄSTERBOTTENS LÄN</t>
        </is>
      </c>
      <c r="G409" t="inlineStr">
        <is>
          <t>NORDMALING</t>
        </is>
      </c>
      <c r="I409" t="n">
        <v>22.4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46241</v>
      </c>
      <c r="F410" t="inlineStr">
        <is>
          <t>VÄSTERBOTTENS LÄN</t>
        </is>
      </c>
      <c r="G410" t="inlineStr">
        <is>
          <t>NORDMALING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46050</v>
      </c>
      <c r="E411" s="1" t="n">
        <v>46241</v>
      </c>
      <c r="F411" t="inlineStr">
        <is>
          <t>VÄSTERBOTTENS LÄN</t>
        </is>
      </c>
      <c r="G411" t="inlineStr">
        <is>
          <t>NORDMALING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18232-2024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45420</v>
      </c>
      <c r="E412" s="1" t="n">
        <v>46241</v>
      </c>
      <c r="F412" t="inlineStr">
        <is>
          <t>VÄSTERBOTTENS LÄN</t>
        </is>
      </c>
      <c r="G412" t="inlineStr">
        <is>
          <t>NORDMALING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46241</v>
      </c>
      <c r="F413" t="inlineStr">
        <is>
          <t>VÄSTERBOTTENS LÄN</t>
        </is>
      </c>
      <c r="G413" t="inlineStr">
        <is>
          <t>NORDMALING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45062</v>
      </c>
      <c r="E414" s="1" t="n">
        <v>46241</v>
      </c>
      <c r="F414" t="inlineStr">
        <is>
          <t>VÄSTERBOTTENS LÄN</t>
        </is>
      </c>
      <c r="G414" t="inlineStr">
        <is>
          <t>NORDMALING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5083-2025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46241</v>
      </c>
      <c r="F415" t="inlineStr">
        <is>
          <t>VÄSTERBOTTENS LÄN</t>
        </is>
      </c>
      <c r="G415" t="inlineStr">
        <is>
          <t>NORDMALING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46241</v>
      </c>
      <c r="F416" t="inlineStr">
        <is>
          <t>VÄSTERBOTTENS LÄN</t>
        </is>
      </c>
      <c r="G416" t="inlineStr">
        <is>
          <t>NORDMALING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21862-2024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45443</v>
      </c>
      <c r="E417" s="1" t="n">
        <v>46241</v>
      </c>
      <c r="F417" t="inlineStr">
        <is>
          <t>VÄSTERBOTTENS LÄN</t>
        </is>
      </c>
      <c r="G417" t="inlineStr">
        <is>
          <t>NORDMALING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46056</v>
      </c>
      <c r="E418" s="1" t="n">
        <v>46241</v>
      </c>
      <c r="F418" t="inlineStr">
        <is>
          <t>VÄSTERBOTTENS LÄN</t>
        </is>
      </c>
      <c r="G418" t="inlineStr">
        <is>
          <t>NORDMALING</t>
        </is>
      </c>
      <c r="H418" t="inlineStr">
        <is>
          <t>SCA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46241</v>
      </c>
      <c r="F419" t="inlineStr">
        <is>
          <t>VÄSTERBOTTENS LÄN</t>
        </is>
      </c>
      <c r="G419" t="inlineStr">
        <is>
          <t>NORDMALING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46058</v>
      </c>
      <c r="E420" s="1" t="n">
        <v>46241</v>
      </c>
      <c r="F420" t="inlineStr">
        <is>
          <t>VÄSTERBOTTENS LÄN</t>
        </is>
      </c>
      <c r="G420" t="inlineStr">
        <is>
          <t>NORDMALING</t>
        </is>
      </c>
      <c r="I420" t="n">
        <v>19.1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46241</v>
      </c>
      <c r="F421" t="inlineStr">
        <is>
          <t>VÄSTERBOTTENS LÄN</t>
        </is>
      </c>
      <c r="G421" t="inlineStr">
        <is>
          <t>NORDMALING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47777-2022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44854</v>
      </c>
      <c r="E422" s="1" t="n">
        <v>46241</v>
      </c>
      <c r="F422" t="inlineStr">
        <is>
          <t>VÄSTERBOTTENS LÄN</t>
        </is>
      </c>
      <c r="G422" t="inlineStr">
        <is>
          <t>NORDMALING</t>
        </is>
      </c>
      <c r="I422" t="n">
        <v>10.5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48940-2022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44859</v>
      </c>
      <c r="E423" s="1" t="n">
        <v>46241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7732-2026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46241</v>
      </c>
      <c r="F424" t="inlineStr">
        <is>
          <t>VÄSTERBOTTENS LÄN</t>
        </is>
      </c>
      <c r="G424" t="inlineStr">
        <is>
          <t>NORDMALING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46241</v>
      </c>
      <c r="F425" t="inlineStr">
        <is>
          <t>VÄSTERBOTTENS LÄN</t>
        </is>
      </c>
      <c r="G425" t="inlineStr">
        <is>
          <t>NORDMALING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72841-2021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44547</v>
      </c>
      <c r="E426" s="1" t="n">
        <v>46241</v>
      </c>
      <c r="F426" t="inlineStr">
        <is>
          <t>VÄSTERBOTTENS LÄN</t>
        </is>
      </c>
      <c r="G426" t="inlineStr">
        <is>
          <t>NORDMALING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45638</v>
      </c>
      <c r="E427" s="1" t="n">
        <v>46241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33612-2022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44789</v>
      </c>
      <c r="E428" s="1" t="n">
        <v>46241</v>
      </c>
      <c r="F428" t="inlineStr">
        <is>
          <t>VÄSTERBOTTENS LÄN</t>
        </is>
      </c>
      <c r="G428" t="inlineStr">
        <is>
          <t>NORDMALING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46241</v>
      </c>
      <c r="F429" t="inlineStr">
        <is>
          <t>VÄSTERBOTTENS LÄN</t>
        </is>
      </c>
      <c r="G429" t="inlineStr">
        <is>
          <t>NORDMALING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34685-2023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45140</v>
      </c>
      <c r="E430" s="1" t="n">
        <v>46241</v>
      </c>
      <c r="F430" t="inlineStr">
        <is>
          <t>VÄSTERBOTTENS LÄN</t>
        </is>
      </c>
      <c r="G430" t="inlineStr">
        <is>
          <t>NORDMALING</t>
        </is>
      </c>
      <c r="H430" t="inlineStr">
        <is>
          <t>SCA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46241</v>
      </c>
      <c r="F431" t="inlineStr">
        <is>
          <t>VÄSTERBOTTENS LÄN</t>
        </is>
      </c>
      <c r="G431" t="inlineStr">
        <is>
          <t>NORDMALING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46241</v>
      </c>
      <c r="F432" t="inlineStr">
        <is>
          <t>VÄSTERBOTTENS LÄN</t>
        </is>
      </c>
      <c r="G432" t="inlineStr">
        <is>
          <t>NORDMALING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46241</v>
      </c>
      <c r="F433" t="inlineStr">
        <is>
          <t>VÄSTERBOTTENS LÄN</t>
        </is>
      </c>
      <c r="G433" t="inlineStr">
        <is>
          <t>NORDMALING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34484-2023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45139</v>
      </c>
      <c r="E434" s="1" t="n">
        <v>46241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46241</v>
      </c>
      <c r="F435" t="inlineStr">
        <is>
          <t>VÄSTERBOTTENS LÄN</t>
        </is>
      </c>
      <c r="G435" t="inlineStr">
        <is>
          <t>NORDMALING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20481-2025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45775</v>
      </c>
      <c r="E436" s="1" t="n">
        <v>46241</v>
      </c>
      <c r="F436" t="inlineStr">
        <is>
          <t>VÄSTERBOTTENS LÄN</t>
        </is>
      </c>
      <c r="G436" t="inlineStr">
        <is>
          <t>NORDMALING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24324-2026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46169</v>
      </c>
      <c r="E437" s="1" t="n">
        <v>46241</v>
      </c>
      <c r="F437" t="inlineStr">
        <is>
          <t>VÄSTERBOTTENS LÄN</t>
        </is>
      </c>
      <c r="G437" t="inlineStr">
        <is>
          <t>NORDMALING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30778-2026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46241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46241</v>
      </c>
      <c r="F439" t="inlineStr">
        <is>
          <t>VÄSTERBOTTENS LÄN</t>
        </is>
      </c>
      <c r="G439" t="inlineStr">
        <is>
          <t>NORDMALING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9863-2026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46241</v>
      </c>
      <c r="F440" t="inlineStr">
        <is>
          <t>VÄSTERBOTTENS LÄN</t>
        </is>
      </c>
      <c r="G440" t="inlineStr">
        <is>
          <t>NORDMALING</t>
        </is>
      </c>
      <c r="I440" t="n">
        <v>12.5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46241</v>
      </c>
      <c r="F441" t="inlineStr">
        <is>
          <t>VÄSTERBOTTENS LÄN</t>
        </is>
      </c>
      <c r="G441" t="inlineStr">
        <is>
          <t>NORDMALING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46241</v>
      </c>
      <c r="F442" t="inlineStr">
        <is>
          <t>VÄSTERBOTTENS LÄN</t>
        </is>
      </c>
      <c r="G442" t="inlineStr">
        <is>
          <t>NORDMALING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25214-2026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46171</v>
      </c>
      <c r="E443" s="1" t="n">
        <v>46241</v>
      </c>
      <c r="F443" t="inlineStr">
        <is>
          <t>VÄSTERBOTTENS LÄN</t>
        </is>
      </c>
      <c r="G443" t="inlineStr">
        <is>
          <t>NORDMALING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46241</v>
      </c>
      <c r="F444" t="inlineStr">
        <is>
          <t>VÄSTERBOTTENS LÄN</t>
        </is>
      </c>
      <c r="G444" t="inlineStr">
        <is>
          <t>NORDMALING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46241</v>
      </c>
      <c r="F445" t="inlineStr">
        <is>
          <t>VÄSTERBOTTENS LÄN</t>
        </is>
      </c>
      <c r="G445" t="inlineStr">
        <is>
          <t>NORDMALING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46241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46241</v>
      </c>
      <c r="F447" t="inlineStr">
        <is>
          <t>VÄSTERBOTTENS LÄN</t>
        </is>
      </c>
      <c r="G447" t="inlineStr">
        <is>
          <t>NORDMALING</t>
        </is>
      </c>
      <c r="I447" t="n">
        <v>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46241</v>
      </c>
      <c r="F448" t="inlineStr">
        <is>
          <t>VÄSTERBOTTENS LÄN</t>
        </is>
      </c>
      <c r="G448" t="inlineStr">
        <is>
          <t>NORDMALING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46241</v>
      </c>
      <c r="F449" t="inlineStr">
        <is>
          <t>VÄSTERBOTTENS LÄN</t>
        </is>
      </c>
      <c r="G449" t="inlineStr">
        <is>
          <t>NORDMALING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55305-2023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45237</v>
      </c>
      <c r="E450" s="1" t="n">
        <v>46241</v>
      </c>
      <c r="F450" t="inlineStr">
        <is>
          <t>VÄSTERBOTTENS LÄN</t>
        </is>
      </c>
      <c r="G450" t="inlineStr">
        <is>
          <t>NORDMALING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46241</v>
      </c>
      <c r="F451" t="inlineStr">
        <is>
          <t>VÄSTERBOTTENS LÄN</t>
        </is>
      </c>
      <c r="G451" t="inlineStr">
        <is>
          <t>NORDMALING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39816-2023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45167</v>
      </c>
      <c r="E452" s="1" t="n">
        <v>46241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18639-2022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44687</v>
      </c>
      <c r="E453" s="1" t="n">
        <v>46241</v>
      </c>
      <c r="F453" t="inlineStr">
        <is>
          <t>VÄSTERBOTTENS LÄN</t>
        </is>
      </c>
      <c r="G453" t="inlineStr">
        <is>
          <t>NORDMALING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45665</v>
      </c>
      <c r="E454" s="1" t="n">
        <v>46241</v>
      </c>
      <c r="F454" t="inlineStr">
        <is>
          <t>VÄSTERBOTTENS LÄN</t>
        </is>
      </c>
      <c r="G454" t="inlineStr">
        <is>
          <t>NORDMALING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55740-2023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45239</v>
      </c>
      <c r="E455" s="1" t="n">
        <v>46241</v>
      </c>
      <c r="F455" t="inlineStr">
        <is>
          <t>VÄSTERBOTTENS LÄN</t>
        </is>
      </c>
      <c r="G455" t="inlineStr">
        <is>
          <t>NORDMALING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37548-2023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45158</v>
      </c>
      <c r="E456" s="1" t="n">
        <v>46241</v>
      </c>
      <c r="F456" t="inlineStr">
        <is>
          <t>VÄSTERBOTTENS LÄN</t>
        </is>
      </c>
      <c r="G456" t="inlineStr">
        <is>
          <t>NORDMALING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46241</v>
      </c>
      <c r="F457" t="inlineStr">
        <is>
          <t>VÄSTERBOTTENS LÄN</t>
        </is>
      </c>
      <c r="G457" t="inlineStr">
        <is>
          <t>NORDMALING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45770</v>
      </c>
      <c r="E458" s="1" t="n">
        <v>46241</v>
      </c>
      <c r="F458" t="inlineStr">
        <is>
          <t>VÄSTERBOTTENS LÄN</t>
        </is>
      </c>
      <c r="G458" t="inlineStr">
        <is>
          <t>NORDMALING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46241</v>
      </c>
      <c r="F459" t="inlineStr">
        <is>
          <t>VÄSTERBOTTENS LÄN</t>
        </is>
      </c>
      <c r="G459" t="inlineStr">
        <is>
          <t>NORDMALING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46241</v>
      </c>
      <c r="F460" t="inlineStr">
        <is>
          <t>VÄSTERBOTTENS LÄN</t>
        </is>
      </c>
      <c r="G460" t="inlineStr">
        <is>
          <t>NORDMALING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9867-2026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46072</v>
      </c>
      <c r="E461" s="1" t="n">
        <v>46241</v>
      </c>
      <c r="F461" t="inlineStr">
        <is>
          <t>VÄSTERBOTTENS LÄN</t>
        </is>
      </c>
      <c r="G461" t="inlineStr">
        <is>
          <t>NORDMALING</t>
        </is>
      </c>
      <c r="I461" t="n">
        <v>11.6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13496-2026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46241</v>
      </c>
      <c r="F462" t="inlineStr">
        <is>
          <t>VÄSTERBOTTENS LÄN</t>
        </is>
      </c>
      <c r="G462" t="inlineStr">
        <is>
          <t>NORDMALING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46241</v>
      </c>
      <c r="F463" t="inlineStr">
        <is>
          <t>VÄSTERBOTTENS LÄN</t>
        </is>
      </c>
      <c r="G463" t="inlineStr">
        <is>
          <t>NORDMALING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46241</v>
      </c>
      <c r="F464" t="inlineStr">
        <is>
          <t>VÄSTERBOTTENS LÄN</t>
        </is>
      </c>
      <c r="G464" t="inlineStr">
        <is>
          <t>NORDMALING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46176</v>
      </c>
      <c r="E465" s="1" t="n">
        <v>46241</v>
      </c>
      <c r="F465" t="inlineStr">
        <is>
          <t>VÄSTERBOTTENS LÄN</t>
        </is>
      </c>
      <c r="G465" t="inlineStr">
        <is>
          <t>NORDMALING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44756</v>
      </c>
      <c r="E466" s="1" t="n">
        <v>46241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61795-2023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45265</v>
      </c>
      <c r="E467" s="1" t="n">
        <v>46241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SCA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46241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46178</v>
      </c>
      <c r="E469" s="1" t="n">
        <v>46241</v>
      </c>
      <c r="F469" t="inlineStr">
        <is>
          <t>VÄSTERBOTTENS LÄN</t>
        </is>
      </c>
      <c r="G469" t="inlineStr">
        <is>
          <t>NORDMALING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16392-2026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46241</v>
      </c>
      <c r="F470" t="inlineStr">
        <is>
          <t>VÄSTERBOTTENS LÄN</t>
        </is>
      </c>
      <c r="G470" t="inlineStr">
        <is>
          <t>NORDMALING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15963-2026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46241</v>
      </c>
      <c r="F471" t="inlineStr">
        <is>
          <t>VÄSTERBOTTENS LÄN</t>
        </is>
      </c>
      <c r="G471" t="inlineStr">
        <is>
          <t>NORDMALING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44816</v>
      </c>
      <c r="E472" s="1" t="n">
        <v>46241</v>
      </c>
      <c r="F472" t="inlineStr">
        <is>
          <t>VÄSTERBOTTENS LÄN</t>
        </is>
      </c>
      <c r="G472" t="inlineStr">
        <is>
          <t>NORDMALING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44902</v>
      </c>
      <c r="E473" s="1" t="n">
        <v>46241</v>
      </c>
      <c r="F473" t="inlineStr">
        <is>
          <t>VÄSTERBOTTENS LÄN</t>
        </is>
      </c>
      <c r="G473" t="inlineStr">
        <is>
          <t>NORDMALING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46241</v>
      </c>
      <c r="F474" t="inlineStr">
        <is>
          <t>VÄSTERBOTTENS LÄN</t>
        </is>
      </c>
      <c r="G474" t="inlineStr">
        <is>
          <t>NORDMALING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44938</v>
      </c>
      <c r="E475" s="1" t="n">
        <v>46241</v>
      </c>
      <c r="F475" t="inlineStr">
        <is>
          <t>VÄSTERBOTTENS LÄN</t>
        </is>
      </c>
      <c r="G475" t="inlineStr">
        <is>
          <t>NORDMALING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13506-2025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45736</v>
      </c>
      <c r="E476" s="1" t="n">
        <v>46241</v>
      </c>
      <c r="F476" t="inlineStr">
        <is>
          <t>VÄSTERBOTTENS LÄN</t>
        </is>
      </c>
      <c r="G476" t="inlineStr">
        <is>
          <t>NORDMALING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42823-2024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45566</v>
      </c>
      <c r="E477" s="1" t="n">
        <v>46241</v>
      </c>
      <c r="F477" t="inlineStr">
        <is>
          <t>VÄSTERBOTTENS LÄN</t>
        </is>
      </c>
      <c r="G477" t="inlineStr">
        <is>
          <t>NORDMALING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54169-2024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46241</v>
      </c>
      <c r="F478" t="inlineStr">
        <is>
          <t>VÄSTERBOTTENS LÄN</t>
        </is>
      </c>
      <c r="G478" t="inlineStr">
        <is>
          <t>NORDMALING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26796-2026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46185</v>
      </c>
      <c r="E479" s="1" t="n">
        <v>46241</v>
      </c>
      <c r="F479" t="inlineStr">
        <is>
          <t>VÄSTERBOTTENS LÄN</t>
        </is>
      </c>
      <c r="G479" t="inlineStr">
        <is>
          <t>NORDMALING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40008-2023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45167</v>
      </c>
      <c r="E480" s="1" t="n">
        <v>46241</v>
      </c>
      <c r="F480" t="inlineStr">
        <is>
          <t>VÄSTERBOTTENS LÄN</t>
        </is>
      </c>
      <c r="G480" t="inlineStr">
        <is>
          <t>NORDMALING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8103-2025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45707</v>
      </c>
      <c r="E481" s="1" t="n">
        <v>46241</v>
      </c>
      <c r="F481" t="inlineStr">
        <is>
          <t>VÄSTERBOTTENS LÄN</t>
        </is>
      </c>
      <c r="G481" t="inlineStr">
        <is>
          <t>NORDMALING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45505</v>
      </c>
      <c r="E482" s="1" t="n">
        <v>46241</v>
      </c>
      <c r="F482" t="inlineStr">
        <is>
          <t>VÄSTERBOTTENS LÄN</t>
        </is>
      </c>
      <c r="G482" t="inlineStr">
        <is>
          <t>NORDMALING</t>
        </is>
      </c>
      <c r="H482" t="inlineStr">
        <is>
          <t>SCA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36429-2024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45536</v>
      </c>
      <c r="E483" s="1" t="n">
        <v>46241</v>
      </c>
      <c r="F483" t="inlineStr">
        <is>
          <t>VÄSTERBOTTENS LÄN</t>
        </is>
      </c>
      <c r="G483" t="inlineStr">
        <is>
          <t>NORDMALING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62159-2022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44922</v>
      </c>
      <c r="E484" s="1" t="n">
        <v>46241</v>
      </c>
      <c r="F484" t="inlineStr">
        <is>
          <t>VÄSTERBOTTENS LÄN</t>
        </is>
      </c>
      <c r="G484" t="inlineStr">
        <is>
          <t>NORDMALING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45433</v>
      </c>
      <c r="E485" s="1" t="n">
        <v>46241</v>
      </c>
      <c r="F485" t="inlineStr">
        <is>
          <t>VÄSTERBOTTENS LÄN</t>
        </is>
      </c>
      <c r="G485" t="inlineStr">
        <is>
          <t>NORDMALING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46241</v>
      </c>
      <c r="F486" t="inlineStr">
        <is>
          <t>VÄSTERBOTTENS LÄN</t>
        </is>
      </c>
      <c r="G486" t="inlineStr">
        <is>
          <t>NORDMALING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45326-2025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46241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46241</v>
      </c>
      <c r="F488" t="inlineStr">
        <is>
          <t>VÄSTERBOTTENS LÄN</t>
        </is>
      </c>
      <c r="G488" t="inlineStr">
        <is>
          <t>NORDMALING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61657-2022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44916</v>
      </c>
      <c r="E489" s="1" t="n">
        <v>46241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SCA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27964-2026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46241</v>
      </c>
      <c r="F490" t="inlineStr">
        <is>
          <t>VÄSTERBOTTENS LÄN</t>
        </is>
      </c>
      <c r="G490" t="inlineStr">
        <is>
          <t>NORDMALING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46241</v>
      </c>
      <c r="F491" t="inlineStr">
        <is>
          <t>VÄSTERBOTTENS LÄN</t>
        </is>
      </c>
      <c r="G491" t="inlineStr">
        <is>
          <t>NORDMALING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44949</v>
      </c>
      <c r="E492" s="1" t="n">
        <v>46241</v>
      </c>
      <c r="F492" t="inlineStr">
        <is>
          <t>VÄSTERBOTTENS LÄN</t>
        </is>
      </c>
      <c r="G492" t="inlineStr">
        <is>
          <t>NORDMALING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32262-2026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46237</v>
      </c>
      <c r="E493" s="1" t="n">
        <v>46241</v>
      </c>
      <c r="F493" t="inlineStr">
        <is>
          <t>VÄSTERBOTTENS LÄN</t>
        </is>
      </c>
      <c r="G493" t="inlineStr">
        <is>
          <t>NORDMALING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39104-2022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44816</v>
      </c>
      <c r="E494" s="1" t="n">
        <v>46241</v>
      </c>
      <c r="F494" t="inlineStr">
        <is>
          <t>VÄSTERBOTTENS LÄN</t>
        </is>
      </c>
      <c r="G494" t="inlineStr">
        <is>
          <t>NORDMALING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21607-2022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44706</v>
      </c>
      <c r="E495" s="1" t="n">
        <v>46241</v>
      </c>
      <c r="F495" t="inlineStr">
        <is>
          <t>VÄSTERBOTTENS LÄN</t>
        </is>
      </c>
      <c r="G495" t="inlineStr">
        <is>
          <t>NORDMALING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46241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Kyrkan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58655-2023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45247</v>
      </c>
      <c r="E497" s="1" t="n">
        <v>46241</v>
      </c>
      <c r="F497" t="inlineStr">
        <is>
          <t>VÄSTERBOTTENS LÄN</t>
        </is>
      </c>
      <c r="G497" t="inlineStr">
        <is>
          <t>NORDMALING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28446-2026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46241</v>
      </c>
      <c r="F498" t="inlineStr">
        <is>
          <t>VÄSTERBOTTENS LÄN</t>
        </is>
      </c>
      <c r="G498" t="inlineStr">
        <is>
          <t>NORDMALING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46241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Kyrkan</t>
        </is>
      </c>
      <c r="I499" t="n">
        <v>9.699999999999999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58480-2023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45251</v>
      </c>
      <c r="E500" s="1" t="n">
        <v>46241</v>
      </c>
      <c r="F500" t="inlineStr">
        <is>
          <t>VÄSTERBOTTENS LÄN</t>
        </is>
      </c>
      <c r="G500" t="inlineStr">
        <is>
          <t>NORDMALING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7618-2024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46241</v>
      </c>
      <c r="F501" t="inlineStr">
        <is>
          <t>VÄSTERBOTTENS LÄN</t>
        </is>
      </c>
      <c r="G501" t="inlineStr">
        <is>
          <t>NORDMALING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28445-2026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46241</v>
      </c>
      <c r="F502" t="inlineStr">
        <is>
          <t>VÄSTERBOTTENS LÄN</t>
        </is>
      </c>
      <c r="G502" t="inlineStr">
        <is>
          <t>NORDMALING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7007-2024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45343</v>
      </c>
      <c r="E503" s="1" t="n">
        <v>46241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Kommuner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44620</v>
      </c>
      <c r="E504" s="1" t="n">
        <v>46241</v>
      </c>
      <c r="F504" t="inlineStr">
        <is>
          <t>VÄSTERBOTTENS LÄN</t>
        </is>
      </c>
      <c r="G504" t="inlineStr">
        <is>
          <t>NORDMALING</t>
        </is>
      </c>
      <c r="I504" t="n">
        <v>82.40000000000001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45034</v>
      </c>
      <c r="E505" s="1" t="n">
        <v>46241</v>
      </c>
      <c r="F505" t="inlineStr">
        <is>
          <t>VÄSTERBOTTENS LÄN</t>
        </is>
      </c>
      <c r="G505" t="inlineStr">
        <is>
          <t>NORDMALING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40053-2021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44418</v>
      </c>
      <c r="E506" s="1" t="n">
        <v>46241</v>
      </c>
      <c r="F506" t="inlineStr">
        <is>
          <t>VÄSTERBOTTENS LÄN</t>
        </is>
      </c>
      <c r="G506" t="inlineStr">
        <is>
          <t>NORDMALING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45439</v>
      </c>
      <c r="E507" s="1" t="n">
        <v>46241</v>
      </c>
      <c r="F507" t="inlineStr">
        <is>
          <t>VÄSTERBOTTENS LÄN</t>
        </is>
      </c>
      <c r="G507" t="inlineStr">
        <is>
          <t>NORDMALING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53986-2022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44881</v>
      </c>
      <c r="E508" s="1" t="n">
        <v>46241</v>
      </c>
      <c r="F508" t="inlineStr">
        <is>
          <t>VÄSTERBOTTENS LÄN</t>
        </is>
      </c>
      <c r="G508" t="inlineStr">
        <is>
          <t>NORDMALING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46241</v>
      </c>
      <c r="F509" t="inlineStr">
        <is>
          <t>VÄSTERBOTTENS LÄN</t>
        </is>
      </c>
      <c r="G509" t="inlineStr">
        <is>
          <t>NORDMALING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46241</v>
      </c>
      <c r="F510" t="inlineStr">
        <is>
          <t>VÄSTERBOTTENS LÄN</t>
        </is>
      </c>
      <c r="G510" t="inlineStr">
        <is>
          <t>NORDMALING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26197-2022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44735</v>
      </c>
      <c r="E511" s="1" t="n">
        <v>46241</v>
      </c>
      <c r="F511" t="inlineStr">
        <is>
          <t>VÄSTERBOTTENS LÄN</t>
        </is>
      </c>
      <c r="G511" t="inlineStr">
        <is>
          <t>NORDMALING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46241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46241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14689-2025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45742</v>
      </c>
      <c r="E514" s="1" t="n">
        <v>46241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46241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46241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55810-2022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44888</v>
      </c>
      <c r="E517" s="1" t="n">
        <v>46241</v>
      </c>
      <c r="F517" t="inlineStr">
        <is>
          <t>VÄSTERBOTTENS LÄN</t>
        </is>
      </c>
      <c r="G517" t="inlineStr">
        <is>
          <t>NORDMALING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44972</v>
      </c>
      <c r="E518" s="1" t="n">
        <v>46241</v>
      </c>
      <c r="F518" t="inlineStr">
        <is>
          <t>VÄSTERBOTTENS LÄN</t>
        </is>
      </c>
      <c r="G518" t="inlineStr">
        <is>
          <t>NORDMALING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52149-2024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45608</v>
      </c>
      <c r="E519" s="1" t="n">
        <v>46241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45517</v>
      </c>
      <c r="E520" s="1" t="n">
        <v>46241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Holmen skog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20328-2024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45435</v>
      </c>
      <c r="E521" s="1" t="n">
        <v>46241</v>
      </c>
      <c r="F521" t="inlineStr">
        <is>
          <t>VÄSTERBOTTENS LÄN</t>
        </is>
      </c>
      <c r="G521" t="inlineStr">
        <is>
          <t>NORDMALING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16455-2024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46241</v>
      </c>
      <c r="F522" t="inlineStr">
        <is>
          <t>VÄSTERBOTTENS LÄN</t>
        </is>
      </c>
      <c r="G522" t="inlineStr">
        <is>
          <t>NORDMALING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16690-2025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45754</v>
      </c>
      <c r="E523" s="1" t="n">
        <v>46241</v>
      </c>
      <c r="F523" t="inlineStr">
        <is>
          <t>VÄSTERBOTTENS LÄN</t>
        </is>
      </c>
      <c r="G523" t="inlineStr">
        <is>
          <t>NORDMALING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44387-2023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46241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33343-2022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44788</v>
      </c>
      <c r="E525" s="1" t="n">
        <v>46241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51824-2024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46241</v>
      </c>
      <c r="F526" t="inlineStr">
        <is>
          <t>VÄSTERBOTTENS LÄN</t>
        </is>
      </c>
      <c r="G526" t="inlineStr">
        <is>
          <t>NORDMALING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44968</v>
      </c>
      <c r="E527" s="1" t="n">
        <v>46241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24850-2023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45078</v>
      </c>
      <c r="E528" s="1" t="n">
        <v>46241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46241</v>
      </c>
      <c r="F529" t="inlineStr">
        <is>
          <t>VÄSTERBOTTENS LÄN</t>
        </is>
      </c>
      <c r="G529" t="inlineStr">
        <is>
          <t>NORDMALING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45676</v>
      </c>
      <c r="E530" s="1" t="n">
        <v>46241</v>
      </c>
      <c r="F530" t="inlineStr">
        <is>
          <t>VÄSTERBOTTENS LÄN</t>
        </is>
      </c>
      <c r="G530" t="inlineStr">
        <is>
          <t>NORDMALING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9015-2025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45713</v>
      </c>
      <c r="E531" s="1" t="n">
        <v>46241</v>
      </c>
      <c r="F531" t="inlineStr">
        <is>
          <t>VÄSTERBOTTENS LÄN</t>
        </is>
      </c>
      <c r="G531" t="inlineStr">
        <is>
          <t>NORDMALING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61283-2023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46241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Sveaskog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45241</v>
      </c>
      <c r="E533" s="1" t="n">
        <v>46241</v>
      </c>
      <c r="F533" t="inlineStr">
        <is>
          <t>VÄSTERBOTTENS LÄN</t>
        </is>
      </c>
      <c r="G533" t="inlineStr">
        <is>
          <t>NORDMALING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43491-2024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45568</v>
      </c>
      <c r="E534" s="1" t="n">
        <v>46241</v>
      </c>
      <c r="F534" t="inlineStr">
        <is>
          <t>VÄSTERBOTTENS LÄN</t>
        </is>
      </c>
      <c r="G534" t="inlineStr">
        <is>
          <t>NORDMALING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45568</v>
      </c>
      <c r="E535" s="1" t="n">
        <v>46241</v>
      </c>
      <c r="F535" t="inlineStr">
        <is>
          <t>VÄSTERBOTTENS LÄN</t>
        </is>
      </c>
      <c r="G535" t="inlineStr">
        <is>
          <t>NORDMALING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502-2025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45664</v>
      </c>
      <c r="E536" s="1" t="n">
        <v>46241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46241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46241</v>
      </c>
      <c r="F538" t="inlineStr">
        <is>
          <t>VÄSTERBOTTENS LÄN</t>
        </is>
      </c>
      <c r="G538" t="inlineStr">
        <is>
          <t>NORDMALING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46241</v>
      </c>
      <c r="F539" t="inlineStr">
        <is>
          <t>VÄSTERBOTTENS LÄN</t>
        </is>
      </c>
      <c r="G539" t="inlineStr">
        <is>
          <t>NORDMALING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45030</v>
      </c>
      <c r="E540" s="1" t="n">
        <v>46241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46241</v>
      </c>
      <c r="F541" t="inlineStr">
        <is>
          <t>VÄSTERBOTTENS LÄN</t>
        </is>
      </c>
      <c r="G541" t="inlineStr">
        <is>
          <t>NORDMALING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45783</v>
      </c>
      <c r="E542" s="1" t="n">
        <v>46241</v>
      </c>
      <c r="F542" t="inlineStr">
        <is>
          <t>VÄSTERBOTTENS LÄN</t>
        </is>
      </c>
      <c r="G542" t="inlineStr">
        <is>
          <t>NORDMALING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61616-2023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45261</v>
      </c>
      <c r="E543" s="1" t="n">
        <v>46241</v>
      </c>
      <c r="F543" t="inlineStr">
        <is>
          <t>VÄSTERBOTTENS LÄN</t>
        </is>
      </c>
      <c r="G543" t="inlineStr">
        <is>
          <t>NORDMALING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46241</v>
      </c>
      <c r="F544" t="inlineStr">
        <is>
          <t>VÄSTERBOTTENS LÄN</t>
        </is>
      </c>
      <c r="G544" t="inlineStr">
        <is>
          <t>NORDMALING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23029-2025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46241</v>
      </c>
      <c r="F545" t="inlineStr">
        <is>
          <t>VÄSTERBOTTENS LÄN</t>
        </is>
      </c>
      <c r="G545" t="inlineStr">
        <is>
          <t>NORDMALING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23041-2025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46241</v>
      </c>
      <c r="F546" t="inlineStr">
        <is>
          <t>VÄSTERBOTTENS LÄN</t>
        </is>
      </c>
      <c r="G546" t="inlineStr">
        <is>
          <t>NORDMALING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46241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46241</v>
      </c>
      <c r="F548" t="inlineStr">
        <is>
          <t>VÄSTERBOTTENS LÄN</t>
        </is>
      </c>
      <c r="G548" t="inlineStr">
        <is>
          <t>NORDMALING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46241</v>
      </c>
      <c r="F549" t="inlineStr">
        <is>
          <t>VÄSTERBOTTENS LÄN</t>
        </is>
      </c>
      <c r="G549" t="inlineStr">
        <is>
          <t>NORDMALING</t>
        </is>
      </c>
      <c r="I549" t="n">
        <v>20.3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23037-2025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46241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45796</v>
      </c>
      <c r="E551" s="1" t="n">
        <v>46241</v>
      </c>
      <c r="F551" t="inlineStr">
        <is>
          <t>VÄSTERBOTTENS LÄN</t>
        </is>
      </c>
      <c r="G551" t="inlineStr">
        <is>
          <t>NORDMALING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45699</v>
      </c>
      <c r="E552" s="1" t="n">
        <v>46241</v>
      </c>
      <c r="F552" t="inlineStr">
        <is>
          <t>VÄSTERBOTTENS LÄN</t>
        </is>
      </c>
      <c r="G552" t="inlineStr">
        <is>
          <t>NORDMALING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46241</v>
      </c>
      <c r="F553" t="inlineStr">
        <is>
          <t>VÄSTERBOTTENS LÄN</t>
        </is>
      </c>
      <c r="G553" t="inlineStr">
        <is>
          <t>NORDMALING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45238</v>
      </c>
      <c r="E554" s="1" t="n">
        <v>46241</v>
      </c>
      <c r="F554" t="inlineStr">
        <is>
          <t>VÄSTERBOTTENS LÄN</t>
        </is>
      </c>
      <c r="G554" t="inlineStr">
        <is>
          <t>NORDMALING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46241</v>
      </c>
      <c r="F555" t="inlineStr">
        <is>
          <t>VÄSTERBOTTENS LÄN</t>
        </is>
      </c>
      <c r="G555" t="inlineStr">
        <is>
          <t>NORDMALING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46241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45825</v>
      </c>
      <c r="E557" s="1" t="n">
        <v>46241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29606-2025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45825</v>
      </c>
      <c r="E558" s="1" t="n">
        <v>46241</v>
      </c>
      <c r="F558" t="inlineStr">
        <is>
          <t>VÄSTERBOTTENS LÄN</t>
        </is>
      </c>
      <c r="G558" t="inlineStr">
        <is>
          <t>NORDMALING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45825</v>
      </c>
      <c r="E559" s="1" t="n">
        <v>46241</v>
      </c>
      <c r="F559" t="inlineStr">
        <is>
          <t>VÄSTERBOTTENS LÄN</t>
        </is>
      </c>
      <c r="G559" t="inlineStr">
        <is>
          <t>NORDMALING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46241</v>
      </c>
      <c r="F560" t="inlineStr">
        <is>
          <t>VÄSTERBOTTENS LÄN</t>
        </is>
      </c>
      <c r="G560" t="inlineStr">
        <is>
          <t>NORDMALING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45825</v>
      </c>
      <c r="E561" s="1" t="n">
        <v>46241</v>
      </c>
      <c r="F561" t="inlineStr">
        <is>
          <t>VÄSTERBOTTENS LÄN</t>
        </is>
      </c>
      <c r="G561" t="inlineStr">
        <is>
          <t>NORDMALING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46241</v>
      </c>
      <c r="F562" t="inlineStr">
        <is>
          <t>VÄSTERBOTTENS LÄN</t>
        </is>
      </c>
      <c r="G562" t="inlineStr">
        <is>
          <t>NORDMALING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46241</v>
      </c>
      <c r="F563" t="inlineStr">
        <is>
          <t>VÄSTERBOTTENS LÄN</t>
        </is>
      </c>
      <c r="G563" t="inlineStr">
        <is>
          <t>NORDMALING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46241</v>
      </c>
      <c r="F564" t="inlineStr">
        <is>
          <t>VÄSTERBOTTENS LÄN</t>
        </is>
      </c>
      <c r="G564" t="inlineStr">
        <is>
          <t>NORDMALING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45842</v>
      </c>
      <c r="E565" s="1" t="n">
        <v>46241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46241</v>
      </c>
      <c r="F566" t="inlineStr">
        <is>
          <t>VÄSTERBOTTENS LÄN</t>
        </is>
      </c>
      <c r="G566" t="inlineStr">
        <is>
          <t>NORDMALING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45849</v>
      </c>
      <c r="E567" s="1" t="n">
        <v>46241</v>
      </c>
      <c r="F567" t="inlineStr">
        <is>
          <t>VÄSTERBOTTENS LÄN</t>
        </is>
      </c>
      <c r="G567" t="inlineStr">
        <is>
          <t>NORDMALING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45852</v>
      </c>
      <c r="E568" s="1" t="n">
        <v>46241</v>
      </c>
      <c r="F568" t="inlineStr">
        <is>
          <t>VÄSTERBOTTENS LÄN</t>
        </is>
      </c>
      <c r="G568" t="inlineStr">
        <is>
          <t>NORDMALING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44603</v>
      </c>
      <c r="E569" s="1" t="n">
        <v>46241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183.1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11-2022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44559</v>
      </c>
      <c r="E570" s="1" t="n">
        <v>46241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Holmen skog AB</t>
        </is>
      </c>
      <c r="I570" t="n">
        <v>18.8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3963-2024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45567</v>
      </c>
      <c r="E571" s="1" t="n">
        <v>46241</v>
      </c>
      <c r="F571" t="inlineStr">
        <is>
          <t>VÄSTERBOTTENS LÄN</t>
        </is>
      </c>
      <c r="G571" t="inlineStr">
        <is>
          <t>NORDMALING</t>
        </is>
      </c>
      <c r="H571" t="inlineStr">
        <is>
          <t>SCA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8278-2021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44489</v>
      </c>
      <c r="E572" s="1" t="n">
        <v>46241</v>
      </c>
      <c r="F572" t="inlineStr">
        <is>
          <t>VÄSTERBOTTENS LÄN</t>
        </is>
      </c>
      <c r="G572" t="inlineStr">
        <is>
          <t>NORDMALING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73-2025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45667</v>
      </c>
      <c r="E573" s="1" t="n">
        <v>46241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9259-2021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44517</v>
      </c>
      <c r="E574" s="1" t="n">
        <v>46241</v>
      </c>
      <c r="F574" t="inlineStr">
        <is>
          <t>VÄSTERBOTTENS LÄN</t>
        </is>
      </c>
      <c r="G574" t="inlineStr">
        <is>
          <t>NORDMALING</t>
        </is>
      </c>
      <c r="I574" t="n">
        <v>17.8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4194-2023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45250</v>
      </c>
      <c r="E575" s="1" t="n">
        <v>46241</v>
      </c>
      <c r="F575" t="inlineStr">
        <is>
          <t>VÄSTERBOTTENS LÄN</t>
        </is>
      </c>
      <c r="G575" t="inlineStr">
        <is>
          <t>NORDMALING</t>
        </is>
      </c>
      <c r="H575" t="inlineStr">
        <is>
          <t>Holmen skog AB</t>
        </is>
      </c>
      <c r="I575" t="n">
        <v>27.6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5071-2024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45638</v>
      </c>
      <c r="E576" s="1" t="n">
        <v>46241</v>
      </c>
      <c r="F576" t="inlineStr">
        <is>
          <t>VÄSTERBOTTENS LÄN</t>
        </is>
      </c>
      <c r="G576" t="inlineStr">
        <is>
          <t>NORDMALING</t>
        </is>
      </c>
      <c r="I576" t="n">
        <v>19.9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1247-2025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45762</v>
      </c>
      <c r="E577" s="1" t="n">
        <v>46241</v>
      </c>
      <c r="F577" t="inlineStr">
        <is>
          <t>VÄSTERBOTTENS LÄN</t>
        </is>
      </c>
      <c r="G577" t="inlineStr">
        <is>
          <t>NORDMALING</t>
        </is>
      </c>
      <c r="I577" t="n">
        <v>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1248-2025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45762</v>
      </c>
      <c r="E578" s="1" t="n">
        <v>46241</v>
      </c>
      <c r="F578" t="inlineStr">
        <is>
          <t>VÄSTERBOTTENS LÄN</t>
        </is>
      </c>
      <c r="G578" t="inlineStr">
        <is>
          <t>NORDMALING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440-2026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46070</v>
      </c>
      <c r="E579" s="1" t="n">
        <v>46241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Holmen skog AB</t>
        </is>
      </c>
      <c r="I579" t="n">
        <v>73.59999999999999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443-2026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46071</v>
      </c>
      <c r="E580" s="1" t="n">
        <v>46241</v>
      </c>
      <c r="F580" t="inlineStr">
        <is>
          <t>VÄSTERBOTTENS LÄN</t>
        </is>
      </c>
      <c r="G580" t="inlineStr">
        <is>
          <t>NORDMALING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445-2026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46071</v>
      </c>
      <c r="E581" s="1" t="n">
        <v>46241</v>
      </c>
      <c r="F581" t="inlineStr">
        <is>
          <t>VÄSTERBOTTENS LÄN</t>
        </is>
      </c>
      <c r="G581" t="inlineStr">
        <is>
          <t>NORDMALING</t>
        </is>
      </c>
      <c r="I581" t="n">
        <v>13.4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444-2026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46071</v>
      </c>
      <c r="E582" s="1" t="n">
        <v>46241</v>
      </c>
      <c r="F582" t="inlineStr">
        <is>
          <t>VÄSTERBOTTENS LÄN</t>
        </is>
      </c>
      <c r="G582" t="inlineStr">
        <is>
          <t>NORDMALING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1170-2026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46135</v>
      </c>
      <c r="E583" s="1" t="n">
        <v>46241</v>
      </c>
      <c r="F583" t="inlineStr">
        <is>
          <t>VÄSTERBOTTENS LÄN</t>
        </is>
      </c>
      <c r="G583" t="inlineStr">
        <is>
          <t>NORDMALING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1299-2026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46148</v>
      </c>
      <c r="E584" s="1" t="n">
        <v>46241</v>
      </c>
      <c r="F584" t="inlineStr">
        <is>
          <t>VÄSTERBOTTENS LÄN</t>
        </is>
      </c>
      <c r="G584" t="inlineStr">
        <is>
          <t>NORDMALING</t>
        </is>
      </c>
      <c r="I584" t="n">
        <v>17.6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2026-08-07T01:56:50Z</dcterms:created>
  <dcterms:modified xmlns:dcterms="http://purl.org/dc/terms/" xmlns:xsi="http://www.w3.org/2001/XMLSchema-instance" xsi:type="dcterms:W3CDTF">2026-08-07T01:56:51Z</dcterms:modified>
</cp:coreProperties>
</file>