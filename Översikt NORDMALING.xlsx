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46237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46237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46237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46237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46237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46237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46237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46237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46237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46237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46237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46237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46237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46237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60450-2022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44904</v>
      </c>
      <c r="E21" s="1" t="n">
        <v>46237</v>
      </c>
      <c r="F21" t="inlineStr">
        <is>
          <t>VÄSTERBOTTENS LÄN</t>
        </is>
      </c>
      <c r="G21" t="inlineStr">
        <is>
          <t>NORDMALING</t>
        </is>
      </c>
      <c r="I21" t="n">
        <v>3.3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Lunglav
Rynkskinn
Ullticka</t>
        </is>
      </c>
      <c r="W21">
        <f>HYPERLINK("https://klasma.github.io/Logging_2401/artfynd/A 60450-2022 artfynd.xlsx", "A 60450-2022")</f>
        <v/>
      </c>
      <c r="X21">
        <f>HYPERLINK("https://klasma.github.io/Logging_2401/kartor/A 60450-2022 karta.png", "A 60450-2022")</f>
        <v/>
      </c>
      <c r="Y21">
        <f>HYPERLINK("https://klasma.github.io/Logging_2401/kartor_geotiff/A 60450-2022 georefererad karta.tif", "A 60450-2022")</f>
        <v/>
      </c>
      <c r="AA21">
        <f>HYPERLINK("https://klasma.github.io/Logging_2401/klagomål/A 60450-2022 FSC-klagomål.docx", "A 60450-2022")</f>
        <v/>
      </c>
      <c r="AB21">
        <f>HYPERLINK("https://klasma.github.io/Logging_2401/klagomålsmail/A 60450-2022 FSC-klagomål mail.docx", "A 60450-2022")</f>
        <v/>
      </c>
      <c r="AC21">
        <f>HYPERLINK("https://klasma.github.io/Logging_2401/tillsyn/A 60450-2022 tillsynsbegäran.docx", "A 60450-2022")</f>
        <v/>
      </c>
      <c r="AD21">
        <f>HYPERLINK("https://klasma.github.io/Logging_2401/tillsynsmail/A 60450-2022 tillsynsbegäran mail.docx", "A 60450-2022")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46237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46237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46237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46237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46237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46237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46237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46237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46237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46237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46237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46237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46237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46237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46237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46237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46237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46237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46237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46237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46237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HYPERLINK("https://klasma.github.io/Logging_2401/artfynd/A 23496-2022 artfynd.xlsx", "A 23496-2022")</f>
        <v/>
      </c>
      <c r="X47">
        <f>HYPERLINK("https://klasma.github.io/Logging_2401/kartor/A 23496-2022 karta.png", "A 23496-2022")</f>
        <v/>
      </c>
      <c r="Y47">
        <f>HYPERLINK("https://klasma.github.io/Logging_2401/kartor_geotiff/A 23496-2022 georefererad karta.tif", "A 23496-2022")</f>
        <v/>
      </c>
      <c r="AA47">
        <f>HYPERLINK("https://klasma.github.io/Logging_2401/klagomål/A 23496-2022 FSC-klagomål.docx", "A 23496-2022")</f>
        <v/>
      </c>
      <c r="AB47">
        <f>HYPERLINK("https://klasma.github.io/Logging_2401/klagomålsmail/A 23496-2022 FSC-klagomål mail.docx", "A 23496-2022")</f>
        <v/>
      </c>
      <c r="AC47">
        <f>HYPERLINK("https://klasma.github.io/Logging_2401/tillsyn/A 23496-2022 tillsynsbegäran.docx", "A 23496-2022")</f>
        <v/>
      </c>
      <c r="AD47">
        <f>HYPERLINK("https://klasma.github.io/Logging_2401/tillsynsmail/A 23496-2022 tillsynsbegäran mail.docx", "A 23496-2022")</f>
        <v/>
      </c>
      <c r="AE47">
        <f>HYPERLINK("https://klasma.github.io/Logging_2401/fåglar/A 23496-2022 prioriterade fågelarter.docx", "A 23496-2022")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46237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46237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46237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46237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46237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46237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46237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46237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46237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9717-2026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46072</v>
      </c>
      <c r="E57" s="1" t="n">
        <v>46237</v>
      </c>
      <c r="F57" t="inlineStr">
        <is>
          <t>VÄSTERBOTTENS LÄN</t>
        </is>
      </c>
      <c r="G57" t="inlineStr">
        <is>
          <t>NORDMALING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HYPERLINK("https://klasma.github.io/Logging_2401/artfynd/A 9717-2026 artfynd.xlsx", "A 9717-2026")</f>
        <v/>
      </c>
      <c r="X57">
        <f>HYPERLINK("https://klasma.github.io/Logging_2401/kartor/A 9717-2026 karta.png", "A 9717-2026")</f>
        <v/>
      </c>
      <c r="Y57">
        <f>HYPERLINK("https://klasma.github.io/Logging_2401/kartor_geotiff/A 9717-2026 georefererad karta.tif", "A 9717-2026")</f>
        <v/>
      </c>
      <c r="AA57">
        <f>HYPERLINK("https://klasma.github.io/Logging_2401/klagomål/A 9717-2026 FSC-klagomål.docx", "A 9717-2026")</f>
        <v/>
      </c>
      <c r="AB57">
        <f>HYPERLINK("https://klasma.github.io/Logging_2401/klagomålsmail/A 9717-2026 FSC-klagomål mail.docx", "A 9717-2026")</f>
        <v/>
      </c>
      <c r="AC57">
        <f>HYPERLINK("https://klasma.github.io/Logging_2401/tillsyn/A 9717-2026 tillsynsbegäran.docx", "A 9717-2026")</f>
        <v/>
      </c>
      <c r="AD57">
        <f>HYPERLINK("https://klasma.github.io/Logging_2401/tillsynsmail/A 9717-2026 tillsynsbegäran mail.docx", "A 9717-2026")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46237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46237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37546-2023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45158</v>
      </c>
      <c r="E60" s="1" t="n">
        <v>46237</v>
      </c>
      <c r="F60" t="inlineStr">
        <is>
          <t>VÄSTERBOTTENS LÄN</t>
        </is>
      </c>
      <c r="G60" t="inlineStr">
        <is>
          <t>NORDMALING</t>
        </is>
      </c>
      <c r="I60" t="n">
        <v>4.7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HYPERLINK("https://klasma.github.io/Logging_2401/artfynd/A 37546-2023 artfynd.xlsx", "A 37546-2023")</f>
        <v/>
      </c>
      <c r="X60">
        <f>HYPERLINK("https://klasma.github.io/Logging_2401/kartor/A 37546-2023 karta.png", "A 37546-2023")</f>
        <v/>
      </c>
      <c r="Y60">
        <f>HYPERLINK("https://klasma.github.io/Logging_2401/kartor_geotiff/A 37546-2023 georefererad karta.tif", "A 37546-2023")</f>
        <v/>
      </c>
      <c r="AA60">
        <f>HYPERLINK("https://klasma.github.io/Logging_2401/klagomål/A 37546-2023 FSC-klagomål.docx", "A 37546-2023")</f>
        <v/>
      </c>
      <c r="AB60">
        <f>HYPERLINK("https://klasma.github.io/Logging_2401/klagomålsmail/A 37546-2023 FSC-klagomål mail.docx", "A 37546-2023")</f>
        <v/>
      </c>
      <c r="AC60">
        <f>HYPERLINK("https://klasma.github.io/Logging_2401/tillsyn/A 37546-2023 tillsynsbegäran.docx", "A 37546-2023")</f>
        <v/>
      </c>
      <c r="AD60">
        <f>HYPERLINK("https://klasma.github.io/Logging_2401/tillsynsmail/A 37546-2023 tillsynsbegäran mail.docx", "A 37546-2023")</f>
        <v/>
      </c>
    </row>
    <row r="61" ht="15" customHeight="1">
      <c r="A61" t="inlineStr">
        <is>
          <t>A 18897-2026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46129</v>
      </c>
      <c r="E61" s="1" t="n">
        <v>46237</v>
      </c>
      <c r="F61" t="inlineStr">
        <is>
          <t>VÄSTERBOTTENS LÄN</t>
        </is>
      </c>
      <c r="G61" t="inlineStr">
        <is>
          <t>NORDMALING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HYPERLINK("https://klasma.github.io/Logging_2401/artfynd/A 18897-2026 artfynd.xlsx", "A 18897-2026")</f>
        <v/>
      </c>
      <c r="X61">
        <f>HYPERLINK("https://klasma.github.io/Logging_2401/kartor/A 18897-2026 karta.png", "A 18897-2026")</f>
        <v/>
      </c>
      <c r="Y61">
        <f>HYPERLINK("https://klasma.github.io/Logging_2401/kartor_geotiff/A 18897-2026 georefererad karta.tif", "A 18897-2026")</f>
        <v/>
      </c>
      <c r="AA61">
        <f>HYPERLINK("https://klasma.github.io/Logging_2401/klagomål/A 18897-2026 FSC-klagomål.docx", "A 18897-2026")</f>
        <v/>
      </c>
      <c r="AB61">
        <f>HYPERLINK("https://klasma.github.io/Logging_2401/klagomålsmail/A 18897-2026 FSC-klagomål mail.docx", "A 18897-2026")</f>
        <v/>
      </c>
      <c r="AC61">
        <f>HYPERLINK("https://klasma.github.io/Logging_2401/tillsyn/A 18897-2026 tillsynsbegäran.docx", "A 18897-2026")</f>
        <v/>
      </c>
      <c r="AD61">
        <f>HYPERLINK("https://klasma.github.io/Logging_2401/tillsynsmail/A 18897-2026 tillsynsbegäran mail.docx", "A 18897-2026")</f>
        <v/>
      </c>
      <c r="AE61">
        <f>HYPERLINK("https://klasma.github.io/Logging_2401/fåglar/A 18897-2026 prioriterade fågelarter.docx", "A 18897-2026")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46237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46237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46237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46237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46237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46237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46237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46237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46237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46237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46237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46237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46237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44867</v>
      </c>
      <c r="E76" s="1" t="n">
        <v>46237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46237</v>
      </c>
      <c r="F77" t="inlineStr">
        <is>
          <t>VÄSTERBOTTENS LÄN</t>
        </is>
      </c>
      <c r="G77" t="inlineStr">
        <is>
          <t>NORDMALING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46237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46237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46237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46237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46237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46237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46237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46237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46237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46237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46237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46237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46237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46237</v>
      </c>
      <c r="F97" t="inlineStr">
        <is>
          <t>VÄSTERBOTTENS LÄN</t>
        </is>
      </c>
      <c r="G97" t="inlineStr">
        <is>
          <t>NORDMALING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46237</v>
      </c>
      <c r="F98" t="inlineStr">
        <is>
          <t>VÄSTERBOTTENS LÄN</t>
        </is>
      </c>
      <c r="G98" t="inlineStr">
        <is>
          <t>NORDMALING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45525</v>
      </c>
      <c r="E99" s="1" t="n">
        <v>46237</v>
      </c>
      <c r="F99" t="inlineStr">
        <is>
          <t>VÄSTERBOTTENS LÄN</t>
        </is>
      </c>
      <c r="G99" t="inlineStr">
        <is>
          <t>NORDMALING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46237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46237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46237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45021</v>
      </c>
      <c r="E103" s="1" t="n">
        <v>46237</v>
      </c>
      <c r="F103" t="inlineStr">
        <is>
          <t>VÄSTERBOTTENS LÄN</t>
        </is>
      </c>
      <c r="G103" t="inlineStr">
        <is>
          <t>NORDMALING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46237</v>
      </c>
      <c r="F104" t="inlineStr">
        <is>
          <t>VÄSTERBOTTENS LÄN</t>
        </is>
      </c>
      <c r="G104" t="inlineStr">
        <is>
          <t>NORDMALING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54872-2021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46237</v>
      </c>
      <c r="F105" t="inlineStr">
        <is>
          <t>VÄSTERBOTTENS LÄN</t>
        </is>
      </c>
      <c r="G105" t="inlineStr">
        <is>
          <t>NORDMALING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44655</v>
      </c>
      <c r="E106" s="1" t="n">
        <v>46237</v>
      </c>
      <c r="F106" t="inlineStr">
        <is>
          <t>VÄSTERBOTTENS LÄN</t>
        </is>
      </c>
      <c r="G106" t="inlineStr">
        <is>
          <t>NORDMALING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46237</v>
      </c>
      <c r="F107" t="inlineStr">
        <is>
          <t>VÄSTERBOTTENS LÄN</t>
        </is>
      </c>
      <c r="G107" t="inlineStr">
        <is>
          <t>NORDMALING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46237</v>
      </c>
      <c r="F108" t="inlineStr">
        <is>
          <t>VÄSTERBOTTENS LÄN</t>
        </is>
      </c>
      <c r="G108" t="inlineStr">
        <is>
          <t>NORDMALING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46237</v>
      </c>
      <c r="F109" t="inlineStr">
        <is>
          <t>VÄSTERBOTTENS LÄN</t>
        </is>
      </c>
      <c r="G109" t="inlineStr">
        <is>
          <t>NORDMALING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46237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44921</v>
      </c>
      <c r="E111" s="1" t="n">
        <v>46237</v>
      </c>
      <c r="F111" t="inlineStr">
        <is>
          <t>VÄSTERBOTTENS LÄN</t>
        </is>
      </c>
      <c r="G111" t="inlineStr">
        <is>
          <t>NORDMALING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46237</v>
      </c>
      <c r="F112" t="inlineStr">
        <is>
          <t>VÄSTERBOTTENS LÄN</t>
        </is>
      </c>
      <c r="G112" t="inlineStr">
        <is>
          <t>NORDMALING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46237</v>
      </c>
      <c r="F113" t="inlineStr">
        <is>
          <t>VÄSTERBOTTENS LÄN</t>
        </is>
      </c>
      <c r="G113" t="inlineStr">
        <is>
          <t>NORDMALING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46237</v>
      </c>
      <c r="F114" t="inlineStr">
        <is>
          <t>VÄSTERBOTTENS LÄN</t>
        </is>
      </c>
      <c r="G114" t="inlineStr">
        <is>
          <t>NORDMALING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45482</v>
      </c>
      <c r="E115" s="1" t="n">
        <v>46237</v>
      </c>
      <c r="F115" t="inlineStr">
        <is>
          <t>VÄSTERBOTTENS LÄN</t>
        </is>
      </c>
      <c r="G115" t="inlineStr">
        <is>
          <t>NORDMALING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46237</v>
      </c>
      <c r="F116" t="inlineStr">
        <is>
          <t>VÄSTERBOTTENS LÄN</t>
        </is>
      </c>
      <c r="G116" t="inlineStr">
        <is>
          <t>NORDMALING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30715-2022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44763</v>
      </c>
      <c r="E117" s="1" t="n">
        <v>46237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46237</v>
      </c>
      <c r="F118" t="inlineStr">
        <is>
          <t>VÄSTERBOTTENS LÄN</t>
        </is>
      </c>
      <c r="G118" t="inlineStr">
        <is>
          <t>NORDMALING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46237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46237</v>
      </c>
      <c r="F120" t="inlineStr">
        <is>
          <t>VÄSTERBOTTENS LÄN</t>
        </is>
      </c>
      <c r="G120" t="inlineStr">
        <is>
          <t>NORDMALING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46237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46237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46237</v>
      </c>
      <c r="F123" t="inlineStr">
        <is>
          <t>VÄSTERBOTTENS LÄN</t>
        </is>
      </c>
      <c r="G123" t="inlineStr">
        <is>
          <t>NORDMALING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46237</v>
      </c>
      <c r="F124" t="inlineStr">
        <is>
          <t>VÄSTERBOTTENS LÄN</t>
        </is>
      </c>
      <c r="G124" t="inlineStr">
        <is>
          <t>NORDMALING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46237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46237</v>
      </c>
      <c r="F126" t="inlineStr">
        <is>
          <t>VÄSTERBOTTENS LÄN</t>
        </is>
      </c>
      <c r="G126" t="inlineStr">
        <is>
          <t>NORDMALING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36814-2024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45538</v>
      </c>
      <c r="E127" s="1" t="n">
        <v>46237</v>
      </c>
      <c r="F127" t="inlineStr">
        <is>
          <t>VÄSTERBOTTENS LÄN</t>
        </is>
      </c>
      <c r="G127" t="inlineStr">
        <is>
          <t>NORDMALING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46237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46237</v>
      </c>
      <c r="F129" t="inlineStr">
        <is>
          <t>VÄSTERBOTTENS LÄN</t>
        </is>
      </c>
      <c r="G129" t="inlineStr">
        <is>
          <t>NORDMALING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46237</v>
      </c>
      <c r="F130" t="inlineStr">
        <is>
          <t>VÄSTERBOTTENS LÄN</t>
        </is>
      </c>
      <c r="G130" t="inlineStr">
        <is>
          <t>NORDMALING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46237</v>
      </c>
      <c r="F131" t="inlineStr">
        <is>
          <t>VÄSTERBOTTENS LÄN</t>
        </is>
      </c>
      <c r="G131" t="inlineStr">
        <is>
          <t>NORDMALING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46237</v>
      </c>
      <c r="F132" t="inlineStr">
        <is>
          <t>VÄSTERBOTTENS LÄN</t>
        </is>
      </c>
      <c r="G132" t="inlineStr">
        <is>
          <t>NORDMALING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46237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46237</v>
      </c>
      <c r="F134" t="inlineStr">
        <is>
          <t>VÄSTERBOTTENS LÄN</t>
        </is>
      </c>
      <c r="G134" t="inlineStr">
        <is>
          <t>NORDMALING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34184-2023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45126</v>
      </c>
      <c r="E135" s="1" t="n">
        <v>46237</v>
      </c>
      <c r="F135" t="inlineStr">
        <is>
          <t>VÄSTERBOTTENS LÄN</t>
        </is>
      </c>
      <c r="G135" t="inlineStr">
        <is>
          <t>NORDMALING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46237</v>
      </c>
      <c r="F136" t="inlineStr">
        <is>
          <t>VÄSTERBOTTENS LÄN</t>
        </is>
      </c>
      <c r="G136" t="inlineStr">
        <is>
          <t>NORDMALING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46237</v>
      </c>
      <c r="F137" t="inlineStr">
        <is>
          <t>VÄSTERBOTTENS LÄN</t>
        </is>
      </c>
      <c r="G137" t="inlineStr">
        <is>
          <t>NORDMALING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46237</v>
      </c>
      <c r="F138" t="inlineStr">
        <is>
          <t>VÄSTERBOTTENS LÄN</t>
        </is>
      </c>
      <c r="G138" t="inlineStr">
        <is>
          <t>NORDMALING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46237</v>
      </c>
      <c r="F139" t="inlineStr">
        <is>
          <t>VÄSTERBOTTENS LÄN</t>
        </is>
      </c>
      <c r="G139" t="inlineStr">
        <is>
          <t>NORDMALING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46237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7007-2024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45343</v>
      </c>
      <c r="E141" s="1" t="n">
        <v>46237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Kommuner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46237</v>
      </c>
      <c r="F142" t="inlineStr">
        <is>
          <t>VÄSTERBOTTENS LÄN</t>
        </is>
      </c>
      <c r="G142" t="inlineStr">
        <is>
          <t>NORDMALING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46237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46237</v>
      </c>
      <c r="F144" t="inlineStr">
        <is>
          <t>VÄSTERBOTTENS LÄN</t>
        </is>
      </c>
      <c r="G144" t="inlineStr">
        <is>
          <t>NORDMALING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46237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46237</v>
      </c>
      <c r="F146" t="inlineStr">
        <is>
          <t>VÄSTERBOTTENS LÄN</t>
        </is>
      </c>
      <c r="G146" t="inlineStr">
        <is>
          <t>NORDMALING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44620</v>
      </c>
      <c r="E147" s="1" t="n">
        <v>46237</v>
      </c>
      <c r="F147" t="inlineStr">
        <is>
          <t>VÄSTERBOTTENS LÄN</t>
        </is>
      </c>
      <c r="G147" t="inlineStr">
        <is>
          <t>NORDMALING</t>
        </is>
      </c>
      <c r="I147" t="n">
        <v>82.40000000000001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44991</v>
      </c>
      <c r="E148" s="1" t="n">
        <v>46237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44433</v>
      </c>
      <c r="E149" s="1" t="n">
        <v>46237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46237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46237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46237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46237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61793-2023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46237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46237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46237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46237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46237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46237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46237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46237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45926</v>
      </c>
      <c r="E162" s="1" t="n">
        <v>46237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46237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46237</v>
      </c>
      <c r="F164" t="inlineStr">
        <is>
          <t>VÄSTERBOTTENS LÄN</t>
        </is>
      </c>
      <c r="G164" t="inlineStr">
        <is>
          <t>NORDMALING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46237</v>
      </c>
      <c r="F165" t="inlineStr">
        <is>
          <t>VÄSTERBOTTENS LÄN</t>
        </is>
      </c>
      <c r="G165" t="inlineStr">
        <is>
          <t>NORDMALING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46237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46237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46237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46237</v>
      </c>
      <c r="F169" t="inlineStr">
        <is>
          <t>VÄSTERBOTTENS LÄN</t>
        </is>
      </c>
      <c r="G169" t="inlineStr">
        <is>
          <t>NORDMALING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46237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46237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46237</v>
      </c>
      <c r="F172" t="inlineStr">
        <is>
          <t>VÄSTERBOTTENS LÄN</t>
        </is>
      </c>
      <c r="G172" t="inlineStr">
        <is>
          <t>NORDMALING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44473</v>
      </c>
      <c r="E173" s="1" t="n">
        <v>46237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46237</v>
      </c>
      <c r="F174" t="inlineStr">
        <is>
          <t>VÄSTERBOTTENS LÄN</t>
        </is>
      </c>
      <c r="G174" t="inlineStr">
        <is>
          <t>NORDMALING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46237</v>
      </c>
      <c r="F175" t="inlineStr">
        <is>
          <t>VÄSTERBOTTENS LÄN</t>
        </is>
      </c>
      <c r="G175" t="inlineStr">
        <is>
          <t>NORDMALING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46237</v>
      </c>
      <c r="F176" t="inlineStr">
        <is>
          <t>VÄSTERBOTTENS LÄN</t>
        </is>
      </c>
      <c r="G176" t="inlineStr">
        <is>
          <t>NORDMALING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46237</v>
      </c>
      <c r="F177" t="inlineStr">
        <is>
          <t>VÄSTERBOTTENS LÄN</t>
        </is>
      </c>
      <c r="G177" t="inlineStr">
        <is>
          <t>NORDMALING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44905</v>
      </c>
      <c r="E178" s="1" t="n">
        <v>46237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46237</v>
      </c>
      <c r="F179" t="inlineStr">
        <is>
          <t>VÄSTERBOTTENS LÄN</t>
        </is>
      </c>
      <c r="G179" t="inlineStr">
        <is>
          <t>NORDMALING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46237</v>
      </c>
      <c r="F180" t="inlineStr">
        <is>
          <t>VÄSTERBOTTENS LÄN</t>
        </is>
      </c>
      <c r="G180" t="inlineStr">
        <is>
          <t>NORDMALING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46237</v>
      </c>
      <c r="F181" t="inlineStr">
        <is>
          <t>VÄSTERBOTTENS LÄN</t>
        </is>
      </c>
      <c r="G181" t="inlineStr">
        <is>
          <t>NORDMALING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44418</v>
      </c>
      <c r="E182" s="1" t="n">
        <v>46237</v>
      </c>
      <c r="F182" t="inlineStr">
        <is>
          <t>VÄSTERBOTTENS LÄN</t>
        </is>
      </c>
      <c r="G182" t="inlineStr">
        <is>
          <t>NORDMALING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46237</v>
      </c>
      <c r="F183" t="inlineStr">
        <is>
          <t>VÄSTERBOTTENS LÄN</t>
        </is>
      </c>
      <c r="G183" t="inlineStr">
        <is>
          <t>NORDMALING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46237</v>
      </c>
      <c r="F184" t="inlineStr">
        <is>
          <t>VÄSTERBOTTENS LÄN</t>
        </is>
      </c>
      <c r="G184" t="inlineStr">
        <is>
          <t>NORDMALING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46237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46237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46237</v>
      </c>
      <c r="F187" t="inlineStr">
        <is>
          <t>VÄSTERBOTTENS LÄN</t>
        </is>
      </c>
      <c r="G187" t="inlineStr">
        <is>
          <t>NORDMALING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46237</v>
      </c>
      <c r="F188" t="inlineStr">
        <is>
          <t>VÄSTERBOTTENS LÄN</t>
        </is>
      </c>
      <c r="G188" t="inlineStr">
        <is>
          <t>NORDMALING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46237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46237</v>
      </c>
      <c r="F190" t="inlineStr">
        <is>
          <t>VÄSTERBOTTENS LÄN</t>
        </is>
      </c>
      <c r="G190" t="inlineStr">
        <is>
          <t>NORDMALING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46237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46237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46237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46237</v>
      </c>
      <c r="F194" t="inlineStr">
        <is>
          <t>VÄSTERBOTTENS LÄN</t>
        </is>
      </c>
      <c r="G194" t="inlineStr">
        <is>
          <t>NORDMALING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19300-2023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45049</v>
      </c>
      <c r="E195" s="1" t="n">
        <v>46237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Kyrkan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46237</v>
      </c>
      <c r="F196" t="inlineStr">
        <is>
          <t>VÄSTERBOTTENS LÄN</t>
        </is>
      </c>
      <c r="G196" t="inlineStr">
        <is>
          <t>NORDMALING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46237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45996</v>
      </c>
      <c r="E198" s="1" t="n">
        <v>46237</v>
      </c>
      <c r="F198" t="inlineStr">
        <is>
          <t>VÄSTERBOTTENS LÄN</t>
        </is>
      </c>
      <c r="G198" t="inlineStr">
        <is>
          <t>NORDMALING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46237</v>
      </c>
      <c r="F199" t="inlineStr">
        <is>
          <t>VÄSTERBOTTENS LÄN</t>
        </is>
      </c>
      <c r="G199" t="inlineStr">
        <is>
          <t>NORDMALING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46237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46237</v>
      </c>
      <c r="F201" t="inlineStr">
        <is>
          <t>VÄSTERBOTTENS LÄN</t>
        </is>
      </c>
      <c r="G201" t="inlineStr">
        <is>
          <t>NORDMALING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46237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46237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46237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46237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46237</v>
      </c>
      <c r="F206" t="inlineStr">
        <is>
          <t>VÄSTERBOTTENS LÄN</t>
        </is>
      </c>
      <c r="G206" t="inlineStr">
        <is>
          <t>NORDMALING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46237</v>
      </c>
      <c r="F207" t="inlineStr">
        <is>
          <t>VÄSTERBOTTENS LÄN</t>
        </is>
      </c>
      <c r="G207" t="inlineStr">
        <is>
          <t>NORDMALING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46237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46237</v>
      </c>
      <c r="F209" t="inlineStr">
        <is>
          <t>VÄSTERBOTTENS LÄN</t>
        </is>
      </c>
      <c r="G209" t="inlineStr">
        <is>
          <t>NORDMALING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46237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51746-2021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46237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46237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46237</v>
      </c>
      <c r="F213" t="inlineStr">
        <is>
          <t>VÄSTERBOTTENS LÄN</t>
        </is>
      </c>
      <c r="G213" t="inlineStr">
        <is>
          <t>NORDMALING</t>
        </is>
      </c>
      <c r="I213" t="n">
        <v>13.1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46237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45525</v>
      </c>
      <c r="E215" s="1" t="n">
        <v>46237</v>
      </c>
      <c r="F215" t="inlineStr">
        <is>
          <t>VÄSTERBOTTENS LÄN</t>
        </is>
      </c>
      <c r="G215" t="inlineStr">
        <is>
          <t>NORDMALING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46237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24712-2023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45075</v>
      </c>
      <c r="E217" s="1" t="n">
        <v>46237</v>
      </c>
      <c r="F217" t="inlineStr">
        <is>
          <t>VÄSTERBOTTENS LÄN</t>
        </is>
      </c>
      <c r="G217" t="inlineStr">
        <is>
          <t>NORDMALING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46237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46237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46237</v>
      </c>
      <c r="F220" t="inlineStr">
        <is>
          <t>VÄSTERBOTTENS LÄN</t>
        </is>
      </c>
      <c r="G220" t="inlineStr">
        <is>
          <t>NORDMALING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46237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46237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46237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44735</v>
      </c>
      <c r="E224" s="1" t="n">
        <v>46237</v>
      </c>
      <c r="F224" t="inlineStr">
        <is>
          <t>VÄSTERBOTTENS LÄN</t>
        </is>
      </c>
      <c r="G224" t="inlineStr">
        <is>
          <t>NORDMALING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46151</v>
      </c>
      <c r="E225" s="1" t="n">
        <v>46237</v>
      </c>
      <c r="F225" t="inlineStr">
        <is>
          <t>VÄSTERBOTTENS LÄN</t>
        </is>
      </c>
      <c r="G225" t="inlineStr">
        <is>
          <t>NORDMALING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32183-2023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45119</v>
      </c>
      <c r="E226" s="1" t="n">
        <v>46237</v>
      </c>
      <c r="F226" t="inlineStr">
        <is>
          <t>VÄSTERBOTTENS LÄN</t>
        </is>
      </c>
      <c r="G226" t="inlineStr">
        <is>
          <t>NORDMALING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46237</v>
      </c>
      <c r="F227" t="inlineStr">
        <is>
          <t>VÄSTERBOTTENS LÄN</t>
        </is>
      </c>
      <c r="G227" t="inlineStr">
        <is>
          <t>NORDMALING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46237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46237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46237</v>
      </c>
      <c r="F230" t="inlineStr">
        <is>
          <t>VÄSTERBOTTENS LÄN</t>
        </is>
      </c>
      <c r="G230" t="inlineStr">
        <is>
          <t>NORDMALING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51542-2025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45950</v>
      </c>
      <c r="E231" s="1" t="n">
        <v>46237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46237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46237</v>
      </c>
      <c r="F233" t="inlineStr">
        <is>
          <t>VÄSTERBOTTENS LÄN</t>
        </is>
      </c>
      <c r="G233" t="inlineStr">
        <is>
          <t>NORDMALING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51736-2025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46237</v>
      </c>
      <c r="F234" t="inlineStr">
        <is>
          <t>VÄSTERBOTTENS LÄN</t>
        </is>
      </c>
      <c r="G234" t="inlineStr">
        <is>
          <t>NORDMALING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46237</v>
      </c>
      <c r="F235" t="inlineStr">
        <is>
          <t>VÄSTERBOTTENS LÄN</t>
        </is>
      </c>
      <c r="G235" t="inlineStr">
        <is>
          <t>NORDMALING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46237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46237</v>
      </c>
      <c r="F237" t="inlineStr">
        <is>
          <t>VÄSTERBOTTENS LÄN</t>
        </is>
      </c>
      <c r="G237" t="inlineStr">
        <is>
          <t>NORDMALING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46237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46151</v>
      </c>
      <c r="E239" s="1" t="n">
        <v>46237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46237</v>
      </c>
      <c r="F240" t="inlineStr">
        <is>
          <t>VÄSTERBOTTENS LÄN</t>
        </is>
      </c>
      <c r="G240" t="inlineStr">
        <is>
          <t>NORDMALING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46237</v>
      </c>
      <c r="F241" t="inlineStr">
        <is>
          <t>VÄSTERBOTTENS LÄN</t>
        </is>
      </c>
      <c r="G241" t="inlineStr">
        <is>
          <t>NORDMALING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45742</v>
      </c>
      <c r="E242" s="1" t="n">
        <v>46237</v>
      </c>
      <c r="F242" t="inlineStr">
        <is>
          <t>VÄSTERBOTTENS LÄN</t>
        </is>
      </c>
      <c r="G242" t="inlineStr">
        <is>
          <t>NORDMALING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46237</v>
      </c>
      <c r="F243" t="inlineStr">
        <is>
          <t>VÄSTERBOTTENS LÄN</t>
        </is>
      </c>
      <c r="G243" t="inlineStr">
        <is>
          <t>NORDMALING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46237</v>
      </c>
      <c r="F244" t="inlineStr">
        <is>
          <t>VÄSTERBOTTENS LÄN</t>
        </is>
      </c>
      <c r="G244" t="inlineStr">
        <is>
          <t>NORDMALING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46237</v>
      </c>
      <c r="F245" t="inlineStr">
        <is>
          <t>VÄSTERBOTTENS LÄN</t>
        </is>
      </c>
      <c r="G245" t="inlineStr">
        <is>
          <t>NORDMALING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46237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46237</v>
      </c>
      <c r="F247" t="inlineStr">
        <is>
          <t>VÄSTERBOTTENS LÄN</t>
        </is>
      </c>
      <c r="G247" t="inlineStr">
        <is>
          <t>NORDMALING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46237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46237</v>
      </c>
      <c r="F249" t="inlineStr">
        <is>
          <t>VÄSTERBOTTENS LÄN</t>
        </is>
      </c>
      <c r="G249" t="inlineStr">
        <is>
          <t>NORDMALING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45962</v>
      </c>
      <c r="E250" s="1" t="n">
        <v>46237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46237</v>
      </c>
      <c r="F251" t="inlineStr">
        <is>
          <t>VÄSTERBOTTENS LÄN</t>
        </is>
      </c>
      <c r="G251" t="inlineStr">
        <is>
          <t>NORDMALING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44742</v>
      </c>
      <c r="E252" s="1" t="n">
        <v>46237</v>
      </c>
      <c r="F252" t="inlineStr">
        <is>
          <t>VÄSTERBOTTENS LÄN</t>
        </is>
      </c>
      <c r="G252" t="inlineStr">
        <is>
          <t>NORDMALING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46237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46237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46237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46237</v>
      </c>
      <c r="F256" t="inlineStr">
        <is>
          <t>VÄSTERBOTTENS LÄN</t>
        </is>
      </c>
      <c r="G256" t="inlineStr">
        <is>
          <t>NORDMALING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46237</v>
      </c>
      <c r="F257" t="inlineStr">
        <is>
          <t>VÄSTERBOTTENS LÄN</t>
        </is>
      </c>
      <c r="G257" t="inlineStr">
        <is>
          <t>NORDMALING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46237</v>
      </c>
      <c r="F258" t="inlineStr">
        <is>
          <t>VÄSTERBOTTENS LÄN</t>
        </is>
      </c>
      <c r="G258" t="inlineStr">
        <is>
          <t>NORDMALING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46237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46155</v>
      </c>
      <c r="E260" s="1" t="n">
        <v>46237</v>
      </c>
      <c r="F260" t="inlineStr">
        <is>
          <t>VÄSTERBOTTENS LÄN</t>
        </is>
      </c>
      <c r="G260" t="inlineStr">
        <is>
          <t>NORDMALING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46237</v>
      </c>
      <c r="F261" t="inlineStr">
        <is>
          <t>VÄSTERBOTTENS LÄN</t>
        </is>
      </c>
      <c r="G261" t="inlineStr">
        <is>
          <t>NORDMALING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46237</v>
      </c>
      <c r="F262" t="inlineStr">
        <is>
          <t>VÄSTERBOTTENS LÄN</t>
        </is>
      </c>
      <c r="G262" t="inlineStr">
        <is>
          <t>NORDMALING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46237</v>
      </c>
      <c r="F263" t="inlineStr">
        <is>
          <t>VÄSTERBOTTENS LÄN</t>
        </is>
      </c>
      <c r="G263" t="inlineStr">
        <is>
          <t>NORDMALING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46237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46237</v>
      </c>
      <c r="F265" t="inlineStr">
        <is>
          <t>VÄSTERBOTTENS LÄN</t>
        </is>
      </c>
      <c r="G265" t="inlineStr">
        <is>
          <t>NORDMALING</t>
        </is>
      </c>
      <c r="I265" t="n">
        <v>10.4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46237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46160</v>
      </c>
      <c r="E267" s="1" t="n">
        <v>46237</v>
      </c>
      <c r="F267" t="inlineStr">
        <is>
          <t>VÄSTERBOTTENS LÄN</t>
        </is>
      </c>
      <c r="G267" t="inlineStr">
        <is>
          <t>NORDMALING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46237</v>
      </c>
      <c r="F268" t="inlineStr">
        <is>
          <t>VÄSTERBOTTENS LÄN</t>
        </is>
      </c>
      <c r="G268" t="inlineStr">
        <is>
          <t>NORDMALING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45051</v>
      </c>
      <c r="E269" s="1" t="n">
        <v>46237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46237</v>
      </c>
      <c r="F270" t="inlineStr">
        <is>
          <t>VÄSTERBOTTENS LÄN</t>
        </is>
      </c>
      <c r="G270" t="inlineStr">
        <is>
          <t>NORDMALING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46237</v>
      </c>
      <c r="F271" t="inlineStr">
        <is>
          <t>VÄSTERBOTTENS LÄN</t>
        </is>
      </c>
      <c r="G271" t="inlineStr">
        <is>
          <t>NORDMALING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46237</v>
      </c>
      <c r="F272" t="inlineStr">
        <is>
          <t>VÄSTERBOTTENS LÄN</t>
        </is>
      </c>
      <c r="G272" t="inlineStr">
        <is>
          <t>NORDMALING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23047-2026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46237</v>
      </c>
      <c r="F273" t="inlineStr">
        <is>
          <t>VÄSTERBOTTENS LÄN</t>
        </is>
      </c>
      <c r="G273" t="inlineStr">
        <is>
          <t>NORDMALING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46237</v>
      </c>
      <c r="F274" t="inlineStr">
        <is>
          <t>VÄSTERBOTTENS LÄN</t>
        </is>
      </c>
      <c r="G274" t="inlineStr">
        <is>
          <t>NORDMALING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46237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45028</v>
      </c>
      <c r="E276" s="1" t="n">
        <v>46237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46237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46237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46237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46237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70028-2021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44533</v>
      </c>
      <c r="E281" s="1" t="n">
        <v>46237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46237</v>
      </c>
      <c r="F282" t="inlineStr">
        <is>
          <t>VÄSTERBOTTENS LÄN</t>
        </is>
      </c>
      <c r="G282" t="inlineStr">
        <is>
          <t>NORDMALING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46237</v>
      </c>
      <c r="F283" t="inlineStr">
        <is>
          <t>VÄSTERBOTTENS LÄN</t>
        </is>
      </c>
      <c r="G283" t="inlineStr">
        <is>
          <t>NORDMALING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46237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46237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46237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46237</v>
      </c>
      <c r="F287" t="inlineStr">
        <is>
          <t>VÄSTERBOTTENS LÄN</t>
        </is>
      </c>
      <c r="G287" t="inlineStr">
        <is>
          <t>NORDMALING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46237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46237</v>
      </c>
      <c r="F289" t="inlineStr">
        <is>
          <t>VÄSTERBOTTENS LÄN</t>
        </is>
      </c>
      <c r="G289" t="inlineStr">
        <is>
          <t>NORDMALING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46237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46237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46237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46237</v>
      </c>
      <c r="F293" t="inlineStr">
        <is>
          <t>VÄSTERBOTTENS LÄN</t>
        </is>
      </c>
      <c r="G293" t="inlineStr">
        <is>
          <t>NORDMALING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46237</v>
      </c>
      <c r="F294" t="inlineStr">
        <is>
          <t>VÄSTERBOTTENS LÄN</t>
        </is>
      </c>
      <c r="G294" t="inlineStr">
        <is>
          <t>NORDMALING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46237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46237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46237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46237</v>
      </c>
      <c r="F298" t="inlineStr">
        <is>
          <t>VÄSTERBOTTENS LÄN</t>
        </is>
      </c>
      <c r="G298" t="inlineStr">
        <is>
          <t>NORDMALING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45021</v>
      </c>
      <c r="E299" s="1" t="n">
        <v>46237</v>
      </c>
      <c r="F299" t="inlineStr">
        <is>
          <t>VÄSTERBOTTENS LÄN</t>
        </is>
      </c>
      <c r="G299" t="inlineStr">
        <is>
          <t>NORDMALING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46237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46237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64498-2023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45280</v>
      </c>
      <c r="E302" s="1" t="n">
        <v>46237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44888</v>
      </c>
      <c r="E303" s="1" t="n">
        <v>46237</v>
      </c>
      <c r="F303" t="inlineStr">
        <is>
          <t>VÄSTERBOTTENS LÄN</t>
        </is>
      </c>
      <c r="G303" t="inlineStr">
        <is>
          <t>NORDMALING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44943</v>
      </c>
      <c r="E304" s="1" t="n">
        <v>46237</v>
      </c>
      <c r="F304" t="inlineStr">
        <is>
          <t>VÄSTERBOTTENS LÄN</t>
        </is>
      </c>
      <c r="G304" t="inlineStr">
        <is>
          <t>NORDMALING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46237</v>
      </c>
      <c r="F305" t="inlineStr">
        <is>
          <t>VÄSTERBOTTENS LÄN</t>
        </is>
      </c>
      <c r="G305" t="inlineStr">
        <is>
          <t>NORDMALING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44834</v>
      </c>
      <c r="E306" s="1" t="n">
        <v>46237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Holmen skog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45102</v>
      </c>
      <c r="E307" s="1" t="n">
        <v>46237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46237</v>
      </c>
      <c r="F308" t="inlineStr">
        <is>
          <t>VÄSTERBOTTENS LÄN</t>
        </is>
      </c>
      <c r="G308" t="inlineStr">
        <is>
          <t>NORDMALING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46237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46237</v>
      </c>
      <c r="F310" t="inlineStr">
        <is>
          <t>VÄSTERBOTTENS LÄN</t>
        </is>
      </c>
      <c r="G310" t="inlineStr">
        <is>
          <t>NORDMALING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46237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46237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46237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46237</v>
      </c>
      <c r="F314" t="inlineStr">
        <is>
          <t>VÄSTERBOTTENS LÄN</t>
        </is>
      </c>
      <c r="G314" t="inlineStr">
        <is>
          <t>NORDMALING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46237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46237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45994</v>
      </c>
      <c r="E317" s="1" t="n">
        <v>46237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46237</v>
      </c>
      <c r="F318" t="inlineStr">
        <is>
          <t>VÄSTERBOTTENS LÄN</t>
        </is>
      </c>
      <c r="G318" t="inlineStr">
        <is>
          <t>NORDMALING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35291-2023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45145</v>
      </c>
      <c r="E319" s="1" t="n">
        <v>46237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46237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45691</v>
      </c>
      <c r="E321" s="1" t="n">
        <v>46237</v>
      </c>
      <c r="F321" t="inlineStr">
        <is>
          <t>VÄSTERBOTTENS LÄN</t>
        </is>
      </c>
      <c r="G321" t="inlineStr">
        <is>
          <t>NORDMALING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45343</v>
      </c>
      <c r="E322" s="1" t="n">
        <v>46237</v>
      </c>
      <c r="F322" t="inlineStr">
        <is>
          <t>VÄSTERBOTTENS LÄN</t>
        </is>
      </c>
      <c r="G322" t="inlineStr">
        <is>
          <t>NORDMALING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45757</v>
      </c>
      <c r="E323" s="1" t="n">
        <v>46237</v>
      </c>
      <c r="F323" t="inlineStr">
        <is>
          <t>VÄSTERBOTTENS LÄN</t>
        </is>
      </c>
      <c r="G323" t="inlineStr">
        <is>
          <t>NORDMALING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46237</v>
      </c>
      <c r="F324" t="inlineStr">
        <is>
          <t>VÄSTERBOTTENS LÄN</t>
        </is>
      </c>
      <c r="G324" t="inlineStr">
        <is>
          <t>NORDMALING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46237</v>
      </c>
      <c r="F325" t="inlineStr">
        <is>
          <t>VÄSTERBOTTENS LÄN</t>
        </is>
      </c>
      <c r="G325" t="inlineStr">
        <is>
          <t>NORDMALING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45378</v>
      </c>
      <c r="E326" s="1" t="n">
        <v>46237</v>
      </c>
      <c r="F326" t="inlineStr">
        <is>
          <t>VÄSTERBOTTENS LÄN</t>
        </is>
      </c>
      <c r="G326" t="inlineStr">
        <is>
          <t>NORDMALING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46237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46237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46237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48945-2022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44859</v>
      </c>
      <c r="E330" s="1" t="n">
        <v>46237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46237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46237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46237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SCA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46237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Holmen skog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46237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46237</v>
      </c>
      <c r="F336" t="inlineStr">
        <is>
          <t>VÄSTERBOTTENS LÄN</t>
        </is>
      </c>
      <c r="G336" t="inlineStr">
        <is>
          <t>NORDMALING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46237</v>
      </c>
      <c r="F337" t="inlineStr">
        <is>
          <t>VÄSTERBOTTENS LÄN</t>
        </is>
      </c>
      <c r="G337" t="inlineStr">
        <is>
          <t>NORDMALING</t>
        </is>
      </c>
      <c r="I337" t="n">
        <v>11.3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46237</v>
      </c>
      <c r="F338" t="inlineStr">
        <is>
          <t>VÄSTERBOTTENS LÄN</t>
        </is>
      </c>
      <c r="G338" t="inlineStr">
        <is>
          <t>NORDMALING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46006</v>
      </c>
      <c r="E339" s="1" t="n">
        <v>46237</v>
      </c>
      <c r="F339" t="inlineStr">
        <is>
          <t>VÄSTERBOTTENS LÄN</t>
        </is>
      </c>
      <c r="G339" t="inlineStr">
        <is>
          <t>NORDMALING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46237</v>
      </c>
      <c r="F340" t="inlineStr">
        <is>
          <t>VÄSTERBOTTENS LÄN</t>
        </is>
      </c>
      <c r="G340" t="inlineStr">
        <is>
          <t>NORDMALING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46237</v>
      </c>
      <c r="F341" t="inlineStr">
        <is>
          <t>VÄSTERBOTTENS LÄN</t>
        </is>
      </c>
      <c r="G341" t="inlineStr">
        <is>
          <t>NORDMALING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45517</v>
      </c>
      <c r="E342" s="1" t="n">
        <v>46237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46237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45491</v>
      </c>
      <c r="E344" s="1" t="n">
        <v>46237</v>
      </c>
      <c r="F344" t="inlineStr">
        <is>
          <t>VÄSTERBOTTENS LÄN</t>
        </is>
      </c>
      <c r="G344" t="inlineStr">
        <is>
          <t>NORDMALING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46237</v>
      </c>
      <c r="F345" t="inlineStr">
        <is>
          <t>VÄSTERBOTTENS LÄN</t>
        </is>
      </c>
      <c r="G345" t="inlineStr">
        <is>
          <t>NORDMALING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46237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46237</v>
      </c>
      <c r="F347" t="inlineStr">
        <is>
          <t>VÄSTERBOTTENS LÄN</t>
        </is>
      </c>
      <c r="G347" t="inlineStr">
        <is>
          <t>NORDMALING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35803-2023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45147</v>
      </c>
      <c r="E348" s="1" t="n">
        <v>46237</v>
      </c>
      <c r="F348" t="inlineStr">
        <is>
          <t>VÄSTERBOTTENS LÄN</t>
        </is>
      </c>
      <c r="G348" t="inlineStr">
        <is>
          <t>NORDMALING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46212</v>
      </c>
      <c r="E349" s="1" t="n">
        <v>46237</v>
      </c>
      <c r="F349" t="inlineStr">
        <is>
          <t>VÄSTERBOTTENS LÄN</t>
        </is>
      </c>
      <c r="G349" t="inlineStr">
        <is>
          <t>NORDMALING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46237</v>
      </c>
      <c r="F350" t="inlineStr">
        <is>
          <t>VÄSTERBOTTENS LÄN</t>
        </is>
      </c>
      <c r="G350" t="inlineStr">
        <is>
          <t>NORDMALING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46237</v>
      </c>
      <c r="F351" t="inlineStr">
        <is>
          <t>VÄSTERBOTTENS LÄN</t>
        </is>
      </c>
      <c r="G351" t="inlineStr">
        <is>
          <t>NORDMALING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46237</v>
      </c>
      <c r="F352" t="inlineStr">
        <is>
          <t>VÄSTERBOTTENS LÄN</t>
        </is>
      </c>
      <c r="G352" t="inlineStr">
        <is>
          <t>NORDMALING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46237</v>
      </c>
      <c r="F353" t="inlineStr">
        <is>
          <t>VÄSTERBOTTENS LÄN</t>
        </is>
      </c>
      <c r="G353" t="inlineStr">
        <is>
          <t>NORDMALING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46237</v>
      </c>
      <c r="F354" t="inlineStr">
        <is>
          <t>VÄSTERBOTTENS LÄN</t>
        </is>
      </c>
      <c r="G354" t="inlineStr">
        <is>
          <t>NORDMALING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46237</v>
      </c>
      <c r="F355" t="inlineStr">
        <is>
          <t>VÄSTERBOTTENS LÄN</t>
        </is>
      </c>
      <c r="G355" t="inlineStr">
        <is>
          <t>NORDMALING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45147</v>
      </c>
      <c r="E356" s="1" t="n">
        <v>46237</v>
      </c>
      <c r="F356" t="inlineStr">
        <is>
          <t>VÄSTERBOTTENS LÄN</t>
        </is>
      </c>
      <c r="G356" t="inlineStr">
        <is>
          <t>NORDMALING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46237</v>
      </c>
      <c r="F357" t="inlineStr">
        <is>
          <t>VÄSTERBOTTENS LÄN</t>
        </is>
      </c>
      <c r="G357" t="inlineStr">
        <is>
          <t>NORDMALING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46237</v>
      </c>
      <c r="F358" t="inlineStr">
        <is>
          <t>VÄSTERBOTTENS LÄN</t>
        </is>
      </c>
      <c r="G358" t="inlineStr">
        <is>
          <t>NORDMALING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25214-2026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46171</v>
      </c>
      <c r="E359" s="1" t="n">
        <v>46237</v>
      </c>
      <c r="F359" t="inlineStr">
        <is>
          <t>VÄSTERBOTTENS LÄN</t>
        </is>
      </c>
      <c r="G359" t="inlineStr">
        <is>
          <t>NORDMALING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46237</v>
      </c>
      <c r="F360" t="inlineStr">
        <is>
          <t>VÄSTERBOTTENS LÄN</t>
        </is>
      </c>
      <c r="G360" t="inlineStr">
        <is>
          <t>NORDMALING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46237</v>
      </c>
      <c r="F361" t="inlineStr">
        <is>
          <t>VÄSTERBOTTENS LÄN</t>
        </is>
      </c>
      <c r="G361" t="inlineStr">
        <is>
          <t>NORDMALING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46237</v>
      </c>
      <c r="F362" t="inlineStr">
        <is>
          <t>VÄSTERBOTTENS LÄN</t>
        </is>
      </c>
      <c r="G362" t="inlineStr">
        <is>
          <t>NORDMALING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46237</v>
      </c>
      <c r="F363" t="inlineStr">
        <is>
          <t>VÄSTERBOTTENS LÄN</t>
        </is>
      </c>
      <c r="G363" t="inlineStr">
        <is>
          <t>NORDMALING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46237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46237</v>
      </c>
      <c r="F365" t="inlineStr">
        <is>
          <t>VÄSTERBOTTENS LÄN</t>
        </is>
      </c>
      <c r="G365" t="inlineStr">
        <is>
          <t>NORDMALING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46237</v>
      </c>
      <c r="F366" t="inlineStr">
        <is>
          <t>VÄSTERBOTTENS LÄN</t>
        </is>
      </c>
      <c r="G366" t="inlineStr">
        <is>
          <t>NORDMALING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46237</v>
      </c>
      <c r="F367" t="inlineStr">
        <is>
          <t>VÄSTERBOTTENS LÄN</t>
        </is>
      </c>
      <c r="G367" t="inlineStr">
        <is>
          <t>NORDMALING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46237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46237</v>
      </c>
      <c r="F369" t="inlineStr">
        <is>
          <t>VÄSTERBOTTENS LÄN</t>
        </is>
      </c>
      <c r="G369" t="inlineStr">
        <is>
          <t>NORDMALING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46237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44387-2023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46237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46237</v>
      </c>
      <c r="F372" t="inlineStr">
        <is>
          <t>VÄSTERBOTTENS LÄN</t>
        </is>
      </c>
      <c r="G372" t="inlineStr">
        <is>
          <t>NORDMALING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33343-2022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44788</v>
      </c>
      <c r="E373" s="1" t="n">
        <v>46237</v>
      </c>
      <c r="F373" t="inlineStr">
        <is>
          <t>VÄSTERBOTTENS LÄN</t>
        </is>
      </c>
      <c r="G373" t="inlineStr">
        <is>
          <t>NORDMALING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46237</v>
      </c>
      <c r="F374" t="inlineStr">
        <is>
          <t>VÄSTERBOTTENS LÄN</t>
        </is>
      </c>
      <c r="G374" t="inlineStr">
        <is>
          <t>NORDMALING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46237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46237</v>
      </c>
      <c r="F376" t="inlineStr">
        <is>
          <t>VÄSTERBOTTENS LÄN</t>
        </is>
      </c>
      <c r="G376" t="inlineStr">
        <is>
          <t>NORDMALING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46018</v>
      </c>
      <c r="E377" s="1" t="n">
        <v>46237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46018</v>
      </c>
      <c r="E378" s="1" t="n">
        <v>46237</v>
      </c>
      <c r="F378" t="inlineStr">
        <is>
          <t>VÄSTERBOTTENS LÄN</t>
        </is>
      </c>
      <c r="G378" t="inlineStr">
        <is>
          <t>NORDMALING</t>
        </is>
      </c>
      <c r="I378" t="n">
        <v>16.2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46237</v>
      </c>
      <c r="F379" t="inlineStr">
        <is>
          <t>VÄSTERBOTTENS LÄN</t>
        </is>
      </c>
      <c r="G379" t="inlineStr">
        <is>
          <t>NORDMALING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46237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46237</v>
      </c>
      <c r="F381" t="inlineStr">
        <is>
          <t>VÄSTERBOTTENS LÄN</t>
        </is>
      </c>
      <c r="G381" t="inlineStr">
        <is>
          <t>NORDMALING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46237</v>
      </c>
      <c r="F382" t="inlineStr">
        <is>
          <t>VÄSTERBOTTENS LÄN</t>
        </is>
      </c>
      <c r="G382" t="inlineStr">
        <is>
          <t>NORDMALING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46237</v>
      </c>
      <c r="F383" t="inlineStr">
        <is>
          <t>VÄSTERBOTTENS LÄN</t>
        </is>
      </c>
      <c r="G383" t="inlineStr">
        <is>
          <t>NORDMALING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46237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46237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46022</v>
      </c>
      <c r="E386" s="1" t="n">
        <v>46237</v>
      </c>
      <c r="F386" t="inlineStr">
        <is>
          <t>VÄSTERBOTTENS LÄN</t>
        </is>
      </c>
      <c r="G386" t="inlineStr">
        <is>
          <t>NORDMALING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46237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45622</v>
      </c>
      <c r="E388" s="1" t="n">
        <v>46237</v>
      </c>
      <c r="F388" t="inlineStr">
        <is>
          <t>VÄSTERBOTTENS LÄN</t>
        </is>
      </c>
      <c r="G388" t="inlineStr">
        <is>
          <t>NORDMALING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46028</v>
      </c>
      <c r="E389" s="1" t="n">
        <v>46237</v>
      </c>
      <c r="F389" t="inlineStr">
        <is>
          <t>VÄSTERBOTTENS LÄN</t>
        </is>
      </c>
      <c r="G389" t="inlineStr">
        <is>
          <t>NORDMALING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46237</v>
      </c>
      <c r="F390" t="inlineStr">
        <is>
          <t>VÄSTERBOTTENS LÄN</t>
        </is>
      </c>
      <c r="G390" t="inlineStr">
        <is>
          <t>NORDMALING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46237</v>
      </c>
      <c r="F391" t="inlineStr">
        <is>
          <t>VÄSTERBOTTENS LÄN</t>
        </is>
      </c>
      <c r="G391" t="inlineStr">
        <is>
          <t>NORDMALING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46237</v>
      </c>
      <c r="F392" t="inlineStr">
        <is>
          <t>VÄSTERBOTTENS LÄN</t>
        </is>
      </c>
      <c r="G392" t="inlineStr">
        <is>
          <t>NORDMALING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45061-2024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46237</v>
      </c>
      <c r="F393" t="inlineStr">
        <is>
          <t>VÄSTERBOTTENS LÄN</t>
        </is>
      </c>
      <c r="G393" t="inlineStr">
        <is>
          <t>NORDMALING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45344</v>
      </c>
      <c r="E394" s="1" t="n">
        <v>46237</v>
      </c>
      <c r="F394" t="inlineStr">
        <is>
          <t>VÄSTERBOTTENS LÄN</t>
        </is>
      </c>
      <c r="G394" t="inlineStr">
        <is>
          <t>NORDMALING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46237</v>
      </c>
      <c r="F395" t="inlineStr">
        <is>
          <t>VÄSTERBOTTENS LÄN</t>
        </is>
      </c>
      <c r="G395" t="inlineStr">
        <is>
          <t>NORDMALING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46237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46032</v>
      </c>
      <c r="E397" s="1" t="n">
        <v>46237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46237</v>
      </c>
      <c r="F398" t="inlineStr">
        <is>
          <t>VÄSTERBOTTENS LÄN</t>
        </is>
      </c>
      <c r="G398" t="inlineStr">
        <is>
          <t>NORDMALING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46237</v>
      </c>
      <c r="F399" t="inlineStr">
        <is>
          <t>VÄSTERBOTTENS LÄN</t>
        </is>
      </c>
      <c r="G399" t="inlineStr">
        <is>
          <t>NORDMALING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46237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46237</v>
      </c>
      <c r="F401" t="inlineStr">
        <is>
          <t>VÄSTERBOTTENS LÄN</t>
        </is>
      </c>
      <c r="G401" t="inlineStr">
        <is>
          <t>NORDMALING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46237</v>
      </c>
      <c r="F402" t="inlineStr">
        <is>
          <t>VÄSTERBOTTENS LÄN</t>
        </is>
      </c>
      <c r="G402" t="inlineStr">
        <is>
          <t>NORDMALING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46237</v>
      </c>
      <c r="F403" t="inlineStr">
        <is>
          <t>VÄSTERBOTTENS LÄN</t>
        </is>
      </c>
      <c r="G403" t="inlineStr">
        <is>
          <t>NORDMALING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45447</v>
      </c>
      <c r="E404" s="1" t="n">
        <v>46237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46237</v>
      </c>
      <c r="F405" t="inlineStr">
        <is>
          <t>VÄSTERBOTTENS LÄN</t>
        </is>
      </c>
      <c r="G405" t="inlineStr">
        <is>
          <t>NORDMALING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69519-2021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44531</v>
      </c>
      <c r="E406" s="1" t="n">
        <v>46237</v>
      </c>
      <c r="F406" t="inlineStr">
        <is>
          <t>VÄSTERBOTTENS LÄN</t>
        </is>
      </c>
      <c r="G406" t="inlineStr">
        <is>
          <t>NORDMALING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46237</v>
      </c>
      <c r="F407" t="inlineStr">
        <is>
          <t>VÄSTERBOTTENS LÄN</t>
        </is>
      </c>
      <c r="G407" t="inlineStr">
        <is>
          <t>NORDMALING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44968</v>
      </c>
      <c r="E408" s="1" t="n">
        <v>46237</v>
      </c>
      <c r="F408" t="inlineStr">
        <is>
          <t>VÄSTERBOTTENS LÄN</t>
        </is>
      </c>
      <c r="G408" t="inlineStr">
        <is>
          <t>NORDMALING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45141</v>
      </c>
      <c r="E409" s="1" t="n">
        <v>46237</v>
      </c>
      <c r="F409" t="inlineStr">
        <is>
          <t>VÄSTERBOTTENS LÄN</t>
        </is>
      </c>
      <c r="G409" t="inlineStr">
        <is>
          <t>NORDMALING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72018-2021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44540</v>
      </c>
      <c r="E410" s="1" t="n">
        <v>46237</v>
      </c>
      <c r="F410" t="inlineStr">
        <is>
          <t>VÄSTERBOTTENS LÄN</t>
        </is>
      </c>
      <c r="G410" t="inlineStr">
        <is>
          <t>NORDMALING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45457</v>
      </c>
      <c r="E411" s="1" t="n">
        <v>46237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46237</v>
      </c>
      <c r="F412" t="inlineStr">
        <is>
          <t>VÄSTERBOTTENS LÄN</t>
        </is>
      </c>
      <c r="G412" t="inlineStr">
        <is>
          <t>NORDMALING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46048</v>
      </c>
      <c r="E413" s="1" t="n">
        <v>46237</v>
      </c>
      <c r="F413" t="inlineStr">
        <is>
          <t>VÄSTERBOTTENS LÄN</t>
        </is>
      </c>
      <c r="G413" t="inlineStr">
        <is>
          <t>NORDMALING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46237</v>
      </c>
      <c r="F414" t="inlineStr">
        <is>
          <t>VÄSTERBOTTENS LÄN</t>
        </is>
      </c>
      <c r="G414" t="inlineStr">
        <is>
          <t>NORDMALING</t>
        </is>
      </c>
      <c r="I414" t="n">
        <v>22.4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24850-2023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45078</v>
      </c>
      <c r="E415" s="1" t="n">
        <v>46237</v>
      </c>
      <c r="F415" t="inlineStr">
        <is>
          <t>VÄSTERBOTTENS LÄN</t>
        </is>
      </c>
      <c r="G415" t="inlineStr">
        <is>
          <t>NORDMALING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46237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45180</v>
      </c>
      <c r="E417" s="1" t="n">
        <v>46237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46237</v>
      </c>
      <c r="F418" t="inlineStr">
        <is>
          <t>VÄSTERBOTTENS LÄN</t>
        </is>
      </c>
      <c r="G418" t="inlineStr">
        <is>
          <t>NORDMALING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46237</v>
      </c>
      <c r="F419" t="inlineStr">
        <is>
          <t>VÄSTERBOTTENS LÄN</t>
        </is>
      </c>
      <c r="G419" t="inlineStr">
        <is>
          <t>NORDMALING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46237</v>
      </c>
      <c r="F420" t="inlineStr">
        <is>
          <t>VÄSTERBOTTENS LÄN</t>
        </is>
      </c>
      <c r="G420" t="inlineStr">
        <is>
          <t>NORDMALING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45673</v>
      </c>
      <c r="E421" s="1" t="n">
        <v>46237</v>
      </c>
      <c r="F421" t="inlineStr">
        <is>
          <t>VÄSTERBOTTENS LÄN</t>
        </is>
      </c>
      <c r="G421" t="inlineStr">
        <is>
          <t>NORDMALING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46237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46237</v>
      </c>
      <c r="F423" t="inlineStr">
        <is>
          <t>VÄSTERBOTTENS LÄN</t>
        </is>
      </c>
      <c r="G423" t="inlineStr">
        <is>
          <t>NORDMALING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44981</v>
      </c>
      <c r="E424" s="1" t="n">
        <v>46237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46237</v>
      </c>
      <c r="F425" t="inlineStr">
        <is>
          <t>VÄSTERBOTTENS LÄN</t>
        </is>
      </c>
      <c r="G425" t="inlineStr">
        <is>
          <t>NORDMALING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46237</v>
      </c>
      <c r="F426" t="inlineStr">
        <is>
          <t>VÄSTERBOTTENS LÄN</t>
        </is>
      </c>
      <c r="G426" t="inlineStr">
        <is>
          <t>NORDMALING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45141</v>
      </c>
      <c r="E427" s="1" t="n">
        <v>46237</v>
      </c>
      <c r="F427" t="inlineStr">
        <is>
          <t>VÄSTERBOTTENS LÄN</t>
        </is>
      </c>
      <c r="G427" t="inlineStr">
        <is>
          <t>NORDMALING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46237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47516-2024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45587</v>
      </c>
      <c r="E429" s="1" t="n">
        <v>46237</v>
      </c>
      <c r="F429" t="inlineStr">
        <is>
          <t>VÄSTERBOTTENS LÄN</t>
        </is>
      </c>
      <c r="G429" t="inlineStr">
        <is>
          <t>NORDMALING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45158</v>
      </c>
      <c r="E430" s="1" t="n">
        <v>46237</v>
      </c>
      <c r="F430" t="inlineStr">
        <is>
          <t>VÄSTERBOTTENS LÄN</t>
        </is>
      </c>
      <c r="G430" t="inlineStr">
        <is>
          <t>NORDMALING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46237</v>
      </c>
      <c r="F431" t="inlineStr">
        <is>
          <t>VÄSTERBOTTENS LÄN</t>
        </is>
      </c>
      <c r="G431" t="inlineStr">
        <is>
          <t>NORDMALING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46237</v>
      </c>
      <c r="F432" t="inlineStr">
        <is>
          <t>VÄSTERBOTTENS LÄN</t>
        </is>
      </c>
      <c r="G432" t="inlineStr">
        <is>
          <t>NORDMALING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46237</v>
      </c>
      <c r="F433" t="inlineStr">
        <is>
          <t>VÄSTERBOTTENS LÄN</t>
        </is>
      </c>
      <c r="G433" t="inlineStr">
        <is>
          <t>NORDMALING</t>
        </is>
      </c>
      <c r="I433" t="n">
        <v>19.1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46237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46237</v>
      </c>
      <c r="F435" t="inlineStr">
        <is>
          <t>VÄSTERBOTTENS LÄN</t>
        </is>
      </c>
      <c r="G435" t="inlineStr">
        <is>
          <t>NORDMALING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26796-2026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46185</v>
      </c>
      <c r="E436" s="1" t="n">
        <v>46237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46237</v>
      </c>
      <c r="F437" t="inlineStr">
        <is>
          <t>VÄSTERBOTTENS LÄN</t>
        </is>
      </c>
      <c r="G437" t="inlineStr">
        <is>
          <t>NORDMALING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46237</v>
      </c>
      <c r="F438" t="inlineStr">
        <is>
          <t>VÄSTERBOTTENS LÄN</t>
        </is>
      </c>
      <c r="G438" t="inlineStr">
        <is>
          <t>NORDMALING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46237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45524</v>
      </c>
      <c r="E440" s="1" t="n">
        <v>46237</v>
      </c>
      <c r="F440" t="inlineStr">
        <is>
          <t>VÄSTERBOTTENS LÄN</t>
        </is>
      </c>
      <c r="G440" t="inlineStr">
        <is>
          <t>NORDMALING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46237</v>
      </c>
      <c r="F441" t="inlineStr">
        <is>
          <t>VÄSTERBOTTENS LÄN</t>
        </is>
      </c>
      <c r="G441" t="inlineStr">
        <is>
          <t>NORDMALING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46237</v>
      </c>
      <c r="F442" t="inlineStr">
        <is>
          <t>VÄSTERBOTTENS LÄN</t>
        </is>
      </c>
      <c r="G442" t="inlineStr">
        <is>
          <t>NORDMALING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5258-2024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46237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45525</v>
      </c>
      <c r="E444" s="1" t="n">
        <v>46237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46237</v>
      </c>
      <c r="F445" t="inlineStr">
        <is>
          <t>VÄSTERBOTTENS LÄN</t>
        </is>
      </c>
      <c r="G445" t="inlineStr">
        <is>
          <t>NORDMALING</t>
        </is>
      </c>
      <c r="I445" t="n">
        <v>20.1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45187</v>
      </c>
      <c r="E446" s="1" t="n">
        <v>46237</v>
      </c>
      <c r="F446" t="inlineStr">
        <is>
          <t>VÄSTERBOTTENS LÄN</t>
        </is>
      </c>
      <c r="G446" t="inlineStr">
        <is>
          <t>NORDMALING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46237</v>
      </c>
      <c r="F447" t="inlineStr">
        <is>
          <t>VÄSTERBOTTENS LÄN</t>
        </is>
      </c>
      <c r="G447" t="inlineStr">
        <is>
          <t>NORDMALING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46237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46237</v>
      </c>
      <c r="F449" t="inlineStr">
        <is>
          <t>VÄSTERBOTTENS LÄN</t>
        </is>
      </c>
      <c r="G449" t="inlineStr">
        <is>
          <t>NORDMALING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46237</v>
      </c>
      <c r="F450" t="inlineStr">
        <is>
          <t>VÄSTERBOTTENS LÄN</t>
        </is>
      </c>
      <c r="G450" t="inlineStr">
        <is>
          <t>NORDMALING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46237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46237</v>
      </c>
      <c r="F452" t="inlineStr">
        <is>
          <t>VÄSTERBOTTENS LÄN</t>
        </is>
      </c>
      <c r="G452" t="inlineStr">
        <is>
          <t>NORDMALING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45638</v>
      </c>
      <c r="E453" s="1" t="n">
        <v>46237</v>
      </c>
      <c r="F453" t="inlineStr">
        <is>
          <t>VÄSTERBOTTENS LÄN</t>
        </is>
      </c>
      <c r="G453" t="inlineStr">
        <is>
          <t>NORDMALING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46237</v>
      </c>
      <c r="F454" t="inlineStr">
        <is>
          <t>VÄSTERBOTTENS LÄN</t>
        </is>
      </c>
      <c r="G454" t="inlineStr">
        <is>
          <t>NORDMALING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46237</v>
      </c>
      <c r="F455" t="inlineStr">
        <is>
          <t>VÄSTERBOTTENS LÄN</t>
        </is>
      </c>
      <c r="G455" t="inlineStr">
        <is>
          <t>NORDMALING</t>
        </is>
      </c>
      <c r="I455" t="n">
        <v>11.1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46237</v>
      </c>
      <c r="F456" t="inlineStr">
        <is>
          <t>VÄSTERBOTTENS LÄN</t>
        </is>
      </c>
      <c r="G456" t="inlineStr">
        <is>
          <t>NORDMALING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46237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18232-2024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45420</v>
      </c>
      <c r="E458" s="1" t="n">
        <v>46237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45676</v>
      </c>
      <c r="E459" s="1" t="n">
        <v>46237</v>
      </c>
      <c r="F459" t="inlineStr">
        <is>
          <t>VÄSTERBOTTENS LÄN</t>
        </is>
      </c>
      <c r="G459" t="inlineStr">
        <is>
          <t>NORDMALING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46237</v>
      </c>
      <c r="F460" t="inlineStr">
        <is>
          <t>VÄSTERBOTTENS LÄN</t>
        </is>
      </c>
      <c r="G460" t="inlineStr">
        <is>
          <t>NORDMALING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21862-2024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46237</v>
      </c>
      <c r="F461" t="inlineStr">
        <is>
          <t>VÄSTERBOTTENS LÄN</t>
        </is>
      </c>
      <c r="G461" t="inlineStr">
        <is>
          <t>NORDMALING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45713</v>
      </c>
      <c r="E462" s="1" t="n">
        <v>46237</v>
      </c>
      <c r="F462" t="inlineStr">
        <is>
          <t>VÄSTERBOTTENS LÄN</t>
        </is>
      </c>
      <c r="G462" t="inlineStr">
        <is>
          <t>NORDMALING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46237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45241</v>
      </c>
      <c r="E464" s="1" t="n">
        <v>46237</v>
      </c>
      <c r="F464" t="inlineStr">
        <is>
          <t>VÄSTERBOTTENS LÄN</t>
        </is>
      </c>
      <c r="G464" t="inlineStr">
        <is>
          <t>NORDMALING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44854</v>
      </c>
      <c r="E465" s="1" t="n">
        <v>46237</v>
      </c>
      <c r="F465" t="inlineStr">
        <is>
          <t>VÄSTERBOTTENS LÄN</t>
        </is>
      </c>
      <c r="G465" t="inlineStr">
        <is>
          <t>NORDMALING</t>
        </is>
      </c>
      <c r="I465" t="n">
        <v>10.5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48940-2022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44859</v>
      </c>
      <c r="E466" s="1" t="n">
        <v>46237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46237</v>
      </c>
      <c r="F467" t="inlineStr">
        <is>
          <t>VÄSTERBOTTENS LÄN</t>
        </is>
      </c>
      <c r="G467" t="inlineStr">
        <is>
          <t>NORDMALING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46237</v>
      </c>
      <c r="F468" t="inlineStr">
        <is>
          <t>VÄSTERBOTTENS LÄN</t>
        </is>
      </c>
      <c r="G468" t="inlineStr">
        <is>
          <t>NORDMALING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45568</v>
      </c>
      <c r="E469" s="1" t="n">
        <v>46237</v>
      </c>
      <c r="F469" t="inlineStr">
        <is>
          <t>VÄSTERBOTTENS LÄN</t>
        </is>
      </c>
      <c r="G469" t="inlineStr">
        <is>
          <t>NORDMALING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72841-2021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44547</v>
      </c>
      <c r="E470" s="1" t="n">
        <v>46237</v>
      </c>
      <c r="F470" t="inlineStr">
        <is>
          <t>VÄSTERBOTTENS LÄN</t>
        </is>
      </c>
      <c r="G470" t="inlineStr">
        <is>
          <t>NORDMALING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45638</v>
      </c>
      <c r="E471" s="1" t="n">
        <v>46237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46237</v>
      </c>
      <c r="F472" t="inlineStr">
        <is>
          <t>VÄSTERBOTTENS LÄN</t>
        </is>
      </c>
      <c r="G472" t="inlineStr">
        <is>
          <t>NORDMALING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33612-2022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44789</v>
      </c>
      <c r="E473" s="1" t="n">
        <v>46237</v>
      </c>
      <c r="F473" t="inlineStr">
        <is>
          <t>VÄSTERBOTTENS LÄN</t>
        </is>
      </c>
      <c r="G473" t="inlineStr">
        <is>
          <t>NORDMALING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46237</v>
      </c>
      <c r="F474" t="inlineStr">
        <is>
          <t>VÄSTERBOTTENS LÄN</t>
        </is>
      </c>
      <c r="G474" t="inlineStr">
        <is>
          <t>NORDMALING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46237</v>
      </c>
      <c r="F475" t="inlineStr">
        <is>
          <t>VÄSTERBOTTENS LÄN</t>
        </is>
      </c>
      <c r="G475" t="inlineStr">
        <is>
          <t>NORDMALING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46237</v>
      </c>
      <c r="F476" t="inlineStr">
        <is>
          <t>VÄSTERBOTTENS LÄN</t>
        </is>
      </c>
      <c r="G476" t="inlineStr">
        <is>
          <t>NORDMALING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46237</v>
      </c>
      <c r="F477" t="inlineStr">
        <is>
          <t>VÄSTERBOTTENS LÄN</t>
        </is>
      </c>
      <c r="G477" t="inlineStr">
        <is>
          <t>NORDMALING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46237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45139</v>
      </c>
      <c r="E479" s="1" t="n">
        <v>46237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46237</v>
      </c>
      <c r="F480" t="inlineStr">
        <is>
          <t>VÄSTERBOTTENS LÄN</t>
        </is>
      </c>
      <c r="G480" t="inlineStr">
        <is>
          <t>NORDMALING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45775</v>
      </c>
      <c r="E481" s="1" t="n">
        <v>46237</v>
      </c>
      <c r="F481" t="inlineStr">
        <is>
          <t>VÄSTERBOTTENS LÄN</t>
        </is>
      </c>
      <c r="G481" t="inlineStr">
        <is>
          <t>NORDMALING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45664</v>
      </c>
      <c r="E482" s="1" t="n">
        <v>46237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45429</v>
      </c>
      <c r="E483" s="1" t="n">
        <v>46237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45764</v>
      </c>
      <c r="E484" s="1" t="n">
        <v>46237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55305-2023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46237</v>
      </c>
      <c r="F485" t="inlineStr">
        <is>
          <t>VÄSTERBOTTENS LÄN</t>
        </is>
      </c>
      <c r="G485" t="inlineStr">
        <is>
          <t>NORDMALING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46237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46237</v>
      </c>
      <c r="F487" t="inlineStr">
        <is>
          <t>VÄSTERBOTTENS LÄN</t>
        </is>
      </c>
      <c r="G487" t="inlineStr">
        <is>
          <t>NORDMALING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15963-2026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46237</v>
      </c>
      <c r="F488" t="inlineStr">
        <is>
          <t>VÄSTERBOTTENS LÄN</t>
        </is>
      </c>
      <c r="G488" t="inlineStr">
        <is>
          <t>NORDMALING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46237</v>
      </c>
      <c r="F489" t="inlineStr">
        <is>
          <t>VÄSTERBOTTENS LÄN</t>
        </is>
      </c>
      <c r="G489" t="inlineStr">
        <is>
          <t>NORDMALING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46237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46237</v>
      </c>
      <c r="F491" t="inlineStr">
        <is>
          <t>VÄSTERBOTTENS LÄN</t>
        </is>
      </c>
      <c r="G491" t="inlineStr">
        <is>
          <t>NORDMALING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46237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46237</v>
      </c>
      <c r="F493" t="inlineStr">
        <is>
          <t>VÄSTERBOTTENS LÄN</t>
        </is>
      </c>
      <c r="G493" t="inlineStr">
        <is>
          <t>NORDMALING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46116</v>
      </c>
      <c r="E494" s="1" t="n">
        <v>46237</v>
      </c>
      <c r="F494" t="inlineStr">
        <is>
          <t>VÄSTERBOTTENS LÄN</t>
        </is>
      </c>
      <c r="G494" t="inlineStr">
        <is>
          <t>NORDMALING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45665</v>
      </c>
      <c r="E495" s="1" t="n">
        <v>46237</v>
      </c>
      <c r="F495" t="inlineStr">
        <is>
          <t>VÄSTERBOTTENS LÄN</t>
        </is>
      </c>
      <c r="G495" t="inlineStr">
        <is>
          <t>NORDMALING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46237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37548-2023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45158</v>
      </c>
      <c r="E497" s="1" t="n">
        <v>46237</v>
      </c>
      <c r="F497" t="inlineStr">
        <is>
          <t>VÄSTERBOTTENS LÄN</t>
        </is>
      </c>
      <c r="G497" t="inlineStr">
        <is>
          <t>NORDMALING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45770</v>
      </c>
      <c r="E498" s="1" t="n">
        <v>46237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46237</v>
      </c>
      <c r="F499" t="inlineStr">
        <is>
          <t>VÄSTERBOTTENS LÄN</t>
        </is>
      </c>
      <c r="G499" t="inlineStr">
        <is>
          <t>NORDMALING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46237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45030</v>
      </c>
      <c r="E501" s="1" t="n">
        <v>46237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46237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21736-2025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46237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46237</v>
      </c>
      <c r="F504" t="inlineStr">
        <is>
          <t>VÄSTERBOTTENS LÄN</t>
        </is>
      </c>
      <c r="G504" t="inlineStr">
        <is>
          <t>NORDMALING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46237</v>
      </c>
      <c r="F505" t="inlineStr">
        <is>
          <t>VÄSTERBOTTENS LÄN</t>
        </is>
      </c>
      <c r="G505" t="inlineStr">
        <is>
          <t>NORDMALING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18839-2026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46129</v>
      </c>
      <c r="E506" s="1" t="n">
        <v>46237</v>
      </c>
      <c r="F506" t="inlineStr">
        <is>
          <t>VÄSTERBOTTENS LÄN</t>
        </is>
      </c>
      <c r="G506" t="inlineStr">
        <is>
          <t>NORDMALING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46237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46237</v>
      </c>
      <c r="F508" t="inlineStr">
        <is>
          <t>VÄSTERBOTTENS LÄN</t>
        </is>
      </c>
      <c r="G508" t="inlineStr">
        <is>
          <t>NORDMALING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46237</v>
      </c>
      <c r="F509" t="inlineStr">
        <is>
          <t>VÄSTERBOTTENS LÄN</t>
        </is>
      </c>
      <c r="G509" t="inlineStr">
        <is>
          <t>NORDMALING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46237</v>
      </c>
      <c r="F510" t="inlineStr">
        <is>
          <t>VÄSTERBOTTENS LÄN</t>
        </is>
      </c>
      <c r="G510" t="inlineStr">
        <is>
          <t>NORDMALING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44756</v>
      </c>
      <c r="E511" s="1" t="n">
        <v>46237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46237</v>
      </c>
      <c r="F512" t="inlineStr">
        <is>
          <t>VÄSTERBOTTENS LÄN</t>
        </is>
      </c>
      <c r="G512" t="inlineStr">
        <is>
          <t>NORDMALING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46237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61795-2023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45265</v>
      </c>
      <c r="E514" s="1" t="n">
        <v>46237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46237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61616-2023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45261</v>
      </c>
      <c r="E516" s="1" t="n">
        <v>46237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46135</v>
      </c>
      <c r="E517" s="1" t="n">
        <v>46237</v>
      </c>
      <c r="F517" t="inlineStr">
        <is>
          <t>VÄSTERBOTTENS LÄN</t>
        </is>
      </c>
      <c r="G517" t="inlineStr">
        <is>
          <t>NORDMALING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46237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46237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46237</v>
      </c>
      <c r="F520" t="inlineStr">
        <is>
          <t>VÄSTERBOTTENS LÄN</t>
        </is>
      </c>
      <c r="G520" t="inlineStr">
        <is>
          <t>NORDMALING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46237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44816</v>
      </c>
      <c r="E522" s="1" t="n">
        <v>46237</v>
      </c>
      <c r="F522" t="inlineStr">
        <is>
          <t>VÄSTERBOTTENS LÄN</t>
        </is>
      </c>
      <c r="G522" t="inlineStr">
        <is>
          <t>NORDMALING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44902</v>
      </c>
      <c r="E523" s="1" t="n">
        <v>46237</v>
      </c>
      <c r="F523" t="inlineStr">
        <is>
          <t>VÄSTERBOTTENS LÄN</t>
        </is>
      </c>
      <c r="G523" t="inlineStr">
        <is>
          <t>NORDMALING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46237</v>
      </c>
      <c r="F524" t="inlineStr">
        <is>
          <t>VÄSTERBOTTENS LÄN</t>
        </is>
      </c>
      <c r="G524" t="inlineStr">
        <is>
          <t>NORDMALING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46237</v>
      </c>
      <c r="F525" t="inlineStr">
        <is>
          <t>VÄSTERBOTTENS LÄN</t>
        </is>
      </c>
      <c r="G525" t="inlineStr">
        <is>
          <t>NORDMALING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45866</v>
      </c>
      <c r="E526" s="1" t="n">
        <v>46237</v>
      </c>
      <c r="F526" t="inlineStr">
        <is>
          <t>VÄSTERBOTTENS LÄN</t>
        </is>
      </c>
      <c r="G526" t="inlineStr">
        <is>
          <t>NORDMALING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45036</v>
      </c>
      <c r="E527" s="1" t="n">
        <v>46237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46237</v>
      </c>
      <c r="F528" t="inlineStr">
        <is>
          <t>VÄSTERBOTTENS LÄN</t>
        </is>
      </c>
      <c r="G528" t="inlineStr">
        <is>
          <t>NORDMALING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45877</v>
      </c>
      <c r="E529" s="1" t="n">
        <v>46237</v>
      </c>
      <c r="F529" t="inlineStr">
        <is>
          <t>VÄSTERBOTTENS LÄN</t>
        </is>
      </c>
      <c r="G529" t="inlineStr">
        <is>
          <t>NORDMALING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46237</v>
      </c>
      <c r="F530" t="inlineStr">
        <is>
          <t>VÄSTERBOTTENS LÄN</t>
        </is>
      </c>
      <c r="G530" t="inlineStr">
        <is>
          <t>NORDMALING</t>
        </is>
      </c>
      <c r="I530" t="n">
        <v>11.9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44938</v>
      </c>
      <c r="E531" s="1" t="n">
        <v>46237</v>
      </c>
      <c r="F531" t="inlineStr">
        <is>
          <t>VÄSTERBOTTENS LÄN</t>
        </is>
      </c>
      <c r="G531" t="inlineStr">
        <is>
          <t>NORDMALING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45736</v>
      </c>
      <c r="E532" s="1" t="n">
        <v>46237</v>
      </c>
      <c r="F532" t="inlineStr">
        <is>
          <t>VÄSTERBOTTENS LÄN</t>
        </is>
      </c>
      <c r="G532" t="inlineStr">
        <is>
          <t>NORDMALING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46237</v>
      </c>
      <c r="F533" t="inlineStr">
        <is>
          <t>VÄSTERBOTTENS LÄN</t>
        </is>
      </c>
      <c r="G533" t="inlineStr">
        <is>
          <t>NORDMALING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46237</v>
      </c>
      <c r="F534" t="inlineStr">
        <is>
          <t>VÄSTERBOTTENS LÄN</t>
        </is>
      </c>
      <c r="G534" t="inlineStr">
        <is>
          <t>NORDMALING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46237</v>
      </c>
      <c r="F535" t="inlineStr">
        <is>
          <t>VÄSTERBOTTENS LÄN</t>
        </is>
      </c>
      <c r="G535" t="inlineStr">
        <is>
          <t>NORDMALING</t>
        </is>
      </c>
      <c r="I535" t="n">
        <v>20.3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46237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46237</v>
      </c>
      <c r="F537" t="inlineStr">
        <is>
          <t>VÄSTERBOTTENS LÄN</t>
        </is>
      </c>
      <c r="G537" t="inlineStr">
        <is>
          <t>NORDMALING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46237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8103-2025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45707</v>
      </c>
      <c r="E539" s="1" t="n">
        <v>46237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45505</v>
      </c>
      <c r="E540" s="1" t="n">
        <v>46237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45796</v>
      </c>
      <c r="E541" s="1" t="n">
        <v>46237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45536</v>
      </c>
      <c r="E542" s="1" t="n">
        <v>46237</v>
      </c>
      <c r="F542" t="inlineStr">
        <is>
          <t>VÄSTERBOTTENS LÄN</t>
        </is>
      </c>
      <c r="G542" t="inlineStr">
        <is>
          <t>NORDMALING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46237</v>
      </c>
      <c r="F543" t="inlineStr">
        <is>
          <t>VÄSTERBOTTENS LÄN</t>
        </is>
      </c>
      <c r="G543" t="inlineStr">
        <is>
          <t>NORDMALING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45699</v>
      </c>
      <c r="E544" s="1" t="n">
        <v>46237</v>
      </c>
      <c r="F544" t="inlineStr">
        <is>
          <t>VÄSTERBOTTENS LÄN</t>
        </is>
      </c>
      <c r="G544" t="inlineStr">
        <is>
          <t>NORDMALING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45433</v>
      </c>
      <c r="E545" s="1" t="n">
        <v>46237</v>
      </c>
      <c r="F545" t="inlineStr">
        <is>
          <t>VÄSTERBOTTENS LÄN</t>
        </is>
      </c>
      <c r="G545" t="inlineStr">
        <is>
          <t>NORDMALING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25074-2025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45799</v>
      </c>
      <c r="E546" s="1" t="n">
        <v>46237</v>
      </c>
      <c r="F546" t="inlineStr">
        <is>
          <t>VÄSTERBOTTENS LÄN</t>
        </is>
      </c>
      <c r="G546" t="inlineStr">
        <is>
          <t>NORDMALING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46237</v>
      </c>
      <c r="F547" t="inlineStr">
        <is>
          <t>VÄSTERBOTTENS LÄN</t>
        </is>
      </c>
      <c r="G547" t="inlineStr">
        <is>
          <t>NORDMALING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46237</v>
      </c>
      <c r="F548" t="inlineStr">
        <is>
          <t>VÄSTERBOTTENS LÄN</t>
        </is>
      </c>
      <c r="G548" t="inlineStr">
        <is>
          <t>NORDMALING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46237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29576-2025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45825</v>
      </c>
      <c r="E550" s="1" t="n">
        <v>46237</v>
      </c>
      <c r="F550" t="inlineStr">
        <is>
          <t>VÄSTERBOTTENS LÄN</t>
        </is>
      </c>
      <c r="G550" t="inlineStr">
        <is>
          <t>NORDMALING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29606-2025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45825</v>
      </c>
      <c r="E551" s="1" t="n">
        <v>46237</v>
      </c>
      <c r="F551" t="inlineStr">
        <is>
          <t>VÄSTERBOTTENS LÄN</t>
        </is>
      </c>
      <c r="G551" t="inlineStr">
        <is>
          <t>NORDMALING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46237</v>
      </c>
      <c r="F552" t="inlineStr">
        <is>
          <t>VÄSTERBOTTENS LÄN</t>
        </is>
      </c>
      <c r="G552" t="inlineStr">
        <is>
          <t>NORDMALING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46237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46237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46237</v>
      </c>
      <c r="F555" t="inlineStr">
        <is>
          <t>VÄSTERBOTTENS LÄN</t>
        </is>
      </c>
      <c r="G555" t="inlineStr">
        <is>
          <t>NORDMALING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46237</v>
      </c>
      <c r="F556" t="inlineStr">
        <is>
          <t>VÄSTERBOTTENS LÄN</t>
        </is>
      </c>
      <c r="G556" t="inlineStr">
        <is>
          <t>NORDMALING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46237</v>
      </c>
      <c r="F557" t="inlineStr">
        <is>
          <t>VÄSTERBOTTENS LÄN</t>
        </is>
      </c>
      <c r="G557" t="inlineStr">
        <is>
          <t>NORDMALING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45842</v>
      </c>
      <c r="E558" s="1" t="n">
        <v>46237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46237</v>
      </c>
      <c r="F559" t="inlineStr">
        <is>
          <t>VÄSTERBOTTENS LÄN</t>
        </is>
      </c>
      <c r="G559" t="inlineStr">
        <is>
          <t>NORDMALING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45849</v>
      </c>
      <c r="E560" s="1" t="n">
        <v>46237</v>
      </c>
      <c r="F560" t="inlineStr">
        <is>
          <t>VÄSTERBOTTENS LÄN</t>
        </is>
      </c>
      <c r="G560" t="inlineStr">
        <is>
          <t>NORDMALING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46237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45470</v>
      </c>
      <c r="E562" s="1" t="n">
        <v>46237</v>
      </c>
      <c r="F562" t="inlineStr">
        <is>
          <t>VÄSTERBOTTENS LÄN</t>
        </is>
      </c>
      <c r="G562" t="inlineStr">
        <is>
          <t>NORDMALING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36077-2025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45866</v>
      </c>
      <c r="E563" s="1" t="n">
        <v>46237</v>
      </c>
      <c r="F563" t="inlineStr">
        <is>
          <t>VÄSTERBOTTENS LÄN</t>
        </is>
      </c>
      <c r="G563" t="inlineStr">
        <is>
          <t>NORDMALING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45867</v>
      </c>
      <c r="E564" s="1" t="n">
        <v>46237</v>
      </c>
      <c r="F564" t="inlineStr">
        <is>
          <t>VÄSTERBOTTENS LÄN</t>
        </is>
      </c>
      <c r="G564" t="inlineStr">
        <is>
          <t>NORDMALING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46237</v>
      </c>
      <c r="F565" t="inlineStr">
        <is>
          <t>VÄSTERBOTTENS LÄN</t>
        </is>
      </c>
      <c r="G565" t="inlineStr">
        <is>
          <t>NORDMALING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44603</v>
      </c>
      <c r="E566" s="1" t="n">
        <v>46237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183.1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11-2022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44559</v>
      </c>
      <c r="E567" s="1" t="n">
        <v>46237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Holmen skog AB</t>
        </is>
      </c>
      <c r="I567" t="n">
        <v>18.8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3963-2024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45567</v>
      </c>
      <c r="E568" s="1" t="n">
        <v>46237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8278-2021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44489</v>
      </c>
      <c r="E569" s="1" t="n">
        <v>46237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73-2025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45667</v>
      </c>
      <c r="E570" s="1" t="n">
        <v>46237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9259-2021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44517</v>
      </c>
      <c r="E571" s="1" t="n">
        <v>46237</v>
      </c>
      <c r="F571" t="inlineStr">
        <is>
          <t>VÄSTERBOTTENS LÄN</t>
        </is>
      </c>
      <c r="G571" t="inlineStr">
        <is>
          <t>NORDMALING</t>
        </is>
      </c>
      <c r="I571" t="n">
        <v>17.8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4194-2023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45250</v>
      </c>
      <c r="E572" s="1" t="n">
        <v>46237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27.6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5071-2024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45638</v>
      </c>
      <c r="E573" s="1" t="n">
        <v>46237</v>
      </c>
      <c r="F573" t="inlineStr">
        <is>
          <t>VÄSTERBOTTENS LÄN</t>
        </is>
      </c>
      <c r="G573" t="inlineStr">
        <is>
          <t>NORDMALING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1247-2025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45762</v>
      </c>
      <c r="E574" s="1" t="n">
        <v>46237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46237</v>
      </c>
      <c r="F575" t="inlineStr">
        <is>
          <t>VÄSTERBOTTENS LÄN</t>
        </is>
      </c>
      <c r="G575" t="inlineStr">
        <is>
          <t>NORDMALING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440-2026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46070</v>
      </c>
      <c r="E576" s="1" t="n">
        <v>46237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Holmen skog AB</t>
        </is>
      </c>
      <c r="I576" t="n">
        <v>73.59999999999999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443-2026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46071</v>
      </c>
      <c r="E577" s="1" t="n">
        <v>46237</v>
      </c>
      <c r="F577" t="inlineStr">
        <is>
          <t>VÄSTERBOTTENS LÄN</t>
        </is>
      </c>
      <c r="G577" t="inlineStr">
        <is>
          <t>NORDMALING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445-2026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46237</v>
      </c>
      <c r="F578" t="inlineStr">
        <is>
          <t>VÄSTERBOTTENS LÄN</t>
        </is>
      </c>
      <c r="G578" t="inlineStr">
        <is>
          <t>NORDMALING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444-2026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46237</v>
      </c>
      <c r="F579" t="inlineStr">
        <is>
          <t>VÄSTERBOTTENS LÄN</t>
        </is>
      </c>
      <c r="G579" t="inlineStr">
        <is>
          <t>NORDMALING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46135</v>
      </c>
      <c r="E580" s="1" t="n">
        <v>46237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1299-2026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46148</v>
      </c>
      <c r="E581" s="1" t="n">
        <v>46237</v>
      </c>
      <c r="F581" t="inlineStr">
        <is>
          <t>VÄSTERBOTTENS LÄN</t>
        </is>
      </c>
      <c r="G581" t="inlineStr">
        <is>
          <t>NORDMALING</t>
        </is>
      </c>
      <c r="I581" t="n">
        <v>17.6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2026-08-03T01:56:45Z</dcterms:created>
  <dcterms:modified xmlns:dcterms="http://purl.org/dc/terms/" xmlns:xsi="http://www.w3.org/2001/XMLSchema-instance" xsi:type="dcterms:W3CDTF">2026-08-03T01:56:46Z</dcterms:modified>
</cp:coreProperties>
</file>