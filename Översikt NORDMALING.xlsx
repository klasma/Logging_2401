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46291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46291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46291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46291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46291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46291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46291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46291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46291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46291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46291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46291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46291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46291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46291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46291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46291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46291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46291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46291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46291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46291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46291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46291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46291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46291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46291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46291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46291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46291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46291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46291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46291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46291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46291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46291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9717-2026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46072</v>
      </c>
      <c r="E46" s="1" t="n">
        <v>46291</v>
      </c>
      <c r="F46" t="inlineStr">
        <is>
          <t>VÄSTERBOTTENS LÄN</t>
        </is>
      </c>
      <c r="G46" t="inlineStr">
        <is>
          <t>NORDMALING</t>
        </is>
      </c>
      <c r="I46" t="n">
        <v>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HYPERLINK("https://klasma.github.io/Logging_2401/artfynd/A 9717-2026 artfynd.xlsx", "A 9717-2026")</f>
        <v/>
      </c>
      <c r="X46">
        <f>HYPERLINK("https://klasma.github.io/Logging_2401/kartor/A 9717-2026 karta.png", "A 9717-2026")</f>
        <v/>
      </c>
      <c r="Y46">
        <f>HYPERLINK("https://klasma.github.io/Logging_2401/kartor_geotiff/A 9717-2026 georefererad karta.tif", "A 9717-2026")</f>
        <v/>
      </c>
      <c r="AA46">
        <f>HYPERLINK("https://klasma.github.io/Logging_2401/klagomål/A 9717-2026 FSC-klagomål.docx", "A 9717-2026")</f>
        <v/>
      </c>
      <c r="AB46">
        <f>HYPERLINK("https://klasma.github.io/Logging_2401/klagomålsmail/A 9717-2026 FSC-klagomål mail.docx", "A 9717-2026")</f>
        <v/>
      </c>
      <c r="AC46">
        <f>HYPERLINK("https://klasma.github.io/Logging_2401/tillsyn/A 9717-2026 tillsynsbegäran.docx", "A 9717-2026")</f>
        <v/>
      </c>
      <c r="AD46">
        <f>HYPERLINK("https://klasma.github.io/Logging_2401/tillsynsmail/A 9717-2026 tillsynsbegäran mail.docx", "A 9717-2026")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46291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46291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46291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46291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29323-2025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46291</v>
      </c>
      <c r="F51" t="inlineStr">
        <is>
          <t>VÄSTERBOTTENS LÄN</t>
        </is>
      </c>
      <c r="G51" t="inlineStr">
        <is>
          <t>NORDMALING</t>
        </is>
      </c>
      <c r="I51" t="n">
        <v>2.9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HYPERLINK("https://klasma.github.io/Logging_2401/artfynd/A 29323-2025 artfynd.xlsx", "A 29323-2025")</f>
        <v/>
      </c>
      <c r="X51">
        <f>HYPERLINK("https://klasma.github.io/Logging_2401/kartor/A 29323-2025 karta.png", "A 29323-2025")</f>
        <v/>
      </c>
      <c r="Y51">
        <f>HYPERLINK("https://klasma.github.io/Logging_2401/kartor_geotiff/A 29323-2025 georefererad karta.tif", "A 29323-2025")</f>
        <v/>
      </c>
      <c r="AA51">
        <f>HYPERLINK("https://klasma.github.io/Logging_2401/klagomål/A 29323-2025 FSC-klagomål.docx", "A 29323-2025")</f>
        <v/>
      </c>
      <c r="AB51">
        <f>HYPERLINK("https://klasma.github.io/Logging_2401/klagomålsmail/A 29323-2025 FSC-klagomål mail.docx", "A 29323-2025")</f>
        <v/>
      </c>
      <c r="AC51">
        <f>HYPERLINK("https://klasma.github.io/Logging_2401/tillsyn/A 29323-2025 tillsynsbegäran.docx", "A 29323-2025")</f>
        <v/>
      </c>
      <c r="AD51">
        <f>HYPERLINK("https://klasma.github.io/Logging_2401/tillsynsmail/A 29323-2025 tillsynsbegäran mail.docx", "A 29323-2025")</f>
        <v/>
      </c>
    </row>
    <row r="52" ht="15" customHeight="1">
      <c r="A52" t="inlineStr">
        <is>
          <t>A 61867-2024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45651</v>
      </c>
      <c r="E52" s="1" t="n">
        <v>46291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HYPERLINK("https://klasma.github.io/Logging_2401/artfynd/A 61867-2024 artfynd.xlsx", "A 61867-2024")</f>
        <v/>
      </c>
      <c r="X52">
        <f>HYPERLINK("https://klasma.github.io/Logging_2401/kartor/A 61867-2024 karta.png", "A 61867-2024")</f>
        <v/>
      </c>
      <c r="Y52">
        <f>HYPERLINK("https://klasma.github.io/Logging_2401/kartor_geotiff/A 61867-2024 georefererad karta.tif", "A 61867-2024")</f>
        <v/>
      </c>
      <c r="AA52">
        <f>HYPERLINK("https://klasma.github.io/Logging_2401/klagomål/A 61867-2024 FSC-klagomål.docx", "A 61867-2024")</f>
        <v/>
      </c>
      <c r="AB52">
        <f>HYPERLINK("https://klasma.github.io/Logging_2401/klagomålsmail/A 61867-2024 FSC-klagomål mail.docx", "A 61867-2024")</f>
        <v/>
      </c>
      <c r="AC52">
        <f>HYPERLINK("https://klasma.github.io/Logging_2401/tillsyn/A 61867-2024 tillsynsbegäran.docx", "A 61867-2024")</f>
        <v/>
      </c>
      <c r="AD52">
        <f>HYPERLINK("https://klasma.github.io/Logging_2401/tillsynsmail/A 61867-2024 tillsynsbegäran mail.docx", "A 61867-2024")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46291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46291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30921-2026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46291</v>
      </c>
      <c r="F55" t="inlineStr">
        <is>
          <t>VÄSTERBOTTENS LÄN</t>
        </is>
      </c>
      <c r="G55" t="inlineStr">
        <is>
          <t>NORDMALING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HYPERLINK("https://klasma.github.io/Logging_2401/artfynd/A 30921-2026 artfynd.xlsx", "A 30921-2026")</f>
        <v/>
      </c>
      <c r="X55">
        <f>HYPERLINK("https://klasma.github.io/Logging_2401/kartor/A 30921-2026 karta.png", "A 30921-2026")</f>
        <v/>
      </c>
      <c r="Y55">
        <f>HYPERLINK("https://klasma.github.io/Logging_2401/kartor_geotiff/A 30921-2026 georefererad karta.tif", "A 30921-2026")</f>
        <v/>
      </c>
      <c r="AA55">
        <f>HYPERLINK("https://klasma.github.io/Logging_2401/klagomål/A 30921-2026 FSC-klagomål.docx", "A 30921-2026")</f>
        <v/>
      </c>
      <c r="AB55">
        <f>HYPERLINK("https://klasma.github.io/Logging_2401/klagomålsmail/A 30921-2026 FSC-klagomål mail.docx", "A 30921-2026")</f>
        <v/>
      </c>
      <c r="AC55">
        <f>HYPERLINK("https://klasma.github.io/Logging_2401/tillsyn/A 30921-2026 tillsynsbegäran.docx", "A 30921-2026")</f>
        <v/>
      </c>
      <c r="AD55">
        <f>HYPERLINK("https://klasma.github.io/Logging_2401/tillsynsmail/A 30921-2026 tillsynsbegäran mail.docx", "A 30921-2026")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46291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37546-2023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46291</v>
      </c>
      <c r="F57" t="inlineStr">
        <is>
          <t>VÄSTERBOTTENS LÄN</t>
        </is>
      </c>
      <c r="G57" t="inlineStr">
        <is>
          <t>NORDMALING</t>
        </is>
      </c>
      <c r="I57" t="n">
        <v>4.7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HYPERLINK("https://klasma.github.io/Logging_2401/artfynd/A 37546-2023 artfynd.xlsx", "A 37546-2023")</f>
        <v/>
      </c>
      <c r="X57">
        <f>HYPERLINK("https://klasma.github.io/Logging_2401/kartor/A 37546-2023 karta.png", "A 37546-2023")</f>
        <v/>
      </c>
      <c r="Y57">
        <f>HYPERLINK("https://klasma.github.io/Logging_2401/kartor_geotiff/A 37546-2023 georefererad karta.tif", "A 37546-2023")</f>
        <v/>
      </c>
      <c r="AA57">
        <f>HYPERLINK("https://klasma.github.io/Logging_2401/klagomål/A 37546-2023 FSC-klagomål.docx", "A 37546-2023")</f>
        <v/>
      </c>
      <c r="AB57">
        <f>HYPERLINK("https://klasma.github.io/Logging_2401/klagomålsmail/A 37546-2023 FSC-klagomål mail.docx", "A 37546-2023")</f>
        <v/>
      </c>
      <c r="AC57">
        <f>HYPERLINK("https://klasma.github.io/Logging_2401/tillsyn/A 37546-2023 tillsynsbegäran.docx", "A 37546-2023")</f>
        <v/>
      </c>
      <c r="AD57">
        <f>HYPERLINK("https://klasma.github.io/Logging_2401/tillsynsmail/A 37546-2023 tillsynsbegäran mail.docx", "A 37546-2023")</f>
        <v/>
      </c>
    </row>
    <row r="58" ht="15" customHeight="1">
      <c r="A58" t="inlineStr">
        <is>
          <t>A 54893-2024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46291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Gammelgransskål</t>
        </is>
      </c>
      <c r="W58">
        <f>HYPERLINK("https://klasma.github.io/Logging_2401/artfynd/A 54893-2024 artfynd.xlsx", "A 54893-2024")</f>
        <v/>
      </c>
      <c r="X58">
        <f>HYPERLINK("https://klasma.github.io/Logging_2401/kartor/A 54893-2024 karta.png", "A 54893-2024")</f>
        <v/>
      </c>
      <c r="Y58">
        <f>HYPERLINK("https://klasma.github.io/Logging_2401/kartor_geotiff/A 54893-2024 georefererad karta.tif", "A 54893-2024")</f>
        <v/>
      </c>
      <c r="AA58">
        <f>HYPERLINK("https://klasma.github.io/Logging_2401/klagomål/A 54893-2024 FSC-klagomål.docx", "A 54893-2024")</f>
        <v/>
      </c>
      <c r="AB58">
        <f>HYPERLINK("https://klasma.github.io/Logging_2401/klagomålsmail/A 54893-2024 FSC-klagomål mail.docx", "A 54893-2024")</f>
        <v/>
      </c>
      <c r="AC58">
        <f>HYPERLINK("https://klasma.github.io/Logging_2401/tillsyn/A 54893-2024 tillsynsbegäran.docx", "A 54893-2024")</f>
        <v/>
      </c>
      <c r="AD58">
        <f>HYPERLINK("https://klasma.github.io/Logging_2401/tillsynsmail/A 54893-2024 tillsynsbegäran mail.docx", "A 54893-2024")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46291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46291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46291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46291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46291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46291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46291</v>
      </c>
      <c r="F65" t="inlineStr">
        <is>
          <t>VÄSTERBOTTENS LÄN</t>
        </is>
      </c>
      <c r="G65" t="inlineStr">
        <is>
          <t>NORDMALING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46291</v>
      </c>
      <c r="F66" t="inlineStr">
        <is>
          <t>VÄSTERBOTTENS LÄN</t>
        </is>
      </c>
      <c r="G66" t="inlineStr">
        <is>
          <t>NORDMALING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48943-2022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44859</v>
      </c>
      <c r="E67" s="1" t="n">
        <v>46291</v>
      </c>
      <c r="F67" t="inlineStr">
        <is>
          <t>VÄSTERBOTTENS LÄN</t>
        </is>
      </c>
      <c r="G67" t="inlineStr">
        <is>
          <t>NORDMALING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46291</v>
      </c>
      <c r="F68" t="inlineStr">
        <is>
          <t>VÄSTERBOTTENS LÄN</t>
        </is>
      </c>
      <c r="G68" t="inlineStr">
        <is>
          <t>NORDMALING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46291</v>
      </c>
      <c r="F69" t="inlineStr">
        <is>
          <t>VÄSTERBOTTENS LÄN</t>
        </is>
      </c>
      <c r="G69" t="inlineStr">
        <is>
          <t>NORDMALING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51005-2022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46291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44867</v>
      </c>
      <c r="E71" s="1" t="n">
        <v>46291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51356-2022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44866</v>
      </c>
      <c r="E72" s="1" t="n">
        <v>46291</v>
      </c>
      <c r="F72" t="inlineStr">
        <is>
          <t>VÄSTERBOTTENS LÄN</t>
        </is>
      </c>
      <c r="G72" t="inlineStr">
        <is>
          <t>NORDMALING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44859</v>
      </c>
      <c r="E73" s="1" t="n">
        <v>46291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44744</v>
      </c>
      <c r="E74" s="1" t="n">
        <v>46291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48942-2022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46291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44859</v>
      </c>
      <c r="E76" s="1" t="n">
        <v>46291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43139-2022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46291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46291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44651</v>
      </c>
      <c r="E79" s="1" t="n">
        <v>46291</v>
      </c>
      <c r="F79" t="inlineStr">
        <is>
          <t>VÄSTERBOTTENS LÄN</t>
        </is>
      </c>
      <c r="G79" t="inlineStr">
        <is>
          <t>NORDMALING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46291</v>
      </c>
      <c r="F80" t="inlineStr">
        <is>
          <t>VÄSTERBOTTENS LÄN</t>
        </is>
      </c>
      <c r="G80" t="inlineStr">
        <is>
          <t>NORDMALING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46291</v>
      </c>
      <c r="F81" t="inlineStr">
        <is>
          <t>VÄSTERBOTTENS LÄN</t>
        </is>
      </c>
      <c r="G81" t="inlineStr">
        <is>
          <t>NORDMALING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44687</v>
      </c>
      <c r="E82" s="1" t="n">
        <v>46291</v>
      </c>
      <c r="F82" t="inlineStr">
        <is>
          <t>VÄSTERBOTTENS LÄN</t>
        </is>
      </c>
      <c r="G82" t="inlineStr">
        <is>
          <t>NORDMALING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44759</v>
      </c>
      <c r="E83" s="1" t="n">
        <v>46291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46291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46291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46291</v>
      </c>
      <c r="F86" t="inlineStr">
        <is>
          <t>VÄSTERBOTTENS LÄN</t>
        </is>
      </c>
      <c r="G86" t="inlineStr">
        <is>
          <t>NORDMALING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44832</v>
      </c>
      <c r="E87" s="1" t="n">
        <v>46291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46291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46291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46291</v>
      </c>
      <c r="F90" t="inlineStr">
        <is>
          <t>VÄSTERBOTTENS LÄN</t>
        </is>
      </c>
      <c r="G90" t="inlineStr">
        <is>
          <t>NORDMALING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53736-2021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46291</v>
      </c>
      <c r="F91" t="inlineStr">
        <is>
          <t>VÄSTERBOTTENS LÄN</t>
        </is>
      </c>
      <c r="G91" t="inlineStr">
        <is>
          <t>NORDMALING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46291</v>
      </c>
      <c r="F92" t="inlineStr">
        <is>
          <t>VÄSTERBOTTENS LÄN</t>
        </is>
      </c>
      <c r="G92" t="inlineStr">
        <is>
          <t>NORDMALING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49525-2022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44861</v>
      </c>
      <c r="E93" s="1" t="n">
        <v>46291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46291</v>
      </c>
      <c r="F94" t="inlineStr">
        <is>
          <t>VÄSTERBOTTENS LÄN</t>
        </is>
      </c>
      <c r="G94" t="inlineStr">
        <is>
          <t>NORDMALING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14540-2022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44655</v>
      </c>
      <c r="E95" s="1" t="n">
        <v>46291</v>
      </c>
      <c r="F95" t="inlineStr">
        <is>
          <t>VÄSTERBOTTENS LÄN</t>
        </is>
      </c>
      <c r="G95" t="inlineStr">
        <is>
          <t>NORDMALING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45772</v>
      </c>
      <c r="E96" s="1" t="n">
        <v>46291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30715-2022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44763</v>
      </c>
      <c r="E97" s="1" t="n">
        <v>46291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45378</v>
      </c>
      <c r="E98" s="1" t="n">
        <v>46291</v>
      </c>
      <c r="F98" t="inlineStr">
        <is>
          <t>VÄSTERBOTTENS LÄN</t>
        </is>
      </c>
      <c r="G98" t="inlineStr">
        <is>
          <t>NORDMALING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45092</v>
      </c>
      <c r="E99" s="1" t="n">
        <v>46291</v>
      </c>
      <c r="F99" t="inlineStr">
        <is>
          <t>VÄSTERBOTTENS LÄN</t>
        </is>
      </c>
      <c r="G99" t="inlineStr">
        <is>
          <t>NORDMALING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46291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34176-2023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45126</v>
      </c>
      <c r="E101" s="1" t="n">
        <v>46291</v>
      </c>
      <c r="F101" t="inlineStr">
        <is>
          <t>VÄSTERBOTTENS LÄN</t>
        </is>
      </c>
      <c r="G101" t="inlineStr">
        <is>
          <t>NORDMALING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38285-2022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46291</v>
      </c>
      <c r="F102" t="inlineStr">
        <is>
          <t>VÄSTERBOTTENS LÄN</t>
        </is>
      </c>
      <c r="G102" t="inlineStr">
        <is>
          <t>NORDMALING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46291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46291</v>
      </c>
      <c r="F104" t="inlineStr">
        <is>
          <t>VÄSTERBOTTENS LÄN</t>
        </is>
      </c>
      <c r="G104" t="inlineStr">
        <is>
          <t>NORDMALING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56674-2021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46291</v>
      </c>
      <c r="F105" t="inlineStr">
        <is>
          <t>VÄSTERBOTTENS LÄN</t>
        </is>
      </c>
      <c r="G105" t="inlineStr">
        <is>
          <t>NORDMALING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46291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45245</v>
      </c>
      <c r="E107" s="1" t="n">
        <v>46291</v>
      </c>
      <c r="F107" t="inlineStr">
        <is>
          <t>VÄSTERBOTTENS LÄN</t>
        </is>
      </c>
      <c r="G107" t="inlineStr">
        <is>
          <t>NORDMALING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61793-2023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45265</v>
      </c>
      <c r="E108" s="1" t="n">
        <v>46291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46291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45489</v>
      </c>
      <c r="E110" s="1" t="n">
        <v>46291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46018</v>
      </c>
      <c r="E111" s="1" t="n">
        <v>46291</v>
      </c>
      <c r="F111" t="inlineStr">
        <is>
          <t>VÄSTERBOTTENS LÄN</t>
        </is>
      </c>
      <c r="G111" t="inlineStr">
        <is>
          <t>NORDMALING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46018</v>
      </c>
      <c r="E112" s="1" t="n">
        <v>46291</v>
      </c>
      <c r="F112" t="inlineStr">
        <is>
          <t>VÄSTERBOTTENS LÄN</t>
        </is>
      </c>
      <c r="G112" t="inlineStr">
        <is>
          <t>NORDMALING</t>
        </is>
      </c>
      <c r="I112" t="n">
        <v>16.2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46018</v>
      </c>
      <c r="E113" s="1" t="n">
        <v>46291</v>
      </c>
      <c r="F113" t="inlineStr">
        <is>
          <t>VÄSTERBOTTENS LÄN</t>
        </is>
      </c>
      <c r="G113" t="inlineStr">
        <is>
          <t>NORDMALING</t>
        </is>
      </c>
      <c r="I113" t="n">
        <v>12.8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46020</v>
      </c>
      <c r="E114" s="1" t="n">
        <v>46291</v>
      </c>
      <c r="F114" t="inlineStr">
        <is>
          <t>VÄSTERBOTTENS LÄN</t>
        </is>
      </c>
      <c r="G114" t="inlineStr">
        <is>
          <t>NORDMALING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46291</v>
      </c>
      <c r="F115" t="inlineStr">
        <is>
          <t>VÄSTERBOTTENS LÄN</t>
        </is>
      </c>
      <c r="G115" t="inlineStr">
        <is>
          <t>NORDMALING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46291</v>
      </c>
      <c r="F116" t="inlineStr">
        <is>
          <t>VÄSTERBOTTENS LÄN</t>
        </is>
      </c>
      <c r="G116" t="inlineStr">
        <is>
          <t>NORDMALING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45525</v>
      </c>
      <c r="E117" s="1" t="n">
        <v>46291</v>
      </c>
      <c r="F117" t="inlineStr">
        <is>
          <t>VÄSTERBOTTENS LÄN</t>
        </is>
      </c>
      <c r="G117" t="inlineStr">
        <is>
          <t>NORDMALING</t>
        </is>
      </c>
      <c r="I117" t="n">
        <v>12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46291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46022</v>
      </c>
      <c r="E119" s="1" t="n">
        <v>46291</v>
      </c>
      <c r="F119" t="inlineStr">
        <is>
          <t>VÄSTERBOTTENS LÄN</t>
        </is>
      </c>
      <c r="G119" t="inlineStr">
        <is>
          <t>NORDMALING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46291</v>
      </c>
      <c r="F120" t="inlineStr">
        <is>
          <t>VÄSTERBOTTENS LÄN</t>
        </is>
      </c>
      <c r="G120" t="inlineStr">
        <is>
          <t>NORDMALING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46028</v>
      </c>
      <c r="E121" s="1" t="n">
        <v>46291</v>
      </c>
      <c r="F121" t="inlineStr">
        <is>
          <t>VÄSTERBOTTENS LÄN</t>
        </is>
      </c>
      <c r="G121" t="inlineStr">
        <is>
          <t>NORDMALING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46291</v>
      </c>
      <c r="F122" t="inlineStr">
        <is>
          <t>VÄSTERBOTTENS LÄN</t>
        </is>
      </c>
      <c r="G122" t="inlineStr">
        <is>
          <t>NORDMALING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45796</v>
      </c>
      <c r="E123" s="1" t="n">
        <v>46291</v>
      </c>
      <c r="F123" t="inlineStr">
        <is>
          <t>VÄSTERBOTTENS LÄN</t>
        </is>
      </c>
      <c r="G123" t="inlineStr">
        <is>
          <t>NORDMALING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65688-2021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46291</v>
      </c>
      <c r="F124" t="inlineStr">
        <is>
          <t>VÄSTERBOTTENS LÄN</t>
        </is>
      </c>
      <c r="G124" t="inlineStr">
        <is>
          <t>NORDMALING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46291</v>
      </c>
      <c r="F125" t="inlineStr">
        <is>
          <t>VÄSTERBOTTENS LÄN</t>
        </is>
      </c>
      <c r="G125" t="inlineStr">
        <is>
          <t>NORDMALING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44921</v>
      </c>
      <c r="E126" s="1" t="n">
        <v>46291</v>
      </c>
      <c r="F126" t="inlineStr">
        <is>
          <t>VÄSTERBOTTENS LÄN</t>
        </is>
      </c>
      <c r="G126" t="inlineStr">
        <is>
          <t>NORDMALING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46291</v>
      </c>
      <c r="F127" t="inlineStr">
        <is>
          <t>VÄSTERBOTTENS LÄN</t>
        </is>
      </c>
      <c r="G127" t="inlineStr">
        <is>
          <t>NORDMALING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46291</v>
      </c>
      <c r="F128" t="inlineStr">
        <is>
          <t>VÄSTERBOTTENS LÄN</t>
        </is>
      </c>
      <c r="G128" t="inlineStr">
        <is>
          <t>NORDMALING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46291</v>
      </c>
      <c r="F129" t="inlineStr">
        <is>
          <t>VÄSTERBOTTENS LÄN</t>
        </is>
      </c>
      <c r="G129" t="inlineStr">
        <is>
          <t>NORDMALING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46291</v>
      </c>
      <c r="F130" t="inlineStr">
        <is>
          <t>VÄSTERBOTTENS LÄN</t>
        </is>
      </c>
      <c r="G130" t="inlineStr">
        <is>
          <t>NORDMALING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46032</v>
      </c>
      <c r="E131" s="1" t="n">
        <v>46291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46291</v>
      </c>
      <c r="F132" t="inlineStr">
        <is>
          <t>VÄSTERBOTTENS LÄN</t>
        </is>
      </c>
      <c r="G132" t="inlineStr">
        <is>
          <t>NORDMALING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46291</v>
      </c>
      <c r="F133" t="inlineStr">
        <is>
          <t>VÄSTERBOTTENS LÄN</t>
        </is>
      </c>
      <c r="G133" t="inlineStr">
        <is>
          <t>NORDMALING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45482</v>
      </c>
      <c r="E134" s="1" t="n">
        <v>46291</v>
      </c>
      <c r="F134" t="inlineStr">
        <is>
          <t>VÄSTERBOTTENS LÄN</t>
        </is>
      </c>
      <c r="G134" t="inlineStr">
        <is>
          <t>NORDMALING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46291</v>
      </c>
      <c r="F135" t="inlineStr">
        <is>
          <t>VÄSTERBOTTENS LÄN</t>
        </is>
      </c>
      <c r="G135" t="inlineStr">
        <is>
          <t>NORDMALING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46291</v>
      </c>
      <c r="F136" t="inlineStr">
        <is>
          <t>VÄSTERBOTTENS LÄN</t>
        </is>
      </c>
      <c r="G136" t="inlineStr">
        <is>
          <t>NORDMALING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46291</v>
      </c>
      <c r="F137" t="inlineStr">
        <is>
          <t>VÄSTERBOTTENS LÄN</t>
        </is>
      </c>
      <c r="G137" t="inlineStr">
        <is>
          <t>NORDMALING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46291</v>
      </c>
      <c r="F138" t="inlineStr">
        <is>
          <t>VÄSTERBOTTENS LÄN</t>
        </is>
      </c>
      <c r="G138" t="inlineStr">
        <is>
          <t>NORDMALING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46291</v>
      </c>
      <c r="F139" t="inlineStr">
        <is>
          <t>VÄSTERBOTTENS LÄN</t>
        </is>
      </c>
      <c r="G139" t="inlineStr">
        <is>
          <t>NORDMALING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46291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46291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46291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46291</v>
      </c>
      <c r="F143" t="inlineStr">
        <is>
          <t>VÄSTERBOTTENS LÄN</t>
        </is>
      </c>
      <c r="G143" t="inlineStr">
        <is>
          <t>NORDMALING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46291</v>
      </c>
      <c r="F144" t="inlineStr">
        <is>
          <t>VÄSTERBOTTENS LÄN</t>
        </is>
      </c>
      <c r="G144" t="inlineStr">
        <is>
          <t>NORDMALING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46291</v>
      </c>
      <c r="F145" t="inlineStr">
        <is>
          <t>VÄSTERBOTTENS LÄN</t>
        </is>
      </c>
      <c r="G145" t="inlineStr">
        <is>
          <t>NORDMALING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46291</v>
      </c>
      <c r="F146" t="inlineStr">
        <is>
          <t>VÄSTERBOTTENS LÄN</t>
        </is>
      </c>
      <c r="G146" t="inlineStr">
        <is>
          <t>NORDMALING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46291</v>
      </c>
      <c r="F147" t="inlineStr">
        <is>
          <t>VÄSTERBOTTENS LÄN</t>
        </is>
      </c>
      <c r="G147" t="inlineStr">
        <is>
          <t>NORDMALING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46043</v>
      </c>
      <c r="E148" s="1" t="n">
        <v>46291</v>
      </c>
      <c r="F148" t="inlineStr">
        <is>
          <t>VÄSTERBOTTENS LÄN</t>
        </is>
      </c>
      <c r="G148" t="inlineStr">
        <is>
          <t>NORDMALING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46291</v>
      </c>
      <c r="F149" t="inlineStr">
        <is>
          <t>VÄSTERBOTTENS LÄN</t>
        </is>
      </c>
      <c r="G149" t="inlineStr">
        <is>
          <t>NORDMALING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46048</v>
      </c>
      <c r="E150" s="1" t="n">
        <v>46291</v>
      </c>
      <c r="F150" t="inlineStr">
        <is>
          <t>VÄSTERBOTTENS LÄN</t>
        </is>
      </c>
      <c r="G150" t="inlineStr">
        <is>
          <t>NORDMALING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46291</v>
      </c>
      <c r="F151" t="inlineStr">
        <is>
          <t>VÄSTERBOTTENS LÄN</t>
        </is>
      </c>
      <c r="G151" t="inlineStr">
        <is>
          <t>NORDMALING</t>
        </is>
      </c>
      <c r="I151" t="n">
        <v>22.4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45900</v>
      </c>
      <c r="E152" s="1" t="n">
        <v>46291</v>
      </c>
      <c r="F152" t="inlineStr">
        <is>
          <t>VÄSTERBOTTENS LÄN</t>
        </is>
      </c>
      <c r="G152" t="inlineStr">
        <is>
          <t>NORDMALING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46291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36814-2024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45538</v>
      </c>
      <c r="E154" s="1" t="n">
        <v>46291</v>
      </c>
      <c r="F154" t="inlineStr">
        <is>
          <t>VÄSTERBOTTENS LÄN</t>
        </is>
      </c>
      <c r="G154" t="inlineStr">
        <is>
          <t>NORDMALING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46291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46291</v>
      </c>
      <c r="F156" t="inlineStr">
        <is>
          <t>VÄSTERBOTTENS LÄN</t>
        </is>
      </c>
      <c r="G156" t="inlineStr">
        <is>
          <t>NORDMALING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45900</v>
      </c>
      <c r="E157" s="1" t="n">
        <v>46291</v>
      </c>
      <c r="F157" t="inlineStr">
        <is>
          <t>VÄSTERBOTTENS LÄN</t>
        </is>
      </c>
      <c r="G157" t="inlineStr">
        <is>
          <t>NORDMALING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46291</v>
      </c>
      <c r="F158" t="inlineStr">
        <is>
          <t>VÄSTERBOTTENS LÄN</t>
        </is>
      </c>
      <c r="G158" t="inlineStr">
        <is>
          <t>NORDMALING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46050</v>
      </c>
      <c r="E159" s="1" t="n">
        <v>46291</v>
      </c>
      <c r="F159" t="inlineStr">
        <is>
          <t>VÄSTERBOTTENS LÄN</t>
        </is>
      </c>
      <c r="G159" t="inlineStr">
        <is>
          <t>NORDMALING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46291</v>
      </c>
      <c r="F160" t="inlineStr">
        <is>
          <t>VÄSTERBOTTENS LÄN</t>
        </is>
      </c>
      <c r="G160" t="inlineStr">
        <is>
          <t>NORDMALING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34184-2023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45126</v>
      </c>
      <c r="E161" s="1" t="n">
        <v>46291</v>
      </c>
      <c r="F161" t="inlineStr">
        <is>
          <t>VÄSTERBOTTENS LÄN</t>
        </is>
      </c>
      <c r="G161" t="inlineStr">
        <is>
          <t>NORDMALING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46050</v>
      </c>
      <c r="E162" s="1" t="n">
        <v>46291</v>
      </c>
      <c r="F162" t="inlineStr">
        <is>
          <t>VÄSTERBOTTENS LÄN</t>
        </is>
      </c>
      <c r="G162" t="inlineStr">
        <is>
          <t>NORDMALING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46291</v>
      </c>
      <c r="F163" t="inlineStr">
        <is>
          <t>VÄSTERBOTTENS LÄN</t>
        </is>
      </c>
      <c r="G163" t="inlineStr">
        <is>
          <t>NORDMALING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45491</v>
      </c>
      <c r="E164" s="1" t="n">
        <v>46291</v>
      </c>
      <c r="F164" t="inlineStr">
        <is>
          <t>VÄSTERBOTTENS LÄN</t>
        </is>
      </c>
      <c r="G164" t="inlineStr">
        <is>
          <t>NORDMALING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46056</v>
      </c>
      <c r="E165" s="1" t="n">
        <v>46291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46291</v>
      </c>
      <c r="F166" t="inlineStr">
        <is>
          <t>VÄSTERBOTTENS LÄN</t>
        </is>
      </c>
      <c r="G166" t="inlineStr">
        <is>
          <t>NORDMALING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46291</v>
      </c>
      <c r="F167" t="inlineStr">
        <is>
          <t>VÄSTERBOTTENS LÄN</t>
        </is>
      </c>
      <c r="G167" t="inlineStr">
        <is>
          <t>NORDMALING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46291</v>
      </c>
      <c r="F168" t="inlineStr">
        <is>
          <t>VÄSTERBOTTENS LÄN</t>
        </is>
      </c>
      <c r="G168" t="inlineStr">
        <is>
          <t>NORDMALING</t>
        </is>
      </c>
      <c r="I168" t="n">
        <v>19.1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46291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46291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Kommuner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46291</v>
      </c>
      <c r="F171" t="inlineStr">
        <is>
          <t>VÄSTERBOTTENS LÄN</t>
        </is>
      </c>
      <c r="G171" t="inlineStr">
        <is>
          <t>NORDMALING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46291</v>
      </c>
      <c r="F172" t="inlineStr">
        <is>
          <t>VÄSTERBOTTENS LÄN</t>
        </is>
      </c>
      <c r="G172" t="inlineStr">
        <is>
          <t>NORDMALING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46291</v>
      </c>
      <c r="F173" t="inlineStr">
        <is>
          <t>VÄSTERBOTTENS LÄN</t>
        </is>
      </c>
      <c r="G173" t="inlineStr">
        <is>
          <t>NORDMALING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46291</v>
      </c>
      <c r="F174" t="inlineStr">
        <is>
          <t>VÄSTERBOTTENS LÄN</t>
        </is>
      </c>
      <c r="G174" t="inlineStr">
        <is>
          <t>NORDMALING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46291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46291</v>
      </c>
      <c r="F176" t="inlineStr">
        <is>
          <t>VÄSTERBOTTENS LÄN</t>
        </is>
      </c>
      <c r="G176" t="inlineStr">
        <is>
          <t>NORDMALING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46291</v>
      </c>
      <c r="F177" t="inlineStr">
        <is>
          <t>VÄSTERBOTTENS LÄN</t>
        </is>
      </c>
      <c r="G177" t="inlineStr">
        <is>
          <t>NORDMALING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46065</v>
      </c>
      <c r="E178" s="1" t="n">
        <v>46291</v>
      </c>
      <c r="F178" t="inlineStr">
        <is>
          <t>VÄSTERBOTTENS LÄN</t>
        </is>
      </c>
      <c r="G178" t="inlineStr">
        <is>
          <t>NORDMALING</t>
        </is>
      </c>
      <c r="I178" t="n">
        <v>7.9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8535-2026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46291</v>
      </c>
      <c r="F179" t="inlineStr">
        <is>
          <t>VÄSTERBOTTENS LÄN</t>
        </is>
      </c>
      <c r="G179" t="inlineStr">
        <is>
          <t>NORDMALING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46291</v>
      </c>
      <c r="F180" t="inlineStr">
        <is>
          <t>VÄSTERBOTTENS LÄN</t>
        </is>
      </c>
      <c r="G180" t="inlineStr">
        <is>
          <t>NORDMALING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46291</v>
      </c>
      <c r="F181" t="inlineStr">
        <is>
          <t>VÄSTERBOTTENS LÄN</t>
        </is>
      </c>
      <c r="G181" t="inlineStr">
        <is>
          <t>NORDMALING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46291</v>
      </c>
      <c r="F182" t="inlineStr">
        <is>
          <t>VÄSTERBOTTENS LÄN</t>
        </is>
      </c>
      <c r="G182" t="inlineStr">
        <is>
          <t>NORDMALING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46291</v>
      </c>
      <c r="F183" t="inlineStr">
        <is>
          <t>VÄSTERBOTTENS LÄN</t>
        </is>
      </c>
      <c r="G183" t="inlineStr">
        <is>
          <t>NORDMALING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44609</v>
      </c>
      <c r="E184" s="1" t="n">
        <v>46291</v>
      </c>
      <c r="F184" t="inlineStr">
        <is>
          <t>VÄSTERBOTTENS LÄN</t>
        </is>
      </c>
      <c r="G184" t="inlineStr">
        <is>
          <t>NORDMALING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46072</v>
      </c>
      <c r="E185" s="1" t="n">
        <v>46291</v>
      </c>
      <c r="F185" t="inlineStr">
        <is>
          <t>VÄSTERBOTTENS LÄN</t>
        </is>
      </c>
      <c r="G185" t="inlineStr">
        <is>
          <t>NORDMALING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46291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46291</v>
      </c>
      <c r="F187" t="inlineStr">
        <is>
          <t>VÄSTERBOTTENS LÄN</t>
        </is>
      </c>
      <c r="G187" t="inlineStr">
        <is>
          <t>NORDMALING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46291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SCA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46291</v>
      </c>
      <c r="F189" t="inlineStr">
        <is>
          <t>VÄSTERBOTTENS LÄN</t>
        </is>
      </c>
      <c r="G189" t="inlineStr">
        <is>
          <t>NORDMALING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46291</v>
      </c>
      <c r="F190" t="inlineStr">
        <is>
          <t>VÄSTERBOTTENS LÄN</t>
        </is>
      </c>
      <c r="G190" t="inlineStr">
        <is>
          <t>NORDMALING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46291</v>
      </c>
      <c r="F191" t="inlineStr">
        <is>
          <t>VÄSTERBOTTENS LÄN</t>
        </is>
      </c>
      <c r="G191" t="inlineStr">
        <is>
          <t>NORDMALING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46291</v>
      </c>
      <c r="F192" t="inlineStr">
        <is>
          <t>VÄSTERBOTTENS LÄN</t>
        </is>
      </c>
      <c r="G192" t="inlineStr">
        <is>
          <t>NORDMALING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46291</v>
      </c>
      <c r="F193" t="inlineStr">
        <is>
          <t>VÄSTERBOTTENS LÄN</t>
        </is>
      </c>
      <c r="G193" t="inlineStr">
        <is>
          <t>NORDMALING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45238</v>
      </c>
      <c r="E194" s="1" t="n">
        <v>46291</v>
      </c>
      <c r="F194" t="inlineStr">
        <is>
          <t>VÄSTERBOTTENS LÄN</t>
        </is>
      </c>
      <c r="G194" t="inlineStr">
        <is>
          <t>NORDMALING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46291</v>
      </c>
      <c r="F195" t="inlineStr">
        <is>
          <t>VÄSTERBOTTENS LÄN</t>
        </is>
      </c>
      <c r="G195" t="inlineStr">
        <is>
          <t>NORDMALING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46291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46291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54784-2021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46291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45688</v>
      </c>
      <c r="E199" s="1" t="n">
        <v>46291</v>
      </c>
      <c r="F199" t="inlineStr">
        <is>
          <t>VÄSTERBOTTENS LÄN</t>
        </is>
      </c>
      <c r="G199" t="inlineStr">
        <is>
          <t>NORDMALING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46291</v>
      </c>
      <c r="F200" t="inlineStr">
        <is>
          <t>VÄSTERBOTTENS LÄN</t>
        </is>
      </c>
      <c r="G200" t="inlineStr">
        <is>
          <t>NORDMALING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46291</v>
      </c>
      <c r="F201" t="inlineStr">
        <is>
          <t>VÄSTERBOTTENS LÄN</t>
        </is>
      </c>
      <c r="G201" t="inlineStr">
        <is>
          <t>NORDMALING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44905</v>
      </c>
      <c r="E202" s="1" t="n">
        <v>46291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46291</v>
      </c>
      <c r="F203" t="inlineStr">
        <is>
          <t>VÄSTERBOTTENS LÄN</t>
        </is>
      </c>
      <c r="G203" t="inlineStr">
        <is>
          <t>NORDMALING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46291</v>
      </c>
      <c r="F204" t="inlineStr">
        <is>
          <t>VÄSTERBOTTENS LÄN</t>
        </is>
      </c>
      <c r="G204" t="inlineStr">
        <is>
          <t>NORDMALING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46291</v>
      </c>
      <c r="F205" t="inlineStr">
        <is>
          <t>VÄSTERBOTTENS LÄN</t>
        </is>
      </c>
      <c r="G205" t="inlineStr">
        <is>
          <t>NORDMALING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45344</v>
      </c>
      <c r="E206" s="1" t="n">
        <v>46291</v>
      </c>
      <c r="F206" t="inlineStr">
        <is>
          <t>VÄSTERBOTTENS LÄN</t>
        </is>
      </c>
      <c r="G206" t="inlineStr">
        <is>
          <t>NORDMALING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46291</v>
      </c>
      <c r="F207" t="inlineStr">
        <is>
          <t>VÄSTERBOTTENS LÄN</t>
        </is>
      </c>
      <c r="G207" t="inlineStr">
        <is>
          <t>NORDMALING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46291</v>
      </c>
      <c r="F208" t="inlineStr">
        <is>
          <t>VÄSTERBOTTENS LÄN</t>
        </is>
      </c>
      <c r="G208" t="inlineStr">
        <is>
          <t>NORDMALING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46291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46291</v>
      </c>
      <c r="F210" t="inlineStr">
        <is>
          <t>VÄSTERBOTTENS LÄN</t>
        </is>
      </c>
      <c r="G210" t="inlineStr">
        <is>
          <t>NORDMALING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45141</v>
      </c>
      <c r="E211" s="1" t="n">
        <v>46291</v>
      </c>
      <c r="F211" t="inlineStr">
        <is>
          <t>VÄSTERBOTTENS LÄN</t>
        </is>
      </c>
      <c r="G211" t="inlineStr">
        <is>
          <t>NORDMALING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46291</v>
      </c>
      <c r="F212" t="inlineStr">
        <is>
          <t>VÄSTERBOTTENS LÄN</t>
        </is>
      </c>
      <c r="G212" t="inlineStr">
        <is>
          <t>NORDMALING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46291</v>
      </c>
      <c r="F213" t="inlineStr">
        <is>
          <t>VÄSTERBOTTENS LÄN</t>
        </is>
      </c>
      <c r="G213" t="inlineStr">
        <is>
          <t>NORDMALING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44753</v>
      </c>
      <c r="E214" s="1" t="n">
        <v>46291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46291</v>
      </c>
      <c r="F215" t="inlineStr">
        <is>
          <t>VÄSTERBOTTENS LÄN</t>
        </is>
      </c>
      <c r="G215" t="inlineStr">
        <is>
          <t>NORDMALING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19300-2023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45049</v>
      </c>
      <c r="E216" s="1" t="n">
        <v>46291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Kyrkan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45569</v>
      </c>
      <c r="E217" s="1" t="n">
        <v>46291</v>
      </c>
      <c r="F217" t="inlineStr">
        <is>
          <t>VÄSTERBOTTENS LÄN</t>
        </is>
      </c>
      <c r="G217" t="inlineStr">
        <is>
          <t>NORDMALING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46291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46291</v>
      </c>
      <c r="F219" t="inlineStr">
        <is>
          <t>VÄSTERBOTTENS LÄN</t>
        </is>
      </c>
      <c r="G219" t="inlineStr">
        <is>
          <t>NORDMALING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51542-2025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45950</v>
      </c>
      <c r="E220" s="1" t="n">
        <v>46291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46291</v>
      </c>
      <c r="F221" t="inlineStr">
        <is>
          <t>VÄSTERBOTTENS LÄN</t>
        </is>
      </c>
      <c r="G221" t="inlineStr">
        <is>
          <t>NORDMALING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46291</v>
      </c>
      <c r="F222" t="inlineStr">
        <is>
          <t>VÄSTERBOTTENS LÄN</t>
        </is>
      </c>
      <c r="G222" t="inlineStr">
        <is>
          <t>NORDMALING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46291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46291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46291</v>
      </c>
      <c r="F225" t="inlineStr">
        <is>
          <t>VÄSTERBOTTENS LÄN</t>
        </is>
      </c>
      <c r="G225" t="inlineStr">
        <is>
          <t>NORDMALING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46291</v>
      </c>
      <c r="F226" t="inlineStr">
        <is>
          <t>VÄSTERBOTTENS LÄN</t>
        </is>
      </c>
      <c r="G226" t="inlineStr">
        <is>
          <t>NORDMALING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46291</v>
      </c>
      <c r="F227" t="inlineStr">
        <is>
          <t>VÄSTERBOTTENS LÄN</t>
        </is>
      </c>
      <c r="G227" t="inlineStr">
        <is>
          <t>NORDMALING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46291</v>
      </c>
      <c r="F228" t="inlineStr">
        <is>
          <t>VÄSTERBOTTENS LÄN</t>
        </is>
      </c>
      <c r="G228" t="inlineStr">
        <is>
          <t>NORDMALING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46291</v>
      </c>
      <c r="F229" t="inlineStr">
        <is>
          <t>VÄSTERBOTTENS LÄN</t>
        </is>
      </c>
      <c r="G229" t="inlineStr">
        <is>
          <t>NORDMALING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45959</v>
      </c>
      <c r="E230" s="1" t="n">
        <v>46291</v>
      </c>
      <c r="F230" t="inlineStr">
        <is>
          <t>VÄSTERBOTTENS LÄN</t>
        </is>
      </c>
      <c r="G230" t="inlineStr">
        <is>
          <t>NORDMALING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46291</v>
      </c>
      <c r="F231" t="inlineStr">
        <is>
          <t>VÄSTERBOTTENS LÄN</t>
        </is>
      </c>
      <c r="G231" t="inlineStr">
        <is>
          <t>NORDMALING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45962</v>
      </c>
      <c r="E232" s="1" t="n">
        <v>46291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46291</v>
      </c>
      <c r="F233" t="inlineStr">
        <is>
          <t>VÄSTERBOTTENS LÄN</t>
        </is>
      </c>
      <c r="G233" t="inlineStr">
        <is>
          <t>NORDMALING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46291</v>
      </c>
      <c r="F234" t="inlineStr">
        <is>
          <t>VÄSTERBOTTENS LÄN</t>
        </is>
      </c>
      <c r="G234" t="inlineStr">
        <is>
          <t>NORDMALING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46291</v>
      </c>
      <c r="F235" t="inlineStr">
        <is>
          <t>VÄSTERBOTTENS LÄN</t>
        </is>
      </c>
      <c r="G235" t="inlineStr">
        <is>
          <t>NORDMALING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46291</v>
      </c>
      <c r="F236" t="inlineStr">
        <is>
          <t>VÄSTERBOTTENS LÄN</t>
        </is>
      </c>
      <c r="G236" t="inlineStr">
        <is>
          <t>NORDMALING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46291</v>
      </c>
      <c r="F237" t="inlineStr">
        <is>
          <t>VÄSTERBOTTENS LÄN</t>
        </is>
      </c>
      <c r="G237" t="inlineStr">
        <is>
          <t>NORDMALING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46291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46291</v>
      </c>
      <c r="F239" t="inlineStr">
        <is>
          <t>VÄSTERBOTTENS LÄN</t>
        </is>
      </c>
      <c r="G239" t="inlineStr">
        <is>
          <t>NORDMALING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46291</v>
      </c>
      <c r="F240" t="inlineStr">
        <is>
          <t>VÄSTERBOTTENS LÄN</t>
        </is>
      </c>
      <c r="G240" t="inlineStr">
        <is>
          <t>NORDMALING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46291</v>
      </c>
      <c r="F241" t="inlineStr">
        <is>
          <t>VÄSTERBOTTENS LÄN</t>
        </is>
      </c>
      <c r="G241" t="inlineStr">
        <is>
          <t>NORDMALING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46291</v>
      </c>
      <c r="F242" t="inlineStr">
        <is>
          <t>VÄSTERBOTTENS LÄN</t>
        </is>
      </c>
      <c r="G242" t="inlineStr">
        <is>
          <t>NORDMALING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46291</v>
      </c>
      <c r="F243" t="inlineStr">
        <is>
          <t>VÄSTERBOTTENS LÄN</t>
        </is>
      </c>
      <c r="G243" t="inlineStr">
        <is>
          <t>NORDMALING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17496-2023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45034</v>
      </c>
      <c r="E244" s="1" t="n">
        <v>46291</v>
      </c>
      <c r="F244" t="inlineStr">
        <is>
          <t>VÄSTERBOTTENS LÄN</t>
        </is>
      </c>
      <c r="G244" t="inlineStr">
        <is>
          <t>NORDMALING</t>
        </is>
      </c>
      <c r="I244" t="n">
        <v>13.1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45525</v>
      </c>
      <c r="E245" s="1" t="n">
        <v>46291</v>
      </c>
      <c r="F245" t="inlineStr">
        <is>
          <t>VÄSTERBOTTENS LÄN</t>
        </is>
      </c>
      <c r="G245" t="inlineStr">
        <is>
          <t>NORDMALING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46291</v>
      </c>
      <c r="F246" t="inlineStr">
        <is>
          <t>VÄSTERBOTTENS LÄN</t>
        </is>
      </c>
      <c r="G246" t="inlineStr">
        <is>
          <t>NORDMALING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46291</v>
      </c>
      <c r="F247" t="inlineStr">
        <is>
          <t>VÄSTERBOTTENS LÄN</t>
        </is>
      </c>
      <c r="G247" t="inlineStr">
        <is>
          <t>NORDMALING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46291</v>
      </c>
      <c r="F248" t="inlineStr">
        <is>
          <t>VÄSTERBOTTENS LÄN</t>
        </is>
      </c>
      <c r="G248" t="inlineStr">
        <is>
          <t>NORDMALING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18839-2026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46129</v>
      </c>
      <c r="E249" s="1" t="n">
        <v>46291</v>
      </c>
      <c r="F249" t="inlineStr">
        <is>
          <t>VÄSTERBOTTENS LÄN</t>
        </is>
      </c>
      <c r="G249" t="inlineStr">
        <is>
          <t>NORDMALING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24712-2023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45075</v>
      </c>
      <c r="E250" s="1" t="n">
        <v>46291</v>
      </c>
      <c r="F250" t="inlineStr">
        <is>
          <t>VÄSTERBOTTENS LÄN</t>
        </is>
      </c>
      <c r="G250" t="inlineStr">
        <is>
          <t>NORDMALING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44977</v>
      </c>
      <c r="E251" s="1" t="n">
        <v>46291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46291</v>
      </c>
      <c r="F252" t="inlineStr">
        <is>
          <t>VÄSTERBOTTENS LÄN</t>
        </is>
      </c>
      <c r="G252" t="inlineStr">
        <is>
          <t>NORDMALING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46132</v>
      </c>
      <c r="E253" s="1" t="n">
        <v>46291</v>
      </c>
      <c r="F253" t="inlineStr">
        <is>
          <t>VÄSTERBOTTENS LÄN</t>
        </is>
      </c>
      <c r="G253" t="inlineStr">
        <is>
          <t>NORDMALING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46291</v>
      </c>
      <c r="F254" t="inlineStr">
        <is>
          <t>VÄSTERBOTTENS LÄN</t>
        </is>
      </c>
      <c r="G254" t="inlineStr">
        <is>
          <t>NORDMALING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46291</v>
      </c>
      <c r="F255" t="inlineStr">
        <is>
          <t>VÄSTERBOTTENS LÄN</t>
        </is>
      </c>
      <c r="G255" t="inlineStr">
        <is>
          <t>NORDMALING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46291</v>
      </c>
      <c r="F256" t="inlineStr">
        <is>
          <t>VÄSTERBOTTENS LÄN</t>
        </is>
      </c>
      <c r="G256" t="inlineStr">
        <is>
          <t>NORDMALING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45980</v>
      </c>
      <c r="E257" s="1" t="n">
        <v>46291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32183-2023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45119</v>
      </c>
      <c r="E258" s="1" t="n">
        <v>46291</v>
      </c>
      <c r="F258" t="inlineStr">
        <is>
          <t>VÄSTERBOTTENS LÄN</t>
        </is>
      </c>
      <c r="G258" t="inlineStr">
        <is>
          <t>NORDMALING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46291</v>
      </c>
      <c r="F259" t="inlineStr">
        <is>
          <t>VÄSTERBOTTENS LÄN</t>
        </is>
      </c>
      <c r="G259" t="inlineStr">
        <is>
          <t>NORDMALING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46291</v>
      </c>
      <c r="F260" t="inlineStr">
        <is>
          <t>VÄSTERBOTTENS LÄN</t>
        </is>
      </c>
      <c r="G260" t="inlineStr">
        <is>
          <t>NORDMALING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46291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46291</v>
      </c>
      <c r="F262" t="inlineStr">
        <is>
          <t>VÄSTERBOTTENS LÄN</t>
        </is>
      </c>
      <c r="G262" t="inlineStr">
        <is>
          <t>NORDMALING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46291</v>
      </c>
      <c r="F263" t="inlineStr">
        <is>
          <t>VÄSTERBOTTENS LÄN</t>
        </is>
      </c>
      <c r="G263" t="inlineStr">
        <is>
          <t>NORDMALING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45986</v>
      </c>
      <c r="E264" s="1" t="n">
        <v>46291</v>
      </c>
      <c r="F264" t="inlineStr">
        <is>
          <t>VÄSTERBOTTENS LÄN</t>
        </is>
      </c>
      <c r="G264" t="inlineStr">
        <is>
          <t>NORDMALING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46291</v>
      </c>
      <c r="F265" t="inlineStr">
        <is>
          <t>VÄSTERBOTTENS LÄN</t>
        </is>
      </c>
      <c r="G265" t="inlineStr">
        <is>
          <t>NORDMALING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46291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46291</v>
      </c>
      <c r="F267" t="inlineStr">
        <is>
          <t>VÄSTERBOTTENS LÄN</t>
        </is>
      </c>
      <c r="G267" t="inlineStr">
        <is>
          <t>NORDMALING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46291</v>
      </c>
      <c r="F268" t="inlineStr">
        <is>
          <t>VÄSTERBOTTENS LÄN</t>
        </is>
      </c>
      <c r="G268" t="inlineStr">
        <is>
          <t>NORDMALING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45800</v>
      </c>
      <c r="E269" s="1" t="n">
        <v>46291</v>
      </c>
      <c r="F269" t="inlineStr">
        <is>
          <t>VÄSTERBOTTENS LÄN</t>
        </is>
      </c>
      <c r="G269" t="inlineStr">
        <is>
          <t>NORDMALING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46291</v>
      </c>
      <c r="F270" t="inlineStr">
        <is>
          <t>VÄSTERBOTTENS LÄN</t>
        </is>
      </c>
      <c r="G270" t="inlineStr">
        <is>
          <t>NORDMALING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46291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45187</v>
      </c>
      <c r="E272" s="1" t="n">
        <v>46291</v>
      </c>
      <c r="F272" t="inlineStr">
        <is>
          <t>VÄSTERBOTTENS LÄN</t>
        </is>
      </c>
      <c r="G272" t="inlineStr">
        <is>
          <t>NORDMALING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45147</v>
      </c>
      <c r="E273" s="1" t="n">
        <v>46291</v>
      </c>
      <c r="F273" t="inlineStr">
        <is>
          <t>VÄSTERBOTTENS LÄN</t>
        </is>
      </c>
      <c r="G273" t="inlineStr">
        <is>
          <t>NORDMALING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46291</v>
      </c>
      <c r="F274" t="inlineStr">
        <is>
          <t>VÄSTERBOTTENS LÄN</t>
        </is>
      </c>
      <c r="G274" t="inlineStr">
        <is>
          <t>NORDMALING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46291</v>
      </c>
      <c r="F275" t="inlineStr">
        <is>
          <t>VÄSTERBOTTENS LÄN</t>
        </is>
      </c>
      <c r="G275" t="inlineStr">
        <is>
          <t>NORDMALING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60064-2025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46291</v>
      </c>
      <c r="F276" t="inlineStr">
        <is>
          <t>VÄSTERBOTTENS LÄN</t>
        </is>
      </c>
      <c r="G276" t="inlineStr">
        <is>
          <t>NORDMALING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46291</v>
      </c>
      <c r="F277" t="inlineStr">
        <is>
          <t>VÄSTERBOTTENS LÄN</t>
        </is>
      </c>
      <c r="G277" t="inlineStr">
        <is>
          <t>NORDMALING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46291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46291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46291</v>
      </c>
      <c r="F280" t="inlineStr">
        <is>
          <t>VÄSTERBOTTENS LÄN</t>
        </is>
      </c>
      <c r="G280" t="inlineStr">
        <is>
          <t>NORDMALING</t>
        </is>
      </c>
      <c r="I280" t="n">
        <v>16.1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45877</v>
      </c>
      <c r="E281" s="1" t="n">
        <v>46291</v>
      </c>
      <c r="F281" t="inlineStr">
        <is>
          <t>VÄSTERBOTTENS LÄN</t>
        </is>
      </c>
      <c r="G281" t="inlineStr">
        <is>
          <t>NORDMALING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60113-2025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45994</v>
      </c>
      <c r="E282" s="1" t="n">
        <v>46291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46291</v>
      </c>
      <c r="F283" t="inlineStr">
        <is>
          <t>VÄSTERBOTTENS LÄN</t>
        </is>
      </c>
      <c r="G283" t="inlineStr">
        <is>
          <t>NORDMALING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44742</v>
      </c>
      <c r="E284" s="1" t="n">
        <v>46291</v>
      </c>
      <c r="F284" t="inlineStr">
        <is>
          <t>VÄSTERBOTTENS LÄN</t>
        </is>
      </c>
      <c r="G284" t="inlineStr">
        <is>
          <t>NORDMALING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46291</v>
      </c>
      <c r="F285" t="inlineStr">
        <is>
          <t>VÄSTERBOTTENS LÄN</t>
        </is>
      </c>
      <c r="G285" t="inlineStr">
        <is>
          <t>NORDMALING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46291</v>
      </c>
      <c r="F286" t="inlineStr">
        <is>
          <t>VÄSTERBOTTENS LÄN</t>
        </is>
      </c>
      <c r="G286" t="inlineStr">
        <is>
          <t>NORDMALING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46291</v>
      </c>
      <c r="F287" t="inlineStr">
        <is>
          <t>VÄSTERBOTTENS LÄN</t>
        </is>
      </c>
      <c r="G287" t="inlineStr">
        <is>
          <t>NORDMALING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46291</v>
      </c>
      <c r="F288" t="inlineStr">
        <is>
          <t>VÄSTERBOTTENS LÄN</t>
        </is>
      </c>
      <c r="G288" t="inlineStr">
        <is>
          <t>NORDMALING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46291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46291</v>
      </c>
      <c r="F290" t="inlineStr">
        <is>
          <t>VÄSTERBOTTENS LÄN</t>
        </is>
      </c>
      <c r="G290" t="inlineStr">
        <is>
          <t>NORDMALING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46291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46291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46291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46291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44942-2023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45187</v>
      </c>
      <c r="E295" s="1" t="n">
        <v>46291</v>
      </c>
      <c r="F295" t="inlineStr">
        <is>
          <t>VÄSTERBOTTENS LÄN</t>
        </is>
      </c>
      <c r="G295" t="inlineStr">
        <is>
          <t>NORDMALING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62078-2025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46291</v>
      </c>
      <c r="F296" t="inlineStr">
        <is>
          <t>VÄSTERBOTTENS LÄN</t>
        </is>
      </c>
      <c r="G296" t="inlineStr">
        <is>
          <t>NORDMALING</t>
        </is>
      </c>
      <c r="I296" t="n">
        <v>11.6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46291</v>
      </c>
      <c r="F297" t="inlineStr">
        <is>
          <t>VÄSTERBOTTENS LÄN</t>
        </is>
      </c>
      <c r="G297" t="inlineStr">
        <is>
          <t>NORDMALING</t>
        </is>
      </c>
      <c r="I297" t="n">
        <v>11.3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46291</v>
      </c>
      <c r="F298" t="inlineStr">
        <is>
          <t>VÄSTERBOTTENS LÄN</t>
        </is>
      </c>
      <c r="G298" t="inlineStr">
        <is>
          <t>NORDMALING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46291</v>
      </c>
      <c r="F299" t="inlineStr">
        <is>
          <t>VÄSTERBOTTENS LÄN</t>
        </is>
      </c>
      <c r="G299" t="inlineStr">
        <is>
          <t>NORDMALING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46291</v>
      </c>
      <c r="F300" t="inlineStr">
        <is>
          <t>VÄSTERBOTTENS LÄN</t>
        </is>
      </c>
      <c r="G300" t="inlineStr">
        <is>
          <t>NORDMALING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46291</v>
      </c>
      <c r="F301" t="inlineStr">
        <is>
          <t>VÄSTERBOTTENS LÄN</t>
        </is>
      </c>
      <c r="G301" t="inlineStr">
        <is>
          <t>NORDMALING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46291</v>
      </c>
      <c r="F302" t="inlineStr">
        <is>
          <t>VÄSTERBOTTENS LÄN</t>
        </is>
      </c>
      <c r="G302" t="inlineStr">
        <is>
          <t>NORDMALING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46291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35803-2023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45147</v>
      </c>
      <c r="E304" s="1" t="n">
        <v>46291</v>
      </c>
      <c r="F304" t="inlineStr">
        <is>
          <t>VÄSTERBOTTENS LÄN</t>
        </is>
      </c>
      <c r="G304" t="inlineStr">
        <is>
          <t>NORDMALING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45618</v>
      </c>
      <c r="E305" s="1" t="n">
        <v>46291</v>
      </c>
      <c r="F305" t="inlineStr">
        <is>
          <t>VÄSTERBOTTENS LÄN</t>
        </is>
      </c>
      <c r="G305" t="inlineStr">
        <is>
          <t>NORDMALING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46291</v>
      </c>
      <c r="F306" t="inlineStr">
        <is>
          <t>VÄSTERBOTTENS LÄN</t>
        </is>
      </c>
      <c r="G306" t="inlineStr">
        <is>
          <t>NORDMALING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46010</v>
      </c>
      <c r="E307" s="1" t="n">
        <v>46291</v>
      </c>
      <c r="F307" t="inlineStr">
        <is>
          <t>VÄSTERBOTTENS LÄN</t>
        </is>
      </c>
      <c r="G307" t="inlineStr">
        <is>
          <t>NORDMALING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46291</v>
      </c>
      <c r="F308" t="inlineStr">
        <is>
          <t>VÄSTERBOTTENS LÄN</t>
        </is>
      </c>
      <c r="G308" t="inlineStr">
        <is>
          <t>NORDMALING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45552</v>
      </c>
      <c r="E309" s="1" t="n">
        <v>46291</v>
      </c>
      <c r="F309" t="inlineStr">
        <is>
          <t>VÄSTERBOTTENS LÄN</t>
        </is>
      </c>
      <c r="G309" t="inlineStr">
        <is>
          <t>NORDMALING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45051</v>
      </c>
      <c r="E310" s="1" t="n">
        <v>46291</v>
      </c>
      <c r="F310" t="inlineStr">
        <is>
          <t>VÄSTERBOTTENS LÄN</t>
        </is>
      </c>
      <c r="G310" t="inlineStr">
        <is>
          <t>NORDMALING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46291</v>
      </c>
      <c r="F311" t="inlineStr">
        <is>
          <t>VÄSTERBOTTENS LÄN</t>
        </is>
      </c>
      <c r="G311" t="inlineStr">
        <is>
          <t>NORDMALING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46291</v>
      </c>
      <c r="F312" t="inlineStr">
        <is>
          <t>VÄSTERBOTTENS LÄN</t>
        </is>
      </c>
      <c r="G312" t="inlineStr">
        <is>
          <t>NORDMALING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46291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46291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46291</v>
      </c>
      <c r="F315" t="inlineStr">
        <is>
          <t>VÄSTERBOTTENS LÄN</t>
        </is>
      </c>
      <c r="G315" t="inlineStr">
        <is>
          <t>NORDMALING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46291</v>
      </c>
      <c r="F316" t="inlineStr">
        <is>
          <t>VÄSTERBOTTENS LÄN</t>
        </is>
      </c>
      <c r="G316" t="inlineStr">
        <is>
          <t>NORDMALING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46291</v>
      </c>
      <c r="F317" t="inlineStr">
        <is>
          <t>VÄSTERBOTTENS LÄN</t>
        </is>
      </c>
      <c r="G317" t="inlineStr">
        <is>
          <t>NORDMALING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46291</v>
      </c>
      <c r="F318" t="inlineStr">
        <is>
          <t>VÄSTERBOTTENS LÄN</t>
        </is>
      </c>
      <c r="G318" t="inlineStr">
        <is>
          <t>NORDMALING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46291</v>
      </c>
      <c r="F319" t="inlineStr">
        <is>
          <t>VÄSTERBOTTENS LÄN</t>
        </is>
      </c>
      <c r="G319" t="inlineStr">
        <is>
          <t>NORDMALING</t>
        </is>
      </c>
      <c r="I319" t="n">
        <v>14.8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46291</v>
      </c>
      <c r="F320" t="inlineStr">
        <is>
          <t>VÄSTERBOTTENS LÄN</t>
        </is>
      </c>
      <c r="G320" t="inlineStr">
        <is>
          <t>NORDMALING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46291</v>
      </c>
      <c r="F321" t="inlineStr">
        <is>
          <t>VÄSTERBOTTENS LÄN</t>
        </is>
      </c>
      <c r="G321" t="inlineStr">
        <is>
          <t>NORDMALING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45028</v>
      </c>
      <c r="E322" s="1" t="n">
        <v>46291</v>
      </c>
      <c r="F322" t="inlineStr">
        <is>
          <t>VÄSTERBOTTENS LÄN</t>
        </is>
      </c>
      <c r="G322" t="inlineStr">
        <is>
          <t>NORDMALING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46291</v>
      </c>
      <c r="F323" t="inlineStr">
        <is>
          <t>VÄSTERBOTTENS LÄN</t>
        </is>
      </c>
      <c r="G323" t="inlineStr">
        <is>
          <t>NORDMALING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46291</v>
      </c>
      <c r="F324" t="inlineStr">
        <is>
          <t>VÄSTERBOTTENS LÄN</t>
        </is>
      </c>
      <c r="G324" t="inlineStr">
        <is>
          <t>NORDMALING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45586</v>
      </c>
      <c r="E325" s="1" t="n">
        <v>46291</v>
      </c>
      <c r="F325" t="inlineStr">
        <is>
          <t>VÄSTERBOTTENS LÄN</t>
        </is>
      </c>
      <c r="G325" t="inlineStr">
        <is>
          <t>NORDMALING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70028-2021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44533</v>
      </c>
      <c r="E326" s="1" t="n">
        <v>46291</v>
      </c>
      <c r="F326" t="inlineStr">
        <is>
          <t>VÄSTERBOTTENS LÄN</t>
        </is>
      </c>
      <c r="G326" t="inlineStr">
        <is>
          <t>NORDMALING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45996</v>
      </c>
      <c r="E327" s="1" t="n">
        <v>46291</v>
      </c>
      <c r="F327" t="inlineStr">
        <is>
          <t>VÄSTERBOTTENS LÄN</t>
        </is>
      </c>
      <c r="G327" t="inlineStr">
        <is>
          <t>NORDMALING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29606-2025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45825</v>
      </c>
      <c r="E328" s="1" t="n">
        <v>46291</v>
      </c>
      <c r="F328" t="inlineStr">
        <is>
          <t>VÄSTERBOTTENS LÄN</t>
        </is>
      </c>
      <c r="G328" t="inlineStr">
        <is>
          <t>NORDMALING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46291</v>
      </c>
      <c r="F329" t="inlineStr">
        <is>
          <t>VÄSTERBOTTENS LÄN</t>
        </is>
      </c>
      <c r="G329" t="inlineStr">
        <is>
          <t>NORDMALING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46291</v>
      </c>
      <c r="F330" t="inlineStr">
        <is>
          <t>VÄSTERBOTTENS LÄN</t>
        </is>
      </c>
      <c r="G330" t="inlineStr">
        <is>
          <t>NORDMALING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41025-2023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46291</v>
      </c>
      <c r="F331" t="inlineStr">
        <is>
          <t>VÄSTERBOTTENS LÄN</t>
        </is>
      </c>
      <c r="G331" t="inlineStr">
        <is>
          <t>NORDMALING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20721-2026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46141</v>
      </c>
      <c r="E332" s="1" t="n">
        <v>46291</v>
      </c>
      <c r="F332" t="inlineStr">
        <is>
          <t>VÄSTERBOTTENS LÄN</t>
        </is>
      </c>
      <c r="G332" t="inlineStr">
        <is>
          <t>NORDMALING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45503</v>
      </c>
      <c r="E333" s="1" t="n">
        <v>46291</v>
      </c>
      <c r="F333" t="inlineStr">
        <is>
          <t>VÄSTERBOTTENS LÄN</t>
        </is>
      </c>
      <c r="G333" t="inlineStr">
        <is>
          <t>NORDMALING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45825</v>
      </c>
      <c r="E334" s="1" t="n">
        <v>46291</v>
      </c>
      <c r="F334" t="inlineStr">
        <is>
          <t>VÄSTERBOTTENS LÄN</t>
        </is>
      </c>
      <c r="G334" t="inlineStr">
        <is>
          <t>NORDMALING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46291</v>
      </c>
      <c r="F335" t="inlineStr">
        <is>
          <t>VÄSTERBOTTENS LÄN</t>
        </is>
      </c>
      <c r="G335" t="inlineStr">
        <is>
          <t>NORDMALING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45524</v>
      </c>
      <c r="E336" s="1" t="n">
        <v>46291</v>
      </c>
      <c r="F336" t="inlineStr">
        <is>
          <t>VÄSTERBOTTENS LÄN</t>
        </is>
      </c>
      <c r="G336" t="inlineStr">
        <is>
          <t>NORDMALING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45736</v>
      </c>
      <c r="E337" s="1" t="n">
        <v>46291</v>
      </c>
      <c r="F337" t="inlineStr">
        <is>
          <t>VÄSTERBOTTENS LÄN</t>
        </is>
      </c>
      <c r="G337" t="inlineStr">
        <is>
          <t>NORDMALING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64498-2023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45280</v>
      </c>
      <c r="E338" s="1" t="n">
        <v>46291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44943</v>
      </c>
      <c r="E339" s="1" t="n">
        <v>46291</v>
      </c>
      <c r="F339" t="inlineStr">
        <is>
          <t>VÄSTERBOTTENS LÄN</t>
        </is>
      </c>
      <c r="G339" t="inlineStr">
        <is>
          <t>NORDMALING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69516-2021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44531</v>
      </c>
      <c r="E340" s="1" t="n">
        <v>46291</v>
      </c>
      <c r="F340" t="inlineStr">
        <is>
          <t>VÄSTERBOTTENS LÄN</t>
        </is>
      </c>
      <c r="G340" t="inlineStr">
        <is>
          <t>NORDMALING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43367-2022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46291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Holmen skog AB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45102</v>
      </c>
      <c r="E342" s="1" t="n">
        <v>46291</v>
      </c>
      <c r="F342" t="inlineStr">
        <is>
          <t>VÄSTERBOTTENS LÄN</t>
        </is>
      </c>
      <c r="G342" t="inlineStr">
        <is>
          <t>NORDMALING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35291-2023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45145</v>
      </c>
      <c r="E343" s="1" t="n">
        <v>46291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46151</v>
      </c>
      <c r="E344" s="1" t="n">
        <v>46291</v>
      </c>
      <c r="F344" t="inlineStr">
        <is>
          <t>VÄSTERBOTTENS LÄN</t>
        </is>
      </c>
      <c r="G344" t="inlineStr">
        <is>
          <t>NORDMALING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45343</v>
      </c>
      <c r="E345" s="1" t="n">
        <v>46291</v>
      </c>
      <c r="F345" t="inlineStr">
        <is>
          <t>VÄSTERBOTTENS LÄN</t>
        </is>
      </c>
      <c r="G345" t="inlineStr">
        <is>
          <t>NORDMALING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45757</v>
      </c>
      <c r="E346" s="1" t="n">
        <v>46291</v>
      </c>
      <c r="F346" t="inlineStr">
        <is>
          <t>VÄSTERBOTTENS LÄN</t>
        </is>
      </c>
      <c r="G346" t="inlineStr">
        <is>
          <t>NORDMALING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46151</v>
      </c>
      <c r="E347" s="1" t="n">
        <v>46291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46291</v>
      </c>
      <c r="F348" t="inlineStr">
        <is>
          <t>VÄSTERBOTTENS LÄN</t>
        </is>
      </c>
      <c r="G348" t="inlineStr">
        <is>
          <t>NORDMALING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45378</v>
      </c>
      <c r="E349" s="1" t="n">
        <v>46291</v>
      </c>
      <c r="F349" t="inlineStr">
        <is>
          <t>VÄSTERBOTTENS LÄN</t>
        </is>
      </c>
      <c r="G349" t="inlineStr">
        <is>
          <t>NORDMALING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22669-2026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46155</v>
      </c>
      <c r="E350" s="1" t="n">
        <v>46291</v>
      </c>
      <c r="F350" t="inlineStr">
        <is>
          <t>VÄSTERBOTTENS LÄN</t>
        </is>
      </c>
      <c r="G350" t="inlineStr">
        <is>
          <t>NORDMALING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45419</v>
      </c>
      <c r="E351" s="1" t="n">
        <v>46291</v>
      </c>
      <c r="F351" t="inlineStr">
        <is>
          <t>VÄSTERBOTTENS LÄN</t>
        </is>
      </c>
      <c r="G351" t="inlineStr">
        <is>
          <t>NORDMALING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46291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45838</v>
      </c>
      <c r="E353" s="1" t="n">
        <v>46291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46291</v>
      </c>
      <c r="F354" t="inlineStr">
        <is>
          <t>VÄSTERBOTTENS LÄN</t>
        </is>
      </c>
      <c r="G354" t="inlineStr">
        <is>
          <t>NORDMALING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48945-2022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44859</v>
      </c>
      <c r="E355" s="1" t="n">
        <v>46291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46291</v>
      </c>
      <c r="F356" t="inlineStr">
        <is>
          <t>VÄSTERBOTTENS LÄN</t>
        </is>
      </c>
      <c r="G356" t="inlineStr">
        <is>
          <t>NORDMALING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23005-2026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46160</v>
      </c>
      <c r="E357" s="1" t="n">
        <v>46291</v>
      </c>
      <c r="F357" t="inlineStr">
        <is>
          <t>VÄSTERBOTTENS LÄN</t>
        </is>
      </c>
      <c r="G357" t="inlineStr">
        <is>
          <t>NORDMALING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29344-2023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46291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45491</v>
      </c>
      <c r="E359" s="1" t="n">
        <v>46291</v>
      </c>
      <c r="F359" t="inlineStr">
        <is>
          <t>VÄSTERBOTTENS LÄN</t>
        </is>
      </c>
      <c r="G359" t="inlineStr">
        <is>
          <t>NORDMALING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46291</v>
      </c>
      <c r="F360" t="inlineStr">
        <is>
          <t>VÄSTERBOTTENS LÄN</t>
        </is>
      </c>
      <c r="G360" t="inlineStr">
        <is>
          <t>NORDMALING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46291</v>
      </c>
      <c r="F361" t="inlineStr">
        <is>
          <t>VÄSTERBOTTENS LÄN</t>
        </is>
      </c>
      <c r="G361" t="inlineStr">
        <is>
          <t>NORDMALING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45231</v>
      </c>
      <c r="E362" s="1" t="n">
        <v>46291</v>
      </c>
      <c r="F362" t="inlineStr">
        <is>
          <t>VÄSTERBOTTENS LÄN</t>
        </is>
      </c>
      <c r="G362" t="inlineStr">
        <is>
          <t>NORDMALING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56734-2022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44893</v>
      </c>
      <c r="E363" s="1" t="n">
        <v>46291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46160</v>
      </c>
      <c r="E364" s="1" t="n">
        <v>46291</v>
      </c>
      <c r="F364" t="inlineStr">
        <is>
          <t>VÄSTERBOTTENS LÄN</t>
        </is>
      </c>
      <c r="G364" t="inlineStr">
        <is>
          <t>NORDMALING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46291</v>
      </c>
      <c r="F365" t="inlineStr">
        <is>
          <t>VÄSTERBOTTENS LÄN</t>
        </is>
      </c>
      <c r="G365" t="inlineStr">
        <is>
          <t>NORDMALING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46161</v>
      </c>
      <c r="E366" s="1" t="n">
        <v>46291</v>
      </c>
      <c r="F366" t="inlineStr">
        <is>
          <t>VÄSTERBOTTENS LÄN</t>
        </is>
      </c>
      <c r="G366" t="inlineStr">
        <is>
          <t>NORDMALING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46161</v>
      </c>
      <c r="E367" s="1" t="n">
        <v>46291</v>
      </c>
      <c r="F367" t="inlineStr">
        <is>
          <t>VÄSTERBOTTENS LÄN</t>
        </is>
      </c>
      <c r="G367" t="inlineStr">
        <is>
          <t>NORDMALING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46291</v>
      </c>
      <c r="F368" t="inlineStr">
        <is>
          <t>VÄSTERBOTTENS LÄN</t>
        </is>
      </c>
      <c r="G368" t="inlineStr">
        <is>
          <t>NORDMALING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46291</v>
      </c>
      <c r="F369" t="inlineStr">
        <is>
          <t>VÄSTERBOTTENS LÄN</t>
        </is>
      </c>
      <c r="G369" t="inlineStr">
        <is>
          <t>NORDMALING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45842</v>
      </c>
      <c r="E370" s="1" t="n">
        <v>46291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45846</v>
      </c>
      <c r="E371" s="1" t="n">
        <v>46291</v>
      </c>
      <c r="F371" t="inlineStr">
        <is>
          <t>VÄSTERBOTTENS LÄN</t>
        </is>
      </c>
      <c r="G371" t="inlineStr">
        <is>
          <t>NORDMALING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45245</v>
      </c>
      <c r="E372" s="1" t="n">
        <v>46291</v>
      </c>
      <c r="F372" t="inlineStr">
        <is>
          <t>VÄSTERBOTTENS LÄN</t>
        </is>
      </c>
      <c r="G372" t="inlineStr">
        <is>
          <t>NORDMALING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46291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46291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46291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45187</v>
      </c>
      <c r="E376" s="1" t="n">
        <v>46291</v>
      </c>
      <c r="F376" t="inlineStr">
        <is>
          <t>VÄSTERBOTTENS LÄN</t>
        </is>
      </c>
      <c r="G376" t="inlineStr">
        <is>
          <t>NORDMALING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45562</v>
      </c>
      <c r="E377" s="1" t="n">
        <v>46291</v>
      </c>
      <c r="F377" t="inlineStr">
        <is>
          <t>VÄSTERBOTTENS LÄN</t>
        </is>
      </c>
      <c r="G377" t="inlineStr">
        <is>
          <t>NORDMALING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57590-2022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46291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45691</v>
      </c>
      <c r="E379" s="1" t="n">
        <v>46291</v>
      </c>
      <c r="F379" t="inlineStr">
        <is>
          <t>VÄSTERBOTTENS LÄN</t>
        </is>
      </c>
      <c r="G379" t="inlineStr">
        <is>
          <t>NORDMALING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46291</v>
      </c>
      <c r="F380" t="inlineStr">
        <is>
          <t>VÄSTERBOTTENS LÄN</t>
        </is>
      </c>
      <c r="G380" t="inlineStr">
        <is>
          <t>NORDMALING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46291</v>
      </c>
      <c r="F381" t="inlineStr">
        <is>
          <t>VÄSTERBOTTENS LÄN</t>
        </is>
      </c>
      <c r="G381" t="inlineStr">
        <is>
          <t>NORDMALING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35057-2025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45852</v>
      </c>
      <c r="E382" s="1" t="n">
        <v>46291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45569</v>
      </c>
      <c r="E383" s="1" t="n">
        <v>46291</v>
      </c>
      <c r="F383" t="inlineStr">
        <is>
          <t>VÄSTERBOTTENS LÄN</t>
        </is>
      </c>
      <c r="G383" t="inlineStr">
        <is>
          <t>NORDMALING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45575</v>
      </c>
      <c r="E384" s="1" t="n">
        <v>46291</v>
      </c>
      <c r="F384" t="inlineStr">
        <is>
          <t>VÄSTERBOTTENS LÄN</t>
        </is>
      </c>
      <c r="G384" t="inlineStr">
        <is>
          <t>NORDMALING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25214-2026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46171</v>
      </c>
      <c r="E385" s="1" t="n">
        <v>46291</v>
      </c>
      <c r="F385" t="inlineStr">
        <is>
          <t>VÄSTERBOTTENS LÄN</t>
        </is>
      </c>
      <c r="G385" t="inlineStr">
        <is>
          <t>NORDMALING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45344</v>
      </c>
      <c r="E386" s="1" t="n">
        <v>46291</v>
      </c>
      <c r="F386" t="inlineStr">
        <is>
          <t>VÄSTERBOTTENS LÄN</t>
        </is>
      </c>
      <c r="G386" t="inlineStr">
        <is>
          <t>NORDMALING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45470</v>
      </c>
      <c r="E387" s="1" t="n">
        <v>46291</v>
      </c>
      <c r="F387" t="inlineStr">
        <is>
          <t>VÄSTERBOTTENS LÄN</t>
        </is>
      </c>
      <c r="G387" t="inlineStr">
        <is>
          <t>NORDMALING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19029-2025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45764</v>
      </c>
      <c r="E388" s="1" t="n">
        <v>46291</v>
      </c>
      <c r="F388" t="inlineStr">
        <is>
          <t>VÄSTERBOTTENS LÄN</t>
        </is>
      </c>
      <c r="G388" t="inlineStr">
        <is>
          <t>NORDMALING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46291</v>
      </c>
      <c r="F389" t="inlineStr">
        <is>
          <t>VÄSTERBOTTENS LÄN</t>
        </is>
      </c>
      <c r="G389" t="inlineStr">
        <is>
          <t>NORDMALING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36077-2025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46291</v>
      </c>
      <c r="F390" t="inlineStr">
        <is>
          <t>VÄSTERBOTTENS LÄN</t>
        </is>
      </c>
      <c r="G390" t="inlineStr">
        <is>
          <t>NORDMALING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46291</v>
      </c>
      <c r="F391" t="inlineStr">
        <is>
          <t>VÄSTERBOTTENS LÄN</t>
        </is>
      </c>
      <c r="G391" t="inlineStr">
        <is>
          <t>NORDMALING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45447</v>
      </c>
      <c r="E392" s="1" t="n">
        <v>46291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69519-2021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44531</v>
      </c>
      <c r="E393" s="1" t="n">
        <v>46291</v>
      </c>
      <c r="F393" t="inlineStr">
        <is>
          <t>VÄSTERBOTTENS LÄN</t>
        </is>
      </c>
      <c r="G393" t="inlineStr">
        <is>
          <t>NORDMALING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46291</v>
      </c>
      <c r="F394" t="inlineStr">
        <is>
          <t>VÄSTERBOTTENS LÄN</t>
        </is>
      </c>
      <c r="G394" t="inlineStr">
        <is>
          <t>NORDMALING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46291</v>
      </c>
      <c r="F395" t="inlineStr">
        <is>
          <t>VÄSTERBOTTENS LÄN</t>
        </is>
      </c>
      <c r="G395" t="inlineStr">
        <is>
          <t>NORDMALING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46176</v>
      </c>
      <c r="E396" s="1" t="n">
        <v>46291</v>
      </c>
      <c r="F396" t="inlineStr">
        <is>
          <t>VÄSTERBOTTENS LÄN</t>
        </is>
      </c>
      <c r="G396" t="inlineStr">
        <is>
          <t>NORDMALING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45141</v>
      </c>
      <c r="E397" s="1" t="n">
        <v>46291</v>
      </c>
      <c r="F397" t="inlineStr">
        <is>
          <t>VÄSTERBOTTENS LÄN</t>
        </is>
      </c>
      <c r="G397" t="inlineStr">
        <is>
          <t>NORDMALING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72018-2021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44540</v>
      </c>
      <c r="E398" s="1" t="n">
        <v>46291</v>
      </c>
      <c r="F398" t="inlineStr">
        <is>
          <t>VÄSTERBOTTENS LÄN</t>
        </is>
      </c>
      <c r="G398" t="inlineStr">
        <is>
          <t>NORDMALING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24415-2024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45457</v>
      </c>
      <c r="E399" s="1" t="n">
        <v>46291</v>
      </c>
      <c r="F399" t="inlineStr">
        <is>
          <t>VÄSTERBOTTENS LÄN</t>
        </is>
      </c>
      <c r="G399" t="inlineStr">
        <is>
          <t>NORDMALING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45180</v>
      </c>
      <c r="E400" s="1" t="n">
        <v>46291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46291</v>
      </c>
      <c r="F401" t="inlineStr">
        <is>
          <t>VÄSTERBOTTENS LÄN</t>
        </is>
      </c>
      <c r="G401" t="inlineStr">
        <is>
          <t>NORDMALING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46291</v>
      </c>
      <c r="F402" t="inlineStr">
        <is>
          <t>VÄSTERBOTTENS LÄN</t>
        </is>
      </c>
      <c r="G402" t="inlineStr">
        <is>
          <t>NORDMALING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45673</v>
      </c>
      <c r="E403" s="1" t="n">
        <v>46291</v>
      </c>
      <c r="F403" t="inlineStr">
        <is>
          <t>VÄSTERBOTTENS LÄN</t>
        </is>
      </c>
      <c r="G403" t="inlineStr">
        <is>
          <t>NORDMALING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46291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45593</v>
      </c>
      <c r="E405" s="1" t="n">
        <v>46291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46291</v>
      </c>
      <c r="F406" t="inlineStr">
        <is>
          <t>VÄSTERBOTTENS LÄN</t>
        </is>
      </c>
      <c r="G406" t="inlineStr">
        <is>
          <t>NORDMALING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46291</v>
      </c>
      <c r="F407" t="inlineStr">
        <is>
          <t>VÄSTERBOTTENS LÄN</t>
        </is>
      </c>
      <c r="G407" t="inlineStr">
        <is>
          <t>NORDMALING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46291</v>
      </c>
      <c r="F408" t="inlineStr">
        <is>
          <t>VÄSTERBOTTENS LÄN</t>
        </is>
      </c>
      <c r="G408" t="inlineStr">
        <is>
          <t>NORDMALING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47516-2024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45587</v>
      </c>
      <c r="E409" s="1" t="n">
        <v>46291</v>
      </c>
      <c r="F409" t="inlineStr">
        <is>
          <t>VÄSTERBOTTENS LÄN</t>
        </is>
      </c>
      <c r="G409" t="inlineStr">
        <is>
          <t>NORDMALING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45158</v>
      </c>
      <c r="E410" s="1" t="n">
        <v>46291</v>
      </c>
      <c r="F410" t="inlineStr">
        <is>
          <t>VÄSTERBOTTENS LÄN</t>
        </is>
      </c>
      <c r="G410" t="inlineStr">
        <is>
          <t>NORDMALING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26796-2026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46185</v>
      </c>
      <c r="E411" s="1" t="n">
        <v>46291</v>
      </c>
      <c r="F411" t="inlineStr">
        <is>
          <t>VÄSTERBOTTENS LÄN</t>
        </is>
      </c>
      <c r="G411" t="inlineStr">
        <is>
          <t>NORDMALING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46291</v>
      </c>
      <c r="F412" t="inlineStr">
        <is>
          <t>VÄSTERBOTTENS LÄN</t>
        </is>
      </c>
      <c r="G412" t="inlineStr">
        <is>
          <t>NORDMALING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46291</v>
      </c>
      <c r="F413" t="inlineStr">
        <is>
          <t>VÄSTERBOTTENS LÄN</t>
        </is>
      </c>
      <c r="G413" t="inlineStr">
        <is>
          <t>NORDMALING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46291</v>
      </c>
      <c r="F414" t="inlineStr">
        <is>
          <t>VÄSTERBOTTENS LÄN</t>
        </is>
      </c>
      <c r="G414" t="inlineStr">
        <is>
          <t>NORDMALING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44993</v>
      </c>
      <c r="E415" s="1" t="n">
        <v>46291</v>
      </c>
      <c r="F415" t="inlineStr">
        <is>
          <t>VÄSTERBOTTENS LÄN</t>
        </is>
      </c>
      <c r="G415" t="inlineStr">
        <is>
          <t>NORDMALING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45524</v>
      </c>
      <c r="E416" s="1" t="n">
        <v>46291</v>
      </c>
      <c r="F416" t="inlineStr">
        <is>
          <t>VÄSTERBOTTENS LÄN</t>
        </is>
      </c>
      <c r="G416" t="inlineStr">
        <is>
          <t>NORDMALING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46291</v>
      </c>
      <c r="F417" t="inlineStr">
        <is>
          <t>VÄSTERBOTTENS LÄN</t>
        </is>
      </c>
      <c r="G417" t="inlineStr">
        <is>
          <t>NORDMALING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5258-2024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45330</v>
      </c>
      <c r="E418" s="1" t="n">
        <v>46291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45525</v>
      </c>
      <c r="E419" s="1" t="n">
        <v>46291</v>
      </c>
      <c r="F419" t="inlineStr">
        <is>
          <t>VÄSTERBOTTENS LÄN</t>
        </is>
      </c>
      <c r="G419" t="inlineStr">
        <is>
          <t>NORDMALING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46291</v>
      </c>
      <c r="F420" t="inlineStr">
        <is>
          <t>VÄSTERBOTTENS LÄN</t>
        </is>
      </c>
      <c r="G420" t="inlineStr">
        <is>
          <t>NORDMALING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46291</v>
      </c>
      <c r="F421" t="inlineStr">
        <is>
          <t>VÄSTERBOTTENS LÄN</t>
        </is>
      </c>
      <c r="G421" t="inlineStr">
        <is>
          <t>NORDMALING</t>
        </is>
      </c>
      <c r="I421" t="n">
        <v>20.1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46291</v>
      </c>
      <c r="F422" t="inlineStr">
        <is>
          <t>VÄSTERBOTTENS LÄN</t>
        </is>
      </c>
      <c r="G422" t="inlineStr">
        <is>
          <t>NORDMALING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46291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44924-2023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46291</v>
      </c>
      <c r="F424" t="inlineStr">
        <is>
          <t>VÄSTERBOTTENS LÄN</t>
        </is>
      </c>
      <c r="G424" t="inlineStr">
        <is>
          <t>NORDMALING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46291</v>
      </c>
      <c r="F425" t="inlineStr">
        <is>
          <t>VÄSTERBOTTENS LÄN</t>
        </is>
      </c>
      <c r="G425" t="inlineStr">
        <is>
          <t>NORDMALING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45462</v>
      </c>
      <c r="E426" s="1" t="n">
        <v>46291</v>
      </c>
      <c r="F426" t="inlineStr">
        <is>
          <t>VÄSTERBOTTENS LÄN</t>
        </is>
      </c>
      <c r="G426" t="inlineStr">
        <is>
          <t>NORDMALING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46291</v>
      </c>
      <c r="F427" t="inlineStr">
        <is>
          <t>VÄSTERBOTTENS LÄN</t>
        </is>
      </c>
      <c r="G427" t="inlineStr">
        <is>
          <t>NORDMALING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46291</v>
      </c>
      <c r="F428" t="inlineStr">
        <is>
          <t>VÄSTERBOTTENS LÄN</t>
        </is>
      </c>
      <c r="G428" t="inlineStr">
        <is>
          <t>NORDMALING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45638</v>
      </c>
      <c r="E429" s="1" t="n">
        <v>46291</v>
      </c>
      <c r="F429" t="inlineStr">
        <is>
          <t>VÄSTERBOTTENS LÄN</t>
        </is>
      </c>
      <c r="G429" t="inlineStr">
        <is>
          <t>NORDMALING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46291</v>
      </c>
      <c r="F430" t="inlineStr">
        <is>
          <t>VÄSTERBOTTENS LÄN</t>
        </is>
      </c>
      <c r="G430" t="inlineStr">
        <is>
          <t>NORDMALING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45712</v>
      </c>
      <c r="E431" s="1" t="n">
        <v>46291</v>
      </c>
      <c r="F431" t="inlineStr">
        <is>
          <t>VÄSTERBOTTENS LÄN</t>
        </is>
      </c>
      <c r="G431" t="inlineStr">
        <is>
          <t>NORDMALING</t>
        </is>
      </c>
      <c r="I431" t="n">
        <v>11.1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46291</v>
      </c>
      <c r="F432" t="inlineStr">
        <is>
          <t>VÄSTERBOTTENS LÄN</t>
        </is>
      </c>
      <c r="G432" t="inlineStr">
        <is>
          <t>NORDMALING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46291</v>
      </c>
      <c r="F433" t="inlineStr">
        <is>
          <t>VÄSTERBOTTENS LÄN</t>
        </is>
      </c>
      <c r="G433" t="inlineStr">
        <is>
          <t>NORDMALING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45420</v>
      </c>
      <c r="E434" s="1" t="n">
        <v>46291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46291</v>
      </c>
      <c r="F435" t="inlineStr">
        <is>
          <t>VÄSTERBOTTENS LÄN</t>
        </is>
      </c>
      <c r="G435" t="inlineStr">
        <is>
          <t>NORDMALING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46291</v>
      </c>
      <c r="F436" t="inlineStr">
        <is>
          <t>VÄSTERBOTTENS LÄN</t>
        </is>
      </c>
      <c r="G436" t="inlineStr">
        <is>
          <t>NORDMALING</t>
        </is>
      </c>
      <c r="I436" t="n">
        <v>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46291</v>
      </c>
      <c r="F437" t="inlineStr">
        <is>
          <t>VÄSTERBOTTENS LÄN</t>
        </is>
      </c>
      <c r="G437" t="inlineStr">
        <is>
          <t>NORDMALING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46291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46291</v>
      </c>
      <c r="F439" t="inlineStr">
        <is>
          <t>VÄSTERBOTTENS LÄN</t>
        </is>
      </c>
      <c r="G439" t="inlineStr">
        <is>
          <t>NORDMALING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46291</v>
      </c>
      <c r="F440" t="inlineStr">
        <is>
          <t>VÄSTERBOTTENS LÄN</t>
        </is>
      </c>
      <c r="G440" t="inlineStr">
        <is>
          <t>NORDMALING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46291</v>
      </c>
      <c r="F441" t="inlineStr">
        <is>
          <t>VÄSTERBOTTENS LÄN</t>
        </is>
      </c>
      <c r="G441" t="inlineStr">
        <is>
          <t>NORDMALING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47777-2022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44854</v>
      </c>
      <c r="E442" s="1" t="n">
        <v>46291</v>
      </c>
      <c r="F442" t="inlineStr">
        <is>
          <t>VÄSTERBOTTENS LÄN</t>
        </is>
      </c>
      <c r="G442" t="inlineStr">
        <is>
          <t>NORDMALING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48940-2022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44859</v>
      </c>
      <c r="E443" s="1" t="n">
        <v>46291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46291</v>
      </c>
      <c r="F444" t="inlineStr">
        <is>
          <t>VÄSTERBOTTENS LÄN</t>
        </is>
      </c>
      <c r="G444" t="inlineStr">
        <is>
          <t>NORDMALING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72841-2021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44547</v>
      </c>
      <c r="E445" s="1" t="n">
        <v>46291</v>
      </c>
      <c r="F445" t="inlineStr">
        <is>
          <t>VÄSTERBOTTENS LÄN</t>
        </is>
      </c>
      <c r="G445" t="inlineStr">
        <is>
          <t>NORDMALING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46291</v>
      </c>
      <c r="F446" t="inlineStr">
        <is>
          <t>VÄSTERBOTTENS LÄN</t>
        </is>
      </c>
      <c r="G446" t="inlineStr">
        <is>
          <t>NORDMALING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33612-2022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44789</v>
      </c>
      <c r="E447" s="1" t="n">
        <v>46291</v>
      </c>
      <c r="F447" t="inlineStr">
        <is>
          <t>VÄSTERBOTTENS LÄN</t>
        </is>
      </c>
      <c r="G447" t="inlineStr">
        <is>
          <t>NORDMALING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46291</v>
      </c>
      <c r="F448" t="inlineStr">
        <is>
          <t>VÄSTERBOTTENS LÄN</t>
        </is>
      </c>
      <c r="G448" t="inlineStr">
        <is>
          <t>NORDMALING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46291</v>
      </c>
      <c r="F449" t="inlineStr">
        <is>
          <t>VÄSTERBOTTENS LÄN</t>
        </is>
      </c>
      <c r="G449" t="inlineStr">
        <is>
          <t>NORDMALING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46291</v>
      </c>
      <c r="F450" t="inlineStr">
        <is>
          <t>VÄSTERBOTTENS LÄN</t>
        </is>
      </c>
      <c r="G450" t="inlineStr">
        <is>
          <t>NORDMALING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46291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45139</v>
      </c>
      <c r="E452" s="1" t="n">
        <v>46291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46291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46291</v>
      </c>
      <c r="F454" t="inlineStr">
        <is>
          <t>VÄSTERBOTTENS LÄN</t>
        </is>
      </c>
      <c r="G454" t="inlineStr">
        <is>
          <t>NORDMALING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46254</v>
      </c>
      <c r="E455" s="1" t="n">
        <v>46291</v>
      </c>
      <c r="F455" t="inlineStr">
        <is>
          <t>VÄSTERBOTTENS LÄN</t>
        </is>
      </c>
      <c r="G455" t="inlineStr">
        <is>
          <t>NORDMALING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46291</v>
      </c>
      <c r="F456" t="inlineStr">
        <is>
          <t>VÄSTERBOTTENS LÄN</t>
        </is>
      </c>
      <c r="G456" t="inlineStr">
        <is>
          <t>NORDMALING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45775</v>
      </c>
      <c r="E457" s="1" t="n">
        <v>46291</v>
      </c>
      <c r="F457" t="inlineStr">
        <is>
          <t>VÄSTERBOTTENS LÄN</t>
        </is>
      </c>
      <c r="G457" t="inlineStr">
        <is>
          <t>NORDMALING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46291</v>
      </c>
      <c r="F458" t="inlineStr">
        <is>
          <t>VÄSTERBOTTENS LÄN</t>
        </is>
      </c>
      <c r="G458" t="inlineStr">
        <is>
          <t>NORDMALING</t>
        </is>
      </c>
      <c r="I458" t="n">
        <v>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46291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Kyrkan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46291</v>
      </c>
      <c r="F460" t="inlineStr">
        <is>
          <t>VÄSTERBOTTENS LÄN</t>
        </is>
      </c>
      <c r="G460" t="inlineStr">
        <is>
          <t>NORDMALING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46291</v>
      </c>
      <c r="F461" t="inlineStr">
        <is>
          <t>VÄSTERBOTTENS LÄN</t>
        </is>
      </c>
      <c r="G461" t="inlineStr">
        <is>
          <t>NORDMALING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46291</v>
      </c>
      <c r="F462" t="inlineStr">
        <is>
          <t>VÄSTERBOTTENS LÄN</t>
        </is>
      </c>
      <c r="G462" t="inlineStr">
        <is>
          <t>NORDMALING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46291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46258</v>
      </c>
      <c r="E464" s="1" t="n">
        <v>46291</v>
      </c>
      <c r="F464" t="inlineStr">
        <is>
          <t>VÄSTERBOTTENS LÄN</t>
        </is>
      </c>
      <c r="G464" t="inlineStr">
        <is>
          <t>NORDMALING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46291</v>
      </c>
      <c r="F465" t="inlineStr">
        <is>
          <t>VÄSTERBOTTENS LÄN</t>
        </is>
      </c>
      <c r="G465" t="inlineStr">
        <is>
          <t>NORDMALING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39816-2023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45167</v>
      </c>
      <c r="E466" s="1" t="n">
        <v>46291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18639-2022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44687</v>
      </c>
      <c r="E467" s="1" t="n">
        <v>46291</v>
      </c>
      <c r="F467" t="inlineStr">
        <is>
          <t>VÄSTERBOTTENS LÄN</t>
        </is>
      </c>
      <c r="G467" t="inlineStr">
        <is>
          <t>NORDMALING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46291</v>
      </c>
      <c r="F468" t="inlineStr">
        <is>
          <t>VÄSTERBOTTENS LÄN</t>
        </is>
      </c>
      <c r="G468" t="inlineStr">
        <is>
          <t>NORDMALING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45665</v>
      </c>
      <c r="E469" s="1" t="n">
        <v>46291</v>
      </c>
      <c r="F469" t="inlineStr">
        <is>
          <t>VÄSTERBOTTENS LÄN</t>
        </is>
      </c>
      <c r="G469" t="inlineStr">
        <is>
          <t>NORDMALING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46262</v>
      </c>
      <c r="E470" s="1" t="n">
        <v>46291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Kyrkan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45239</v>
      </c>
      <c r="E471" s="1" t="n">
        <v>46291</v>
      </c>
      <c r="F471" t="inlineStr">
        <is>
          <t>VÄSTERBOTTENS LÄN</t>
        </is>
      </c>
      <c r="G471" t="inlineStr">
        <is>
          <t>NORDMALING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45158</v>
      </c>
      <c r="E472" s="1" t="n">
        <v>46291</v>
      </c>
      <c r="F472" t="inlineStr">
        <is>
          <t>VÄSTERBOTTENS LÄN</t>
        </is>
      </c>
      <c r="G472" t="inlineStr">
        <is>
          <t>NORDMALING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46291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19516-2025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45770</v>
      </c>
      <c r="E474" s="1" t="n">
        <v>46291</v>
      </c>
      <c r="F474" t="inlineStr">
        <is>
          <t>VÄSTERBOTTENS LÄN</t>
        </is>
      </c>
      <c r="G474" t="inlineStr">
        <is>
          <t>NORDMALING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46136</v>
      </c>
      <c r="E475" s="1" t="n">
        <v>46291</v>
      </c>
      <c r="F475" t="inlineStr">
        <is>
          <t>VÄSTERBOTTENS LÄN</t>
        </is>
      </c>
      <c r="G475" t="inlineStr">
        <is>
          <t>NORDMALING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44756</v>
      </c>
      <c r="E476" s="1" t="n">
        <v>46291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61795-2023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45265</v>
      </c>
      <c r="E477" s="1" t="n">
        <v>46291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46291</v>
      </c>
      <c r="F478" t="inlineStr">
        <is>
          <t>VÄSTERBOTTENS LÄN</t>
        </is>
      </c>
      <c r="G478" t="inlineStr">
        <is>
          <t>NORDMALING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46291</v>
      </c>
      <c r="F479" t="inlineStr">
        <is>
          <t>VÄSTERBOTTENS LÄN</t>
        </is>
      </c>
      <c r="G479" t="inlineStr">
        <is>
          <t>NORDMALING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46291</v>
      </c>
      <c r="F480" t="inlineStr">
        <is>
          <t>VÄSTERBOTTENS LÄN</t>
        </is>
      </c>
      <c r="G480" t="inlineStr">
        <is>
          <t>NORDMALING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46263</v>
      </c>
      <c r="E481" s="1" t="n">
        <v>46291</v>
      </c>
      <c r="F481" t="inlineStr">
        <is>
          <t>VÄSTERBOTTENS LÄN</t>
        </is>
      </c>
      <c r="G481" t="inlineStr">
        <is>
          <t>NORDMALING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46266</v>
      </c>
      <c r="E482" s="1" t="n">
        <v>46291</v>
      </c>
      <c r="F482" t="inlineStr">
        <is>
          <t>VÄSTERBOTTENS LÄN</t>
        </is>
      </c>
      <c r="G482" t="inlineStr">
        <is>
          <t>NORDMALING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46291</v>
      </c>
      <c r="F483" t="inlineStr">
        <is>
          <t>VÄSTERBOTTENS LÄN</t>
        </is>
      </c>
      <c r="G483" t="inlineStr">
        <is>
          <t>NORDMALING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46291</v>
      </c>
      <c r="F484" t="inlineStr">
        <is>
          <t>VÄSTERBOTTENS LÄN</t>
        </is>
      </c>
      <c r="G484" t="inlineStr">
        <is>
          <t>NORDMALING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36847-2026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46291</v>
      </c>
      <c r="F485" t="inlineStr">
        <is>
          <t>VÄSTERBOTTENS LÄN</t>
        </is>
      </c>
      <c r="G485" t="inlineStr">
        <is>
          <t>NORDMALING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46291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44816</v>
      </c>
      <c r="E487" s="1" t="n">
        <v>46291</v>
      </c>
      <c r="F487" t="inlineStr">
        <is>
          <t>VÄSTERBOTTENS LÄN</t>
        </is>
      </c>
      <c r="G487" t="inlineStr">
        <is>
          <t>NORDMALING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46291</v>
      </c>
      <c r="F488" t="inlineStr">
        <is>
          <t>VÄSTERBOTTENS LÄN</t>
        </is>
      </c>
      <c r="G488" t="inlineStr">
        <is>
          <t>NORDMALING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46274</v>
      </c>
      <c r="E489" s="1" t="n">
        <v>46291</v>
      </c>
      <c r="F489" t="inlineStr">
        <is>
          <t>VÄSTERBOTTENS LÄN</t>
        </is>
      </c>
      <c r="G489" t="inlineStr">
        <is>
          <t>NORDMALING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46291</v>
      </c>
      <c r="F490" t="inlineStr">
        <is>
          <t>VÄSTERBOTTENS LÄN</t>
        </is>
      </c>
      <c r="G490" t="inlineStr">
        <is>
          <t>NORDMALING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46291</v>
      </c>
      <c r="F491" t="inlineStr">
        <is>
          <t>VÄSTERBOTTENS LÄN</t>
        </is>
      </c>
      <c r="G491" t="inlineStr">
        <is>
          <t>NORDMALING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46291</v>
      </c>
      <c r="F492" t="inlineStr">
        <is>
          <t>VÄSTERBOTTENS LÄN</t>
        </is>
      </c>
      <c r="G492" t="inlineStr">
        <is>
          <t>NORDMALING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46291</v>
      </c>
      <c r="F493" t="inlineStr">
        <is>
          <t>VÄSTERBOTTENS LÄN</t>
        </is>
      </c>
      <c r="G493" t="inlineStr">
        <is>
          <t>NORDMALING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45566</v>
      </c>
      <c r="E494" s="1" t="n">
        <v>46291</v>
      </c>
      <c r="F494" t="inlineStr">
        <is>
          <t>VÄSTERBOTTENS LÄN</t>
        </is>
      </c>
      <c r="G494" t="inlineStr">
        <is>
          <t>NORDMALING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46291</v>
      </c>
      <c r="F495" t="inlineStr">
        <is>
          <t>VÄSTERBOTTENS LÄN</t>
        </is>
      </c>
      <c r="G495" t="inlineStr">
        <is>
          <t>NORDMALING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46291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40008-2023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45167</v>
      </c>
      <c r="E497" s="1" t="n">
        <v>46291</v>
      </c>
      <c r="F497" t="inlineStr">
        <is>
          <t>VÄSTERBOTTENS LÄN</t>
        </is>
      </c>
      <c r="G497" t="inlineStr">
        <is>
          <t>NORDMALING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46291</v>
      </c>
      <c r="F498" t="inlineStr">
        <is>
          <t>VÄSTERBOTTENS LÄN</t>
        </is>
      </c>
      <c r="G498" t="inlineStr">
        <is>
          <t>NORDMALING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8103-2025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45707</v>
      </c>
      <c r="E499" s="1" t="n">
        <v>46291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46280</v>
      </c>
      <c r="E500" s="1" t="n">
        <v>46291</v>
      </c>
      <c r="F500" t="inlineStr">
        <is>
          <t>VÄSTERBOTTENS LÄN</t>
        </is>
      </c>
      <c r="G500" t="inlineStr">
        <is>
          <t>NORDMALING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46291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Kyrkan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31486-2024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45505</v>
      </c>
      <c r="E502" s="1" t="n">
        <v>46291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46291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Kyrkan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36429-2024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45536</v>
      </c>
      <c r="E504" s="1" t="n">
        <v>46291</v>
      </c>
      <c r="F504" t="inlineStr">
        <is>
          <t>VÄSTERBOTTENS LÄN</t>
        </is>
      </c>
      <c r="G504" t="inlineStr">
        <is>
          <t>NORDMALING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44922</v>
      </c>
      <c r="E505" s="1" t="n">
        <v>46291</v>
      </c>
      <c r="F505" t="inlineStr">
        <is>
          <t>VÄSTERBOTTENS LÄN</t>
        </is>
      </c>
      <c r="G505" t="inlineStr">
        <is>
          <t>NORDMALING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45433</v>
      </c>
      <c r="E506" s="1" t="n">
        <v>46291</v>
      </c>
      <c r="F506" t="inlineStr">
        <is>
          <t>VÄSTERBOTTENS LÄN</t>
        </is>
      </c>
      <c r="G506" t="inlineStr">
        <is>
          <t>NORDMALING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46291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38871-2026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46291</v>
      </c>
      <c r="F508" t="inlineStr">
        <is>
          <t>VÄSTERBOTTENS LÄN</t>
        </is>
      </c>
      <c r="G508" t="inlineStr">
        <is>
          <t>NORDMALING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45775</v>
      </c>
      <c r="E509" s="1" t="n">
        <v>46291</v>
      </c>
      <c r="F509" t="inlineStr">
        <is>
          <t>VÄSTERBOTTENS LÄN</t>
        </is>
      </c>
      <c r="G509" t="inlineStr">
        <is>
          <t>NORDMALING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46291</v>
      </c>
      <c r="F510" t="inlineStr">
        <is>
          <t>VÄSTERBOTTENS LÄN</t>
        </is>
      </c>
      <c r="G510" t="inlineStr">
        <is>
          <t>NORDMALING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46291</v>
      </c>
      <c r="F511" t="inlineStr">
        <is>
          <t>VÄSTERBOTTENS LÄN</t>
        </is>
      </c>
      <c r="G511" t="inlineStr">
        <is>
          <t>NORDMALING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46291</v>
      </c>
      <c r="F512" t="inlineStr">
        <is>
          <t>VÄSTERBOTTENS LÄN</t>
        </is>
      </c>
      <c r="G512" t="inlineStr">
        <is>
          <t>NORDMALING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46291</v>
      </c>
      <c r="F513" t="inlineStr">
        <is>
          <t>VÄSTERBOTTENS LÄN</t>
        </is>
      </c>
      <c r="G513" t="inlineStr">
        <is>
          <t>NORDMALING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46291</v>
      </c>
      <c r="F514" t="inlineStr">
        <is>
          <t>VÄSTERBOTTENS LÄN</t>
        </is>
      </c>
      <c r="G514" t="inlineStr">
        <is>
          <t>NORDMALING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46291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44916</v>
      </c>
      <c r="E516" s="1" t="n">
        <v>46291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46291</v>
      </c>
      <c r="F517" t="inlineStr">
        <is>
          <t>VÄSTERBOTTENS LÄN</t>
        </is>
      </c>
      <c r="G517" t="inlineStr">
        <is>
          <t>NORDMALING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46291</v>
      </c>
      <c r="F518" t="inlineStr">
        <is>
          <t>VÄSTERBOTTENS LÄN</t>
        </is>
      </c>
      <c r="G518" t="inlineStr">
        <is>
          <t>NORDMALING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46291</v>
      </c>
      <c r="F519" t="inlineStr">
        <is>
          <t>VÄSTERBOTTENS LÄN</t>
        </is>
      </c>
      <c r="G519" t="inlineStr">
        <is>
          <t>NORDMALING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46291</v>
      </c>
      <c r="F520" t="inlineStr">
        <is>
          <t>VÄSTERBOTTENS LÄN</t>
        </is>
      </c>
      <c r="G520" t="inlineStr">
        <is>
          <t>NORDMALING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46291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46291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46291</v>
      </c>
      <c r="F523" t="inlineStr">
        <is>
          <t>VÄSTERBOTTENS LÄN</t>
        </is>
      </c>
      <c r="G523" t="inlineStr">
        <is>
          <t>NORDMALING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46291</v>
      </c>
      <c r="F524" t="inlineStr">
        <is>
          <t>VÄSTERBOTTENS LÄN</t>
        </is>
      </c>
      <c r="G524" t="inlineStr">
        <is>
          <t>NORDMALING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46291</v>
      </c>
      <c r="F525" t="inlineStr">
        <is>
          <t>VÄSTERBOTTENS LÄN</t>
        </is>
      </c>
      <c r="G525" t="inlineStr">
        <is>
          <t>NORDMALING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46291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46291</v>
      </c>
      <c r="F527" t="inlineStr">
        <is>
          <t>VÄSTERBOTTENS LÄN</t>
        </is>
      </c>
      <c r="G527" t="inlineStr">
        <is>
          <t>NORDMALING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46291</v>
      </c>
      <c r="F528" t="inlineStr">
        <is>
          <t>VÄSTERBOTTENS LÄN</t>
        </is>
      </c>
      <c r="G528" t="inlineStr">
        <is>
          <t>NORDMALING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46291</v>
      </c>
      <c r="F529" t="inlineStr">
        <is>
          <t>VÄSTERBOTTENS LÄN</t>
        </is>
      </c>
      <c r="G529" t="inlineStr">
        <is>
          <t>NORDMALING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46291</v>
      </c>
      <c r="F530" t="inlineStr">
        <is>
          <t>VÄSTERBOTTENS LÄN</t>
        </is>
      </c>
      <c r="G530" t="inlineStr">
        <is>
          <t>NORDMALING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46291</v>
      </c>
      <c r="F531" t="inlineStr">
        <is>
          <t>VÄSTERBOTTENS LÄN</t>
        </is>
      </c>
      <c r="G531" t="inlineStr">
        <is>
          <t>NORDMALING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46291</v>
      </c>
      <c r="F532" t="inlineStr">
        <is>
          <t>VÄSTERBOTTENS LÄN</t>
        </is>
      </c>
      <c r="G532" t="inlineStr">
        <is>
          <t>NORDMALING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46291</v>
      </c>
      <c r="F533" t="inlineStr">
        <is>
          <t>VÄSTERBOTTENS LÄN</t>
        </is>
      </c>
      <c r="G533" t="inlineStr">
        <is>
          <t>NORDMALING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33077-2026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46291</v>
      </c>
      <c r="F534" t="inlineStr">
        <is>
          <t>VÄSTERBOTTENS LÄN</t>
        </is>
      </c>
      <c r="G534" t="inlineStr">
        <is>
          <t>NORDMALING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46291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62247-2025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46291</v>
      </c>
      <c r="F536" t="inlineStr">
        <is>
          <t>VÄSTERBOTTENS LÄN</t>
        </is>
      </c>
      <c r="G536" t="inlineStr">
        <is>
          <t>NORDMALING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46291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46291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46291</v>
      </c>
      <c r="F539" t="inlineStr">
        <is>
          <t>VÄSTERBOTTENS LÄN</t>
        </is>
      </c>
      <c r="G539" t="inlineStr">
        <is>
          <t>NORDMALING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46291</v>
      </c>
      <c r="F540" t="inlineStr">
        <is>
          <t>VÄSTERBOTTENS LÄN</t>
        </is>
      </c>
      <c r="G540" t="inlineStr">
        <is>
          <t>NORDMALING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44816</v>
      </c>
      <c r="E541" s="1" t="n">
        <v>46291</v>
      </c>
      <c r="F541" t="inlineStr">
        <is>
          <t>VÄSTERBOTTENS LÄN</t>
        </is>
      </c>
      <c r="G541" t="inlineStr">
        <is>
          <t>NORDMALING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21607-2022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44706</v>
      </c>
      <c r="E542" s="1" t="n">
        <v>46291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45247</v>
      </c>
      <c r="E543" s="1" t="n">
        <v>46291</v>
      </c>
      <c r="F543" t="inlineStr">
        <is>
          <t>VÄSTERBOTTENS LÄN</t>
        </is>
      </c>
      <c r="G543" t="inlineStr">
        <is>
          <t>NORDMALING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46291</v>
      </c>
      <c r="F544" t="inlineStr">
        <is>
          <t>VÄSTERBOTTENS LÄN</t>
        </is>
      </c>
      <c r="G544" t="inlineStr">
        <is>
          <t>NORDMALING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45348</v>
      </c>
      <c r="E545" s="1" t="n">
        <v>46291</v>
      </c>
      <c r="F545" t="inlineStr">
        <is>
          <t>VÄSTERBOTTENS LÄN</t>
        </is>
      </c>
      <c r="G545" t="inlineStr">
        <is>
          <t>NORDMALING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7007-2024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45343</v>
      </c>
      <c r="E546" s="1" t="n">
        <v>46291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Kommuner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46246</v>
      </c>
      <c r="E547" s="1" t="n">
        <v>46291</v>
      </c>
      <c r="F547" t="inlineStr">
        <is>
          <t>VÄSTERBOTTENS LÄN</t>
        </is>
      </c>
      <c r="G547" t="inlineStr">
        <is>
          <t>NORDMALING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46291</v>
      </c>
      <c r="F548" t="inlineStr">
        <is>
          <t>VÄSTERBOTTENS LÄN</t>
        </is>
      </c>
      <c r="G548" t="inlineStr">
        <is>
          <t>NORDMALING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9860-2022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44620</v>
      </c>
      <c r="E549" s="1" t="n">
        <v>46291</v>
      </c>
      <c r="F549" t="inlineStr">
        <is>
          <t>VÄSTERBOTTENS LÄN</t>
        </is>
      </c>
      <c r="G549" t="inlineStr">
        <is>
          <t>NORDMALING</t>
        </is>
      </c>
      <c r="I549" t="n">
        <v>82.40000000000001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45034</v>
      </c>
      <c r="E550" s="1" t="n">
        <v>46291</v>
      </c>
      <c r="F550" t="inlineStr">
        <is>
          <t>VÄSTERBOTTENS LÄN</t>
        </is>
      </c>
      <c r="G550" t="inlineStr">
        <is>
          <t>NORDMALING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46291</v>
      </c>
      <c r="F551" t="inlineStr">
        <is>
          <t>VÄSTERBOTTENS LÄN</t>
        </is>
      </c>
      <c r="G551" t="inlineStr">
        <is>
          <t>NORDMALING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53986-2022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44881</v>
      </c>
      <c r="E552" s="1" t="n">
        <v>46291</v>
      </c>
      <c r="F552" t="inlineStr">
        <is>
          <t>VÄSTERBOTTENS LÄN</t>
        </is>
      </c>
      <c r="G552" t="inlineStr">
        <is>
          <t>NORDMALING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45673</v>
      </c>
      <c r="E553" s="1" t="n">
        <v>46291</v>
      </c>
      <c r="F553" t="inlineStr">
        <is>
          <t>VÄSTERBOTTENS LÄN</t>
        </is>
      </c>
      <c r="G553" t="inlineStr">
        <is>
          <t>NORDMALING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44735</v>
      </c>
      <c r="E554" s="1" t="n">
        <v>46291</v>
      </c>
      <c r="F554" t="inlineStr">
        <is>
          <t>VÄSTERBOTTENS LÄN</t>
        </is>
      </c>
      <c r="G554" t="inlineStr">
        <is>
          <t>NORDMALING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55634-2023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45238</v>
      </c>
      <c r="E555" s="1" t="n">
        <v>46291</v>
      </c>
      <c r="F555" t="inlineStr">
        <is>
          <t>VÄSTERBOTTENS LÄN</t>
        </is>
      </c>
      <c r="G555" t="inlineStr">
        <is>
          <t>NORDMALING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44859</v>
      </c>
      <c r="E556" s="1" t="n">
        <v>46291</v>
      </c>
      <c r="F556" t="inlineStr">
        <is>
          <t>VÄSTERBOTTENS LÄN</t>
        </is>
      </c>
      <c r="G556" t="inlineStr">
        <is>
          <t>NORDMALING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14689-2025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45742</v>
      </c>
      <c r="E557" s="1" t="n">
        <v>46291</v>
      </c>
      <c r="F557" t="inlineStr">
        <is>
          <t>VÄSTERBOTTENS LÄN</t>
        </is>
      </c>
      <c r="G557" t="inlineStr">
        <is>
          <t>NORDMALING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45021</v>
      </c>
      <c r="E558" s="1" t="n">
        <v>46291</v>
      </c>
      <c r="F558" t="inlineStr">
        <is>
          <t>VÄSTERBOTTENS LÄN</t>
        </is>
      </c>
      <c r="G558" t="inlineStr">
        <is>
          <t>NORDMALING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27370-2023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46291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44888</v>
      </c>
      <c r="E560" s="1" t="n">
        <v>46291</v>
      </c>
      <c r="F560" t="inlineStr">
        <is>
          <t>VÄSTERBOTTENS LÄN</t>
        </is>
      </c>
      <c r="G560" t="inlineStr">
        <is>
          <t>NORDMALING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44972</v>
      </c>
      <c r="E561" s="1" t="n">
        <v>46291</v>
      </c>
      <c r="F561" t="inlineStr">
        <is>
          <t>VÄSTERBOTTENS LÄN</t>
        </is>
      </c>
      <c r="G561" t="inlineStr">
        <is>
          <t>NORDMALING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52149-2024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45608</v>
      </c>
      <c r="E562" s="1" t="n">
        <v>46291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45517</v>
      </c>
      <c r="E563" s="1" t="n">
        <v>46291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Holmen skog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46291</v>
      </c>
      <c r="F564" t="inlineStr">
        <is>
          <t>VÄSTERBOTTENS LÄN</t>
        </is>
      </c>
      <c r="G564" t="inlineStr">
        <is>
          <t>NORDMALING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45407</v>
      </c>
      <c r="E565" s="1" t="n">
        <v>46291</v>
      </c>
      <c r="F565" t="inlineStr">
        <is>
          <t>VÄSTERBOTTENS LÄN</t>
        </is>
      </c>
      <c r="G565" t="inlineStr">
        <is>
          <t>NORDMALING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46291</v>
      </c>
      <c r="F566" t="inlineStr">
        <is>
          <t>VÄSTERBOTTENS LÄN</t>
        </is>
      </c>
      <c r="G566" t="inlineStr">
        <is>
          <t>NORDMALING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44387-2023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46291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44788</v>
      </c>
      <c r="E568" s="1" t="n">
        <v>46291</v>
      </c>
      <c r="F568" t="inlineStr">
        <is>
          <t>VÄSTERBOTTENS LÄN</t>
        </is>
      </c>
      <c r="G568" t="inlineStr">
        <is>
          <t>NORDMALING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46291</v>
      </c>
      <c r="F569" t="inlineStr">
        <is>
          <t>VÄSTERBOTTENS LÄN</t>
        </is>
      </c>
      <c r="G569" t="inlineStr">
        <is>
          <t>NORDMALING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44968</v>
      </c>
      <c r="E570" s="1" t="n">
        <v>46291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24850-2023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45078</v>
      </c>
      <c r="E571" s="1" t="n">
        <v>46291</v>
      </c>
      <c r="F571" t="inlineStr">
        <is>
          <t>VÄSTERBOTTENS LÄN</t>
        </is>
      </c>
      <c r="G571" t="inlineStr">
        <is>
          <t>NORDMALING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45665</v>
      </c>
      <c r="E572" s="1" t="n">
        <v>46291</v>
      </c>
      <c r="F572" t="inlineStr">
        <is>
          <t>VÄSTERBOTTENS LÄN</t>
        </is>
      </c>
      <c r="G572" t="inlineStr">
        <is>
          <t>NORDMALING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45676</v>
      </c>
      <c r="E573" s="1" t="n">
        <v>46291</v>
      </c>
      <c r="F573" t="inlineStr">
        <is>
          <t>VÄSTERBOTTENS LÄN</t>
        </is>
      </c>
      <c r="G573" t="inlineStr">
        <is>
          <t>NORDMALING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45713</v>
      </c>
      <c r="E574" s="1" t="n">
        <v>46291</v>
      </c>
      <c r="F574" t="inlineStr">
        <is>
          <t>VÄSTERBOTTENS LÄN</t>
        </is>
      </c>
      <c r="G574" t="inlineStr">
        <is>
          <t>NORDMALING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46291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45241</v>
      </c>
      <c r="E576" s="1" t="n">
        <v>46291</v>
      </c>
      <c r="F576" t="inlineStr">
        <is>
          <t>VÄSTERBOTTENS LÄN</t>
        </is>
      </c>
      <c r="G576" t="inlineStr">
        <is>
          <t>NORDMALING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43491-2024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45568</v>
      </c>
      <c r="E577" s="1" t="n">
        <v>46291</v>
      </c>
      <c r="F577" t="inlineStr">
        <is>
          <t>VÄSTERBOTTENS LÄN</t>
        </is>
      </c>
      <c r="G577" t="inlineStr">
        <is>
          <t>NORDMALING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45568</v>
      </c>
      <c r="E578" s="1" t="n">
        <v>46291</v>
      </c>
      <c r="F578" t="inlineStr">
        <is>
          <t>VÄSTERBOTTENS LÄN</t>
        </is>
      </c>
      <c r="G578" t="inlineStr">
        <is>
          <t>NORDMALING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45664</v>
      </c>
      <c r="E579" s="1" t="n">
        <v>46291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45429</v>
      </c>
      <c r="E580" s="1" t="n">
        <v>46291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46291</v>
      </c>
      <c r="F581" t="inlineStr">
        <is>
          <t>VÄSTERBOTTENS LÄN</t>
        </is>
      </c>
      <c r="G581" t="inlineStr">
        <is>
          <t>NORDMALING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48932-2023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45204</v>
      </c>
      <c r="E582" s="1" t="n">
        <v>46291</v>
      </c>
      <c r="F582" t="inlineStr">
        <is>
          <t>VÄSTERBOTTENS LÄN</t>
        </is>
      </c>
      <c r="G582" t="inlineStr">
        <is>
          <t>NORDMALING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46291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46291</v>
      </c>
      <c r="F584" t="inlineStr">
        <is>
          <t>VÄSTERBOTTENS LÄN</t>
        </is>
      </c>
      <c r="G584" t="inlineStr">
        <is>
          <t>NORDMALING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45783</v>
      </c>
      <c r="E585" s="1" t="n">
        <v>46291</v>
      </c>
      <c r="F585" t="inlineStr">
        <is>
          <t>VÄSTERBOTTENS LÄN</t>
        </is>
      </c>
      <c r="G585" t="inlineStr">
        <is>
          <t>NORDMALING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46291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50969-2024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45603</v>
      </c>
      <c r="E587" s="1" t="n">
        <v>46291</v>
      </c>
      <c r="F587" t="inlineStr">
        <is>
          <t>VÄSTERBOTTENS LÄN</t>
        </is>
      </c>
      <c r="G587" t="inlineStr">
        <is>
          <t>NORDMALING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46291</v>
      </c>
      <c r="F588" t="inlineStr">
        <is>
          <t>VÄSTERBOTTENS LÄN</t>
        </is>
      </c>
      <c r="G588" t="inlineStr">
        <is>
          <t>NORDMALING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46291</v>
      </c>
      <c r="F589" t="inlineStr">
        <is>
          <t>VÄSTERBOTTENS LÄN</t>
        </is>
      </c>
      <c r="G589" t="inlineStr">
        <is>
          <t>NORDMALING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45036</v>
      </c>
      <c r="E590" s="1" t="n">
        <v>46291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45789</v>
      </c>
      <c r="E591" s="1" t="n">
        <v>46291</v>
      </c>
      <c r="F591" t="inlineStr">
        <is>
          <t>VÄSTERBOTTENS LÄN</t>
        </is>
      </c>
      <c r="G591" t="inlineStr">
        <is>
          <t>NORDMALING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46291</v>
      </c>
      <c r="F592" t="inlineStr">
        <is>
          <t>VÄSTERBOTTENS LÄN</t>
        </is>
      </c>
      <c r="G592" t="inlineStr">
        <is>
          <t>NORDMALING</t>
        </is>
      </c>
      <c r="I592" t="n">
        <v>20.3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46291</v>
      </c>
      <c r="F593" t="inlineStr">
        <is>
          <t>VÄSTERBOTTENS LÄN</t>
        </is>
      </c>
      <c r="G593" t="inlineStr">
        <is>
          <t>NORDMALING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46291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46291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46291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46291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46291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46291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46291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46291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46291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46291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46291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46291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46291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46291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46291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46291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2026-09-26T02:05:11Z</dcterms:created>
  <dcterms:modified xmlns:dcterms="http://purl.org/dc/terms/" xmlns:xsi="http://www.w3.org/2001/XMLSchema-instance" xsi:type="dcterms:W3CDTF">2026-09-26T02:05:12Z</dcterms:modified>
</cp:coreProperties>
</file>